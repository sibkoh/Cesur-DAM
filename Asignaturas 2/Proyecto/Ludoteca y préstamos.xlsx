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doteca y préstamos" sheetId="1" r:id="rId4"/>
    <sheet state="visible" name="Préstamos" sheetId="2" r:id="rId5"/>
    <sheet state="visible" name="Ventas" sheetId="3" r:id="rId6"/>
    <sheet state="visible" name="Baldas Actualizado" sheetId="4" r:id="rId7"/>
    <sheet state="visible" name="Alternativa Baldas" sheetId="5" r:id="rId8"/>
    <sheet state="visible" name="Fundas" sheetId="6" r:id="rId9"/>
    <sheet state="hidden" name="Baldas Antiguo" sheetId="7" r:id="rId10"/>
  </sheets>
  <definedNames>
    <definedName hidden="1" localSheetId="0" name="Z_DB8EC755_B245_49D7_8157_0DC620AA3D89_.wvu.FilterData">'Ludoteca y préstamos'!$A$1:$A$1695</definedName>
    <definedName hidden="1" localSheetId="2" name="Z_DB8EC755_B245_49D7_8157_0DC620AA3D89_.wvu.FilterData">Ventas!$A$1:$A$97</definedName>
  </definedNames>
  <calcPr/>
  <customWorkbookViews>
    <customWorkbookView activeSheetId="0" maximized="1" windowHeight="0" windowWidth="0" guid="{DB8EC755-B245-49D7-8157-0DC620AA3D89}" name="Filter 1"/>
  </customWorkbookViews>
</workbook>
</file>

<file path=xl/sharedStrings.xml><?xml version="1.0" encoding="utf-8"?>
<sst xmlns="http://schemas.openxmlformats.org/spreadsheetml/2006/main" count="13249" uniqueCount="2461">
  <si>
    <t>Juego</t>
  </si>
  <si>
    <t>Balda</t>
  </si>
  <si>
    <t>Fecha adquisición</t>
  </si>
  <si>
    <t>Prestado a</t>
  </si>
  <si>
    <t>Fecha préstamo</t>
  </si>
  <si>
    <t>Estado</t>
  </si>
  <si>
    <t>Anotaciones</t>
  </si>
  <si>
    <t>Comprobado</t>
  </si>
  <si>
    <t>Veces sacado 2014</t>
  </si>
  <si>
    <t>Veces sacado 2015</t>
  </si>
  <si>
    <t>Veces sacado 2016</t>
  </si>
  <si>
    <t>Veces sacado 2017</t>
  </si>
  <si>
    <t>Veces sacado 2018</t>
  </si>
  <si>
    <t>Veces sacado 2019</t>
  </si>
  <si>
    <t>Veces sacado 2020</t>
  </si>
  <si>
    <t>Veces sacado 2021</t>
  </si>
  <si>
    <t>Veces sacado 2023</t>
  </si>
  <si>
    <t>Veces sacado 2024</t>
  </si>
  <si>
    <t>Veces sacado 2025</t>
  </si>
  <si>
    <t>Veces sacado TOTAL</t>
  </si>
  <si>
    <t>¡A todo tren!</t>
  </si>
  <si>
    <t>COL 0</t>
  </si>
  <si>
    <t>Ventas</t>
  </si>
  <si>
    <t>26 MAR 2025</t>
  </si>
  <si>
    <t>¡Atención a los monstruos! Junior</t>
  </si>
  <si>
    <t>COL 6</t>
  </si>
  <si>
    <t>¡Atrápalo!</t>
  </si>
  <si>
    <t>Y3</t>
  </si>
  <si>
    <t>¡Aventureros al tren!</t>
  </si>
  <si>
    <t>J3</t>
  </si>
  <si>
    <t>¡Aventureros al tren! África</t>
  </si>
  <si>
    <t>¡Aventureros al tren! Europa</t>
  </si>
  <si>
    <t>15 SEP 2025</t>
  </si>
  <si>
    <t>¡Aventureros al tren! El Primer Viaje</t>
  </si>
  <si>
    <t>Y2</t>
  </si>
  <si>
    <t>¡Aventureros al tren! La vuelta al mundo</t>
  </si>
  <si>
    <t>¡Aventureros al tren! Marklin</t>
  </si>
  <si>
    <t>¡Cobardes!</t>
  </si>
  <si>
    <t>COL 4</t>
  </si>
  <si>
    <t>¡Cocoricó Cocorocó!</t>
  </si>
  <si>
    <t>ok</t>
  </si>
  <si>
    <t>¡De qué vas!</t>
  </si>
  <si>
    <t>COL 1</t>
  </si>
  <si>
    <t>7 SEP 2024</t>
  </si>
  <si>
    <t>¡Descifrado!</t>
  </si>
  <si>
    <t>¡Escapa! La maldición de la esfinge</t>
  </si>
  <si>
    <t>COL 5</t>
  </si>
  <si>
    <t>¡Escapa! La prueba final</t>
  </si>
  <si>
    <t>¡Galletas!</t>
  </si>
  <si>
    <t>Z2</t>
  </si>
  <si>
    <t>¡Gíralo!</t>
  </si>
  <si>
    <t>COL 7</t>
  </si>
  <si>
    <t>¡Gol!</t>
  </si>
  <si>
    <t>¡Luchador! El juego de dados de lucha libre a.</t>
  </si>
  <si>
    <t>¡Manda huevos!</t>
  </si>
  <si>
    <t>P4</t>
  </si>
  <si>
    <t>¡MIA!</t>
  </si>
  <si>
    <t>¡No Gracias!</t>
  </si>
  <si>
    <t>¡Peca tú!</t>
  </si>
  <si>
    <t>¡Pijamas a la cama!</t>
  </si>
  <si>
    <t>Y5</t>
  </si>
  <si>
    <t>¡Sí, señor Oscuro!</t>
  </si>
  <si>
    <t>*</t>
  </si>
  <si>
    <t>¡Vaya tomate!</t>
  </si>
  <si>
    <t>¡Viva el Rey!</t>
  </si>
  <si>
    <t>H6</t>
  </si>
  <si>
    <t>14 ene</t>
  </si>
  <si>
    <t>¿A quién nos comemos?</t>
  </si>
  <si>
    <t>E6</t>
  </si>
  <si>
    <t>¿Alcachofas? ¡No, gracias!</t>
  </si>
  <si>
    <t>P1</t>
  </si>
  <si>
    <t>¿Alguien ha probado este juego?</t>
  </si>
  <si>
    <t>¿En qué estabas pensando?</t>
  </si>
  <si>
    <t>Novedades</t>
  </si>
  <si>
    <t>n</t>
  </si>
  <si>
    <t>¿Qué llevo en la maleta? Extreme</t>
  </si>
  <si>
    <t>1 2 3 Bitmax</t>
  </si>
  <si>
    <t>1, 2, 3 Ahora me ves</t>
  </si>
  <si>
    <t>10' to Kill</t>
  </si>
  <si>
    <t>10 Dwarves</t>
  </si>
  <si>
    <t>3 AGO 2025</t>
  </si>
  <si>
    <t>10 Latidos</t>
  </si>
  <si>
    <t>10 Negritos</t>
  </si>
  <si>
    <t>D1</t>
  </si>
  <si>
    <t>10 Nights</t>
  </si>
  <si>
    <t>J6</t>
  </si>
  <si>
    <t>13 Días: La crisis de los misiles en Cuba</t>
  </si>
  <si>
    <t>C5</t>
  </si>
  <si>
    <t>15 Días</t>
  </si>
  <si>
    <t>1775 La Guerra de la Independencia</t>
  </si>
  <si>
    <t>C6</t>
  </si>
  <si>
    <t>12-agosto</t>
  </si>
  <si>
    <t>1902 Méliès</t>
  </si>
  <si>
    <t>1906 San Francisco</t>
  </si>
  <si>
    <t>1911 Amundsen vs Scott</t>
  </si>
  <si>
    <t>1920 Wall Street</t>
  </si>
  <si>
    <t>1923 Cotton Club</t>
  </si>
  <si>
    <t>1936: Guerra Civil</t>
  </si>
  <si>
    <t>1987 Channel Tunnel</t>
  </si>
  <si>
    <t>20th Century</t>
  </si>
  <si>
    <t>F4</t>
  </si>
  <si>
    <t>21 Muntinies</t>
  </si>
  <si>
    <t>C1</t>
  </si>
  <si>
    <t>24h</t>
  </si>
  <si>
    <t>2GM Pacific</t>
  </si>
  <si>
    <t>2GM Tactics</t>
  </si>
  <si>
    <t>3 Capítulos</t>
  </si>
  <si>
    <t>COL 2</t>
  </si>
  <si>
    <t>2 ENE 2025</t>
  </si>
  <si>
    <t>3 Little Pigs</t>
  </si>
  <si>
    <t>8 JUN 2025</t>
  </si>
  <si>
    <t>30 Carats</t>
  </si>
  <si>
    <t>3x4=¡zas!</t>
  </si>
  <si>
    <t>4 en letras</t>
  </si>
  <si>
    <t>50 50: 50% cultura, 50% suerte</t>
  </si>
  <si>
    <t>6 ninmt! ¡Toma 6!</t>
  </si>
  <si>
    <t>23-julio</t>
  </si>
  <si>
    <t>7 Pecados</t>
  </si>
  <si>
    <t>7 Wonders</t>
  </si>
  <si>
    <t>H4</t>
  </si>
  <si>
    <t>falta una moneda de 3</t>
  </si>
  <si>
    <t>29-agosto</t>
  </si>
  <si>
    <t>7 Wonders: Manneken Pis</t>
  </si>
  <si>
    <t>4 junio</t>
  </si>
  <si>
    <t>7 Wonders Duel</t>
  </si>
  <si>
    <t>I5</t>
  </si>
  <si>
    <t>18-enero</t>
  </si>
  <si>
    <t>8 Bitbox</t>
  </si>
  <si>
    <t>A la chita callando (mucks mäuschenstill)</t>
  </si>
  <si>
    <t>Y4</t>
  </si>
  <si>
    <t>À la Cuisine</t>
  </si>
  <si>
    <t>A través del desierto</t>
  </si>
  <si>
    <t>Abalone</t>
  </si>
  <si>
    <t>A1</t>
  </si>
  <si>
    <t>Abejitas Zum Zum</t>
  </si>
  <si>
    <t>Abluxxen</t>
  </si>
  <si>
    <t>COL 3</t>
  </si>
  <si>
    <t>Abracada... ¿Qué?</t>
  </si>
  <si>
    <t>09-enero</t>
  </si>
  <si>
    <t>Academia Ninja</t>
  </si>
  <si>
    <t>Adaptoid 24</t>
  </si>
  <si>
    <t>DIC 2023</t>
  </si>
  <si>
    <t>Adios, Amigos!</t>
  </si>
  <si>
    <t>M4</t>
  </si>
  <si>
    <t>Adrenalina</t>
  </si>
  <si>
    <t>B2</t>
  </si>
  <si>
    <t>Adventure Games: Gran Hotel Abaddon</t>
  </si>
  <si>
    <t>Adventure Games: La mazmorra</t>
  </si>
  <si>
    <t>Aeon's End: La Guerra Eterna</t>
  </si>
  <si>
    <t>C3</t>
  </si>
  <si>
    <t>26 ABR 2025</t>
  </si>
  <si>
    <t>Aetherya</t>
  </si>
  <si>
    <t>D2</t>
  </si>
  <si>
    <t>23 NOV 2025</t>
  </si>
  <si>
    <t>Africana</t>
  </si>
  <si>
    <t>J1</t>
  </si>
  <si>
    <t>After Us</t>
  </si>
  <si>
    <t>H5</t>
  </si>
  <si>
    <t>FEB 2024</t>
  </si>
  <si>
    <t>Age of Empire III: La era de los descubrimientos</t>
  </si>
  <si>
    <t>K1</t>
  </si>
  <si>
    <t>caja tocada</t>
  </si>
  <si>
    <t>Age of War</t>
  </si>
  <si>
    <t>Agent Avenue</t>
  </si>
  <si>
    <t>Agent Hunter</t>
  </si>
  <si>
    <t>Agra</t>
  </si>
  <si>
    <t>G3</t>
  </si>
  <si>
    <t>Agra: Ambabari Elephant promo card</t>
  </si>
  <si>
    <t>Agrícola</t>
  </si>
  <si>
    <t>L4</t>
  </si>
  <si>
    <t>falta una carta</t>
  </si>
  <si>
    <t>Agrícola: A través de las estaciones</t>
  </si>
  <si>
    <t>Agricola: Nueva Edición</t>
  </si>
  <si>
    <t>E3</t>
  </si>
  <si>
    <t>Agropolis</t>
  </si>
  <si>
    <t>Airship City</t>
  </si>
  <si>
    <t>C4</t>
  </si>
  <si>
    <t>MARZO 2024</t>
  </si>
  <si>
    <t>Ajo y agua</t>
  </si>
  <si>
    <t>Akropolis</t>
  </si>
  <si>
    <t>ericplacton</t>
  </si>
  <si>
    <t>Aladino y la cueva de las maravillas</t>
  </si>
  <si>
    <t>Z5</t>
  </si>
  <si>
    <t>Alakatrus</t>
  </si>
  <si>
    <t>Aldabas: Puertas de Cartagena</t>
  </si>
  <si>
    <t>Alex Colt: Cadete Espacial</t>
  </si>
  <si>
    <t>Alhambra</t>
  </si>
  <si>
    <t>I3</t>
  </si>
  <si>
    <t>Alma Mater</t>
  </si>
  <si>
    <t>G2</t>
  </si>
  <si>
    <t>Aloha Pioha</t>
  </si>
  <si>
    <t>Alquimistas</t>
  </si>
  <si>
    <t>H3</t>
  </si>
  <si>
    <t>Alta Tensión</t>
  </si>
  <si>
    <t>L3</t>
  </si>
  <si>
    <t>Alta Tensión: China Corea</t>
  </si>
  <si>
    <t>Alta Tensión: Nuevas centrales eléctricas</t>
  </si>
  <si>
    <t>Altiplano</t>
  </si>
  <si>
    <t>E4</t>
  </si>
  <si>
    <t>falta manual (he impreso 1)</t>
  </si>
  <si>
    <t>Amazonia</t>
  </si>
  <si>
    <t>Amerigo</t>
  </si>
  <si>
    <t>L1</t>
  </si>
  <si>
    <t>Amun Re</t>
  </si>
  <si>
    <t>C2</t>
  </si>
  <si>
    <t>Anachrony</t>
  </si>
  <si>
    <t>K4</t>
  </si>
  <si>
    <t>Anachrony: Pack Mejoras módulo día del juicio</t>
  </si>
  <si>
    <t>Ancestree</t>
  </si>
  <si>
    <t>C0</t>
  </si>
  <si>
    <t>Andromeda's Edge</t>
  </si>
  <si>
    <t>L6</t>
  </si>
  <si>
    <t>Animal sobre Animal</t>
  </si>
  <si>
    <t>Animales a bordo</t>
  </si>
  <si>
    <t>Y6</t>
  </si>
  <si>
    <t>Animalitos escondidos</t>
  </si>
  <si>
    <t>Animazombis</t>
  </si>
  <si>
    <t>Anno 1800</t>
  </si>
  <si>
    <t>F5</t>
  </si>
  <si>
    <t>Ant-tomic</t>
  </si>
  <si>
    <t>Antarctica</t>
  </si>
  <si>
    <t>AntaYagi</t>
  </si>
  <si>
    <t>ENE 2024</t>
  </si>
  <si>
    <t>Antique</t>
  </si>
  <si>
    <t>AquaSphere</t>
  </si>
  <si>
    <t>F3</t>
  </si>
  <si>
    <t>Arcadia Quest</t>
  </si>
  <si>
    <t>A5</t>
  </si>
  <si>
    <t>Arcanya: Magic Academy</t>
  </si>
  <si>
    <t>Archaeology The New Expedition</t>
  </si>
  <si>
    <t>N4</t>
  </si>
  <si>
    <t>Ardillas del bosque</t>
  </si>
  <si>
    <t>Ardillas voladoras</t>
  </si>
  <si>
    <t>Arena: Roma 2</t>
  </si>
  <si>
    <t>I6</t>
  </si>
  <si>
    <t>Ark Nova</t>
  </si>
  <si>
    <t>Arka V</t>
  </si>
  <si>
    <t>Arkham Horror 2ª Edición</t>
  </si>
  <si>
    <t>B4</t>
  </si>
  <si>
    <t>Arkham Horror 3ª Edición</t>
  </si>
  <si>
    <t>Arkham Horror 3ª Edición: Noche Cerrada</t>
  </si>
  <si>
    <t>5 AGO 2024</t>
  </si>
  <si>
    <t>Arkham Horror 3ª Edición: Secretos de la Orden</t>
  </si>
  <si>
    <t>23 MAR 2025</t>
  </si>
  <si>
    <t>Arkham Noir Caso #1</t>
  </si>
  <si>
    <t>Arkham Noir Caso #2</t>
  </si>
  <si>
    <t>Arquitectos del Reino del Oeste</t>
  </si>
  <si>
    <t>J2</t>
  </si>
  <si>
    <t>Arquitectos del Reino del Oeste: Tableros Extra</t>
  </si>
  <si>
    <t>Arre Unicornio</t>
  </si>
  <si>
    <t>D5</t>
  </si>
  <si>
    <t>Arriba y Abajo</t>
  </si>
  <si>
    <t>B5</t>
  </si>
  <si>
    <t>Ars Universalis</t>
  </si>
  <si>
    <t>Asante</t>
  </si>
  <si>
    <t>Assyria</t>
  </si>
  <si>
    <t>E1</t>
  </si>
  <si>
    <t>Asteroyds</t>
  </si>
  <si>
    <t>H1</t>
  </si>
  <si>
    <t>Augustus</t>
  </si>
  <si>
    <t>AuZtralia</t>
  </si>
  <si>
    <t>Aventura Z: Vol 1 Lovecraft</t>
  </si>
  <si>
    <t>AXIO</t>
  </si>
  <si>
    <t>G1</t>
  </si>
  <si>
    <t>Azul</t>
  </si>
  <si>
    <t>J4</t>
  </si>
  <si>
    <t>Azul: Special Factories Promo</t>
  </si>
  <si>
    <t>Azul: Pabellón de Verano</t>
  </si>
  <si>
    <t>Azul: Pabellón de Verano - Pabellón Acristalado</t>
  </si>
  <si>
    <t>21 SEP 2025</t>
  </si>
  <si>
    <t>Azul: Vitrales de Sintra</t>
  </si>
  <si>
    <t>Baby Race</t>
  </si>
  <si>
    <t>Babydino</t>
  </si>
  <si>
    <t>Backgammon</t>
  </si>
  <si>
    <t>Balconia</t>
  </si>
  <si>
    <t>Bali</t>
  </si>
  <si>
    <t>M5</t>
  </si>
  <si>
    <t>Bandas Arco Iris</t>
  </si>
  <si>
    <t>Bang!</t>
  </si>
  <si>
    <t>D6</t>
  </si>
  <si>
    <t>19-febrero</t>
  </si>
  <si>
    <t>Bang! El Duelo</t>
  </si>
  <si>
    <t>21-julio</t>
  </si>
  <si>
    <t>Bang! El juego de dados</t>
  </si>
  <si>
    <t>Banjooli Xeet</t>
  </si>
  <si>
    <t>Baobab</t>
  </si>
  <si>
    <t>P2</t>
  </si>
  <si>
    <t>Bar Bestial</t>
  </si>
  <si>
    <t>Barcelona: La rosa de fuego</t>
  </si>
  <si>
    <t>Barrio</t>
  </si>
  <si>
    <t>Batalla de Genios Junior</t>
  </si>
  <si>
    <t>Z3</t>
  </si>
  <si>
    <t>Batalla por el Olimpo</t>
  </si>
  <si>
    <t>Battle Line</t>
  </si>
  <si>
    <t>Battlelore 2ª Edición</t>
  </si>
  <si>
    <t>A4</t>
  </si>
  <si>
    <t>29-julio</t>
  </si>
  <si>
    <t>Battlestar Galactica</t>
  </si>
  <si>
    <t>Battlestar Galactica: Pegasus</t>
  </si>
  <si>
    <t>Bauhaus</t>
  </si>
  <si>
    <t>Baumeister</t>
  </si>
  <si>
    <t>Bed Bugs</t>
  </si>
  <si>
    <t>Bee War</t>
  </si>
  <si>
    <t>Between Two Cities</t>
  </si>
  <si>
    <t>Bichos</t>
  </si>
  <si>
    <t>Bienvenidos a la mazmorra</t>
  </si>
  <si>
    <t>Big Bang 13.7</t>
  </si>
  <si>
    <t>Big Bazar</t>
  </si>
  <si>
    <t>Bim Bam Bum</t>
  </si>
  <si>
    <t>16 OCT 2025</t>
  </si>
  <si>
    <t>Bitoku</t>
  </si>
  <si>
    <t>F2</t>
  </si>
  <si>
    <t>BITS</t>
  </si>
  <si>
    <t>Black Hills</t>
  </si>
  <si>
    <t>Black Stories Junior: Red Stories</t>
  </si>
  <si>
    <t>Blank</t>
  </si>
  <si>
    <t>Blind Business</t>
  </si>
  <si>
    <t>20 JUL 2023</t>
  </si>
  <si>
    <t>Blood Bowl: Team Manager</t>
  </si>
  <si>
    <t>Blood on the Clocktower (PnP)</t>
  </si>
  <si>
    <t>O4</t>
  </si>
  <si>
    <t>15 MAR 2025</t>
  </si>
  <si>
    <t>Blood Rage</t>
  </si>
  <si>
    <t>A3</t>
  </si>
  <si>
    <t>Bloom</t>
  </si>
  <si>
    <t>Blueprints</t>
  </si>
  <si>
    <t>Bluff Party</t>
  </si>
  <si>
    <t>Bohnanza</t>
  </si>
  <si>
    <t>Bohnanza: Bohnaparte &amp; High Bohn</t>
  </si>
  <si>
    <t>Bohnanza: La judía tenía un precio</t>
  </si>
  <si>
    <t>Bombay</t>
  </si>
  <si>
    <t>Boom Party</t>
  </si>
  <si>
    <t>Boombeados</t>
  </si>
  <si>
    <t>Borderlands: La palestra sangrienta del Señor Torgue</t>
  </si>
  <si>
    <t>Bottle Imp</t>
  </si>
  <si>
    <t>15 MAY 2025</t>
  </si>
  <si>
    <t>Boule Rouge</t>
  </si>
  <si>
    <t>Brass: Birmingham</t>
  </si>
  <si>
    <t>E2</t>
  </si>
  <si>
    <t>Brotherhood &amp; Unity (Hermandad y Unidad)</t>
  </si>
  <si>
    <t>Brumm Brumm</t>
  </si>
  <si>
    <t>Bruxelles 1893</t>
  </si>
  <si>
    <t>Buffet Boss</t>
  </si>
  <si>
    <t>20 NOV 2024</t>
  </si>
  <si>
    <t>Buildzi</t>
  </si>
  <si>
    <t>Bunny Hops! (versión mini)</t>
  </si>
  <si>
    <t>Bunny Kingdom</t>
  </si>
  <si>
    <t>E5</t>
  </si>
  <si>
    <t>Burning Bakery</t>
  </si>
  <si>
    <t>Caballeros Guerreros</t>
  </si>
  <si>
    <t>CABO</t>
  </si>
  <si>
    <t>Cacao</t>
  </si>
  <si>
    <t>18-agosto</t>
  </si>
  <si>
    <t>Cacao: Xocolatl</t>
  </si>
  <si>
    <t>Café</t>
  </si>
  <si>
    <t>Cakes!</t>
  </si>
  <si>
    <t>30 AGO 2025</t>
  </si>
  <si>
    <t>Calico</t>
  </si>
  <si>
    <t>Calimala</t>
  </si>
  <si>
    <t>Callisto</t>
  </si>
  <si>
    <t>Camel Up</t>
  </si>
  <si>
    <t>D3</t>
  </si>
  <si>
    <t>revisar</t>
  </si>
  <si>
    <t>Camel Up Cartas</t>
  </si>
  <si>
    <t>Camel Up Cards: Catch Up Trophies</t>
  </si>
  <si>
    <t>Camel Up: El camello árbitro</t>
  </si>
  <si>
    <t>Camel Up: Supercup</t>
  </si>
  <si>
    <t>Campos de Arle: Big Box</t>
  </si>
  <si>
    <t>16 DIC 2024</t>
  </si>
  <si>
    <t>Can't Stop</t>
  </si>
  <si>
    <t>K3</t>
  </si>
  <si>
    <t>Candy Match</t>
  </si>
  <si>
    <t>Caper</t>
  </si>
  <si>
    <t>Capitán Bacon</t>
  </si>
  <si>
    <t>Capitán Flint</t>
  </si>
  <si>
    <t>Capitán Pepe, ¡Tesoro a la Vista!</t>
  </si>
  <si>
    <t>14 JUN 2025</t>
  </si>
  <si>
    <t>Captain Flip</t>
  </si>
  <si>
    <t>MAR 2024</t>
  </si>
  <si>
    <t>SiempreNosQuedaráCatán</t>
  </si>
  <si>
    <t>Carcassonne</t>
  </si>
  <si>
    <t>ExpOtaku</t>
  </si>
  <si>
    <t>X</t>
  </si>
  <si>
    <t>Carcassonne: Cazadores y Recolectores</t>
  </si>
  <si>
    <t>Carcassonne Junior</t>
  </si>
  <si>
    <t>Carcata</t>
  </si>
  <si>
    <t>D4</t>
  </si>
  <si>
    <t>Cargolino Valentino</t>
  </si>
  <si>
    <t>Carnegie</t>
  </si>
  <si>
    <t>Carnegie: Departments and Donations Expansion</t>
  </si>
  <si>
    <t>Carrera de caracoles</t>
  </si>
  <si>
    <t>Cartagena</t>
  </si>
  <si>
    <t>M6</t>
  </si>
  <si>
    <t>Cartaventuras</t>
  </si>
  <si>
    <t>CarTcassonne</t>
  </si>
  <si>
    <t>Cascadia</t>
  </si>
  <si>
    <t>Cascadia: Cartas Promocionales Kickstarter</t>
  </si>
  <si>
    <t>Cash &amp; Guns</t>
  </si>
  <si>
    <t>Castillo Medieval</t>
  </si>
  <si>
    <t>Castle Combo</t>
  </si>
  <si>
    <t>24 MAY 2025</t>
  </si>
  <si>
    <t>Castlecards</t>
  </si>
  <si>
    <t>Castles of Mad King Ludwig</t>
  </si>
  <si>
    <t>H2</t>
  </si>
  <si>
    <t>Cat in the box</t>
  </si>
  <si>
    <t>Cats</t>
  </si>
  <si>
    <t>Caverna</t>
  </si>
  <si>
    <t>Caverna: The Forgotten Folk – Halflings promo</t>
  </si>
  <si>
    <t>Cavum</t>
  </si>
  <si>
    <t>faltan 2 losetas</t>
  </si>
  <si>
    <t>18-sept</t>
  </si>
  <si>
    <t>Caylus</t>
  </si>
  <si>
    <t>11-agosto</t>
  </si>
  <si>
    <t>Celestia</t>
  </si>
  <si>
    <t>Century: Eine neue Welt (A New World)</t>
  </si>
  <si>
    <t>Century: La ruta de las especias</t>
  </si>
  <si>
    <t>Century: Maravillas del Oriente</t>
  </si>
  <si>
    <t>Cerbero</t>
  </si>
  <si>
    <t>Cerca y Lejos</t>
  </si>
  <si>
    <t>Ceylon</t>
  </si>
  <si>
    <t>Change Horses</t>
  </si>
  <si>
    <t>I4</t>
  </si>
  <si>
    <t>Checkpoint Charlie</t>
  </si>
  <si>
    <t>Chimera Station</t>
  </si>
  <si>
    <t>Chimere</t>
  </si>
  <si>
    <t>Chuches</t>
  </si>
  <si>
    <t>Churchill</t>
  </si>
  <si>
    <t>Cielos de Metal</t>
  </si>
  <si>
    <t>Cities</t>
  </si>
  <si>
    <t>Citrus</t>
  </si>
  <si>
    <t xml:space="preserve">Citrus: New Landscape Tiles </t>
  </si>
  <si>
    <t>City Blox</t>
  </si>
  <si>
    <t>Ciudad Machi Koro</t>
  </si>
  <si>
    <t>Ciudad Machi Koro: Harbor Expansion</t>
  </si>
  <si>
    <t>Ciudadelas</t>
  </si>
  <si>
    <t>7-octubre</t>
  </si>
  <si>
    <t>Civolución</t>
  </si>
  <si>
    <t>MAY 2025</t>
  </si>
  <si>
    <t>pestre</t>
  </si>
  <si>
    <t>Claim</t>
  </si>
  <si>
    <t>Clank!: Catacumbas</t>
  </si>
  <si>
    <t>Abelardoz</t>
  </si>
  <si>
    <t>Clank!: ¡En el espacio!</t>
  </si>
  <si>
    <t>Clank!: Una aventura de construccion de mazos</t>
  </si>
  <si>
    <t>Clans</t>
  </si>
  <si>
    <t>Claro</t>
  </si>
  <si>
    <t>Clash of Cultures</t>
  </si>
  <si>
    <t>Clash of Decks: Starter Kit</t>
  </si>
  <si>
    <t>Cleocatra</t>
  </si>
  <si>
    <t>Cloud City</t>
  </si>
  <si>
    <t>CloudAge</t>
  </si>
  <si>
    <t>F1</t>
  </si>
  <si>
    <t>Clout Fantasy</t>
  </si>
  <si>
    <t>Cluedo: The Simpsons</t>
  </si>
  <si>
    <t>Y1</t>
  </si>
  <si>
    <t>CO2: Segunda Oportunidad</t>
  </si>
  <si>
    <t>K6</t>
  </si>
  <si>
    <t>Cocos Locos</t>
  </si>
  <si>
    <t>Código Secreto</t>
  </si>
  <si>
    <t>13-octubre</t>
  </si>
  <si>
    <t>Código Secreto: Authors &amp; Games     (2)</t>
  </si>
  <si>
    <t>Código Secreto: Exp. Promocional Andalucía    (2)</t>
  </si>
  <si>
    <t>Código Secreto 13+4</t>
  </si>
  <si>
    <t>Código Secreto Duo</t>
  </si>
  <si>
    <t>Código Secreto: Imágenes</t>
  </si>
  <si>
    <t>Codinca (PNP)</t>
  </si>
  <si>
    <t>Coimbra</t>
  </si>
  <si>
    <t>Colo Colorines</t>
  </si>
  <si>
    <t>Colonial Space Wars: New Horizons</t>
  </si>
  <si>
    <t>Colonias Cósmicas</t>
  </si>
  <si>
    <t>Colonos de Catan</t>
  </si>
  <si>
    <t>I1</t>
  </si>
  <si>
    <t>Colonos de Catan: Edición Viaje</t>
  </si>
  <si>
    <t>Colonos de Catan: El auge de los Incas</t>
  </si>
  <si>
    <t>Colonos de Catan (Mallorca)</t>
  </si>
  <si>
    <t>Colonos de Catan (Península Ibérica)</t>
  </si>
  <si>
    <t>Colonos de Catan: Ciudades y Caballeros</t>
  </si>
  <si>
    <t>Colonos de Catan Deutchland Edition</t>
  </si>
  <si>
    <t>Colonos de Catan Junior</t>
  </si>
  <si>
    <t>tiena la ficha azul rota</t>
  </si>
  <si>
    <t>20-septiembre</t>
  </si>
  <si>
    <t>Colonos de Catan Junior 2014</t>
  </si>
  <si>
    <t>Colonos de Catan: El juego de dados</t>
  </si>
  <si>
    <t>Colonos de Catan: Navegantes</t>
  </si>
  <si>
    <t>Colonos del Imperio</t>
  </si>
  <si>
    <t>1-agosto</t>
  </si>
  <si>
    <t>Coloretto</t>
  </si>
  <si>
    <t>Colors of Paris</t>
  </si>
  <si>
    <t>J5</t>
  </si>
  <si>
    <t>Colosseum</t>
  </si>
  <si>
    <t>sin ficha amarilla de punt.</t>
  </si>
  <si>
    <t>30-agosto</t>
  </si>
  <si>
    <t>Colour Brain</t>
  </si>
  <si>
    <t>Colt Express</t>
  </si>
  <si>
    <t>falta 1 bolsa de 250$</t>
  </si>
  <si>
    <t>26-diciembre</t>
  </si>
  <si>
    <t>Combat Commander: Europa</t>
  </si>
  <si>
    <t>Combat Commander: Pacífico</t>
  </si>
  <si>
    <t>Come Nachos</t>
  </si>
  <si>
    <t>Comet</t>
  </si>
  <si>
    <t>Cometas</t>
  </si>
  <si>
    <t>Commands &amp; Colors: Edad Antigua</t>
  </si>
  <si>
    <t>CON 5</t>
  </si>
  <si>
    <t>Concerto</t>
  </si>
  <si>
    <t>Concordia</t>
  </si>
  <si>
    <t>Concordia: Britannia &amp; Germania</t>
  </si>
  <si>
    <t>Concordia: Salsa</t>
  </si>
  <si>
    <t>Conex</t>
  </si>
  <si>
    <t>Conspiracy: Abyss Universe</t>
  </si>
  <si>
    <t>Constructorres</t>
  </si>
  <si>
    <t>Copenhagen</t>
  </si>
  <si>
    <t>Copenhagen: Nyhavn</t>
  </si>
  <si>
    <t>Coral</t>
  </si>
  <si>
    <t>CoraQuest</t>
  </si>
  <si>
    <t>Cordoba</t>
  </si>
  <si>
    <t>Coup (PNP)</t>
  </si>
  <si>
    <t>Coup: Guatemala 1954</t>
  </si>
  <si>
    <t>Coup Reforma</t>
  </si>
  <si>
    <t>Coup X</t>
  </si>
  <si>
    <t>Covenant</t>
  </si>
  <si>
    <t>Coyote</t>
  </si>
  <si>
    <t>Coyote (Asmodee 2025)</t>
  </si>
  <si>
    <t>Cranium Zigity</t>
  </si>
  <si>
    <t>Crazy Clack!</t>
  </si>
  <si>
    <t>falta 1 ficha</t>
  </si>
  <si>
    <t>Crazy Eggz</t>
  </si>
  <si>
    <t>Crazy Fishing</t>
  </si>
  <si>
    <t>Crazy Food</t>
  </si>
  <si>
    <t>Crisis</t>
  </si>
  <si>
    <t>Crokinole</t>
  </si>
  <si>
    <t>Crónicas</t>
  </si>
  <si>
    <t>Crónicas de Avel</t>
  </si>
  <si>
    <t>Z4</t>
  </si>
  <si>
    <t>ABRIL 2024</t>
  </si>
  <si>
    <t>Crónicas del Crimen</t>
  </si>
  <si>
    <t>G5</t>
  </si>
  <si>
    <t>Carlitosprrrrr</t>
  </si>
  <si>
    <t>Crónicas del Crimen: Noir</t>
  </si>
  <si>
    <t>Crónicas del Crimen: The Virtual Reality Module</t>
  </si>
  <si>
    <t>Crónicas del Crimen: Bienvenido a Redview</t>
  </si>
  <si>
    <t>Crown of Emara</t>
  </si>
  <si>
    <t>Crypt</t>
  </si>
  <si>
    <t>8 AGO 2025</t>
  </si>
  <si>
    <t>Cryptid</t>
  </si>
  <si>
    <t>Crystal Palace</t>
  </si>
  <si>
    <t>Cthulhu Crusades</t>
  </si>
  <si>
    <t>Cthulhu Cubes</t>
  </si>
  <si>
    <t>Cthulhu Dados</t>
  </si>
  <si>
    <t>Cthulhu: Death May Die</t>
  </si>
  <si>
    <t>Cuac!</t>
  </si>
  <si>
    <t>Cuba</t>
  </si>
  <si>
    <t>27- enero</t>
  </si>
  <si>
    <t>Cuba: Hazienda</t>
  </si>
  <si>
    <t>Cuba: Kanadische Botschaft</t>
  </si>
  <si>
    <t>Cuba: Sambachule</t>
  </si>
  <si>
    <t>Cuba: Spielcafé</t>
  </si>
  <si>
    <t>Cubirds</t>
  </si>
  <si>
    <t>Cubitos</t>
  </si>
  <si>
    <t>Cucu Tras ¿qué hay detrás?</t>
  </si>
  <si>
    <t>Cuentos de buenas noches para niñas rebeldes</t>
  </si>
  <si>
    <t>Cupcake Empire</t>
  </si>
  <si>
    <t>Cuzco</t>
  </si>
  <si>
    <t>I2</t>
  </si>
  <si>
    <t>CV</t>
  </si>
  <si>
    <t>E0</t>
  </si>
  <si>
    <t>Cyberpunk 2077: Bandas de Night City</t>
  </si>
  <si>
    <t>D-Day Dice</t>
  </si>
  <si>
    <t>Dados y Colonos</t>
  </si>
  <si>
    <t>Dados y Colomos: Promo de Teotihuacan</t>
  </si>
  <si>
    <t>Dados Zombie</t>
  </si>
  <si>
    <t>Dados Zombie 2</t>
  </si>
  <si>
    <t>Daimyo: El Renacer del Imperio</t>
  </si>
  <si>
    <t>L5</t>
  </si>
  <si>
    <t>Daitoshi</t>
  </si>
  <si>
    <t>Dakota</t>
  </si>
  <si>
    <t>Danger</t>
  </si>
  <si>
    <t>16 OCT 2024</t>
  </si>
  <si>
    <t>Darwin's Journey</t>
  </si>
  <si>
    <t>8 MAR 2025</t>
  </si>
  <si>
    <t>Das Fundament der Ewigkeit (La Columna de Fuego)</t>
  </si>
  <si>
    <t>B1</t>
  </si>
  <si>
    <t>De Flor en Flor</t>
  </si>
  <si>
    <t>De Vulgari Eloquentia</t>
  </si>
  <si>
    <t>Dead Cells: The Rogue-Lite Board Game</t>
  </si>
  <si>
    <t>Dead of Winter</t>
  </si>
  <si>
    <t>B3</t>
  </si>
  <si>
    <t>26-junio</t>
  </si>
  <si>
    <t>Death Over the Kingdom</t>
  </si>
  <si>
    <t>Decktective: Rosas de sangre</t>
  </si>
  <si>
    <t>Deep Sea Adventure</t>
  </si>
  <si>
    <t>Deja-Vu</t>
  </si>
  <si>
    <t>Delicats</t>
  </si>
  <si>
    <t>Demon Worker</t>
  </si>
  <si>
    <t>Dentaday</t>
  </si>
  <si>
    <t>Dentro del Laberinto</t>
  </si>
  <si>
    <t>Der Club der Verschwender (The Prodigals Club)</t>
  </si>
  <si>
    <t>Descent Segunda Edición</t>
  </si>
  <si>
    <t>Descubre ¿Quién robó en el gallinero?</t>
  </si>
  <si>
    <t>Despistados en la granja</t>
  </si>
  <si>
    <t>Destinies</t>
  </si>
  <si>
    <t>A6</t>
  </si>
  <si>
    <t>Destinies: Mar de Arena</t>
  </si>
  <si>
    <t>Detecteam Family</t>
  </si>
  <si>
    <t>Detective: Conexión Viena</t>
  </si>
  <si>
    <t>Detective: Un juego de investigación moderno</t>
  </si>
  <si>
    <t>Detective: Un juego de investigación moderno – Temporada 1</t>
  </si>
  <si>
    <t>Detectives Paranormales</t>
  </si>
  <si>
    <t>Diamant</t>
  </si>
  <si>
    <t>Días de Ira: Budapest 1956</t>
  </si>
  <si>
    <t>Diáspora</t>
  </si>
  <si>
    <t>Diavolo</t>
  </si>
  <si>
    <t>Dice Drivin'</t>
  </si>
  <si>
    <t>Dice Forge</t>
  </si>
  <si>
    <t>Dice Hospital</t>
  </si>
  <si>
    <t>Die Burgen von Burgund (Los Castillos de Borgoña)</t>
  </si>
  <si>
    <t>Die BvB: 1st Exp. – New Player Boards</t>
  </si>
  <si>
    <t>Die BvB: 3rd Exp. – German Championship  2013</t>
  </si>
  <si>
    <t>Die BvB: 7th Exp. – German Championship 2016</t>
  </si>
  <si>
    <t>Die Speicherstadt</t>
  </si>
  <si>
    <t>M2</t>
  </si>
  <si>
    <t>Die Staufer</t>
  </si>
  <si>
    <t>6 noviembre</t>
  </si>
  <si>
    <t>Die Werft (Shipyard)</t>
  </si>
  <si>
    <t>Dino Bones</t>
  </si>
  <si>
    <t>Dino Path</t>
  </si>
  <si>
    <t>Dino Race</t>
  </si>
  <si>
    <t>Diplomacy</t>
  </si>
  <si>
    <t>Director de Campaña 2008</t>
  </si>
  <si>
    <t>Discordia</t>
  </si>
  <si>
    <t>2 AGO 2025</t>
  </si>
  <si>
    <t>Discoveries: The Journals of Lewis &amp; Clark</t>
  </si>
  <si>
    <t>Disney Lorcana: Preludio</t>
  </si>
  <si>
    <t>Disney Villainous: Unstoppable!</t>
  </si>
  <si>
    <t>Spider</t>
  </si>
  <si>
    <t>Disney Villains: The Card Game</t>
  </si>
  <si>
    <t>Distopia</t>
  </si>
  <si>
    <t>Dive</t>
  </si>
  <si>
    <t>Divinare</t>
  </si>
  <si>
    <t>Dixit: Disney Edition</t>
  </si>
  <si>
    <t>Dixit: Oddissey</t>
  </si>
  <si>
    <t>Dobble</t>
  </si>
  <si>
    <t>falta 1 carta</t>
  </si>
  <si>
    <t>Dobble Cars</t>
  </si>
  <si>
    <t>Dobble Super Mario</t>
  </si>
  <si>
    <t>Dobble XXL</t>
  </si>
  <si>
    <t>2 JUN 2023</t>
  </si>
  <si>
    <t>Dodo</t>
  </si>
  <si>
    <t>Doggy Bag</t>
  </si>
  <si>
    <t>Dojima</t>
  </si>
  <si>
    <t>Dominant Species</t>
  </si>
  <si>
    <t>Dominion</t>
  </si>
  <si>
    <t>Dominion: Edad Oscura</t>
  </si>
  <si>
    <t>Dominó Junior</t>
  </si>
  <si>
    <t>Doodle China</t>
  </si>
  <si>
    <t>Downforce</t>
  </si>
  <si>
    <t>Downforce: Riesgo Extremo</t>
  </si>
  <si>
    <t>Drachendelta</t>
  </si>
  <si>
    <t>15-septiembre</t>
  </si>
  <si>
    <t>Draftosaurus</t>
  </si>
  <si>
    <t>Dragomino</t>
  </si>
  <si>
    <t>Dragon Parks</t>
  </si>
  <si>
    <t>Dragondraft</t>
  </si>
  <si>
    <t>Dragones de Agua</t>
  </si>
  <si>
    <t>OCT 2024</t>
  </si>
  <si>
    <t>Dragones y Gallinas</t>
  </si>
  <si>
    <t>Dragons</t>
  </si>
  <si>
    <t>Drakkar Tum Tum</t>
  </si>
  <si>
    <t>Drako: Enanos &amp; Dragón</t>
  </si>
  <si>
    <t>M1</t>
  </si>
  <si>
    <t>Drakon</t>
  </si>
  <si>
    <t>Dual Powers: Revolución 1917</t>
  </si>
  <si>
    <t>Duck &amp; Cover</t>
  </si>
  <si>
    <t>Duelo por Cardia</t>
  </si>
  <si>
    <t>Dune: Imperium</t>
  </si>
  <si>
    <t>Dune: Secretos de las Casas</t>
  </si>
  <si>
    <t>25 FEB 2025</t>
  </si>
  <si>
    <t>Dungeon Drop</t>
  </si>
  <si>
    <t>Dungeon Fighter</t>
  </si>
  <si>
    <t>L2</t>
  </si>
  <si>
    <t>Dungeon Lite: Orcs and Knights</t>
  </si>
  <si>
    <t>Dungeon Raiders</t>
  </si>
  <si>
    <t>Dungeon Raiders 2018</t>
  </si>
  <si>
    <t>Dungeon Saga</t>
  </si>
  <si>
    <t>Dungeon WC</t>
  </si>
  <si>
    <t>Dungeoneer Demonios</t>
  </si>
  <si>
    <t>Dungeoneer Liche</t>
  </si>
  <si>
    <t>DungeonQuest</t>
  </si>
  <si>
    <t>Duplik</t>
  </si>
  <si>
    <t>Dust</t>
  </si>
  <si>
    <t>Ekö</t>
  </si>
  <si>
    <t>El Ansia</t>
  </si>
  <si>
    <t>TrujiLand</t>
  </si>
  <si>
    <t>El Aprendiz de Merlín</t>
  </si>
  <si>
    <t>El Baile de disfraces de las mariquitas</t>
  </si>
  <si>
    <t>El Banquete de Odín</t>
  </si>
  <si>
    <t>El Capitán</t>
  </si>
  <si>
    <t>El Casero</t>
  </si>
  <si>
    <t>El Castillo de la rana escaladora</t>
  </si>
  <si>
    <t>El Castillo del Diablo</t>
  </si>
  <si>
    <t>El Castillo del Terror</t>
  </si>
  <si>
    <t>El Cuco Kiko estrena nido</t>
  </si>
  <si>
    <t>El Curso de la Historia</t>
  </si>
  <si>
    <t>El Desafio de los Templos</t>
  </si>
  <si>
    <t>El Desierto Prohibido</t>
  </si>
  <si>
    <t>El Enigma de los Templos</t>
  </si>
  <si>
    <t xml:space="preserve">El Espía (que se perdió) </t>
  </si>
  <si>
    <t>El Favor del Faraón</t>
  </si>
  <si>
    <t>El Foro de Trajano</t>
  </si>
  <si>
    <t>El Foro de Trajano: Ciudadanos Honorables</t>
  </si>
  <si>
    <t>El Foro de Trajano: Cartas Promo Essen</t>
  </si>
  <si>
    <t>El Frutal</t>
  </si>
  <si>
    <t>9 OCT 2025</t>
  </si>
  <si>
    <t>El Gran Libro de la Locura</t>
  </si>
  <si>
    <t>El Grande 20º Aniversario</t>
  </si>
  <si>
    <t>El Grande (Nueva Edición)</t>
  </si>
  <si>
    <t>El Hobbit</t>
  </si>
  <si>
    <t>B6</t>
  </si>
  <si>
    <t>El Hobbit: El juego de cartas</t>
  </si>
  <si>
    <t>El Hobbit: La Desolacion de Smaug</t>
  </si>
  <si>
    <t>El Hombre Lobo Edición Definitiva</t>
  </si>
  <si>
    <t>El Hombre Lobo Expansión Artefactos</t>
  </si>
  <si>
    <t>El Laberinto Mágico</t>
  </si>
  <si>
    <t>El Maestro</t>
  </si>
  <si>
    <t>El Ministerio del Tiempo</t>
  </si>
  <si>
    <t>D0</t>
  </si>
  <si>
    <t>El Monstruo de colores</t>
  </si>
  <si>
    <t>El Monstruo de los calcetines</t>
  </si>
  <si>
    <t>El Mortal</t>
  </si>
  <si>
    <t>El Mundo de Aguila Roja</t>
  </si>
  <si>
    <t>El Oráculo de Delfos</t>
  </si>
  <si>
    <t>El oro maldito</t>
  </si>
  <si>
    <t>El Padrino</t>
  </si>
  <si>
    <t>El Portal de Molthar</t>
  </si>
  <si>
    <t>El Portero Baldomero</t>
  </si>
  <si>
    <t>El Rey de los Dados</t>
  </si>
  <si>
    <t>El Rey de los Dados: El Juego de Mesa</t>
  </si>
  <si>
    <t>El Rey de los Enanos</t>
  </si>
  <si>
    <t>El Robo del Siglo</t>
  </si>
  <si>
    <t>El Señor de los Anillos</t>
  </si>
  <si>
    <t>caja rota</t>
  </si>
  <si>
    <t>El Señor de los Anillos: El Viaje a Mordor</t>
  </si>
  <si>
    <t>El Séptimo Héroe</t>
  </si>
  <si>
    <t>El Sheriff de Nottingham</t>
  </si>
  <si>
    <t>El Soneto</t>
  </si>
  <si>
    <t>El Susurro de las Hojas</t>
  </si>
  <si>
    <t>El Tango de la Tarántula</t>
  </si>
  <si>
    <t>El Tesoro de Isla Tortuga</t>
  </si>
  <si>
    <t>El Tesoro de los Dragones</t>
  </si>
  <si>
    <t>El Tesoro de San Borondón</t>
  </si>
  <si>
    <t>El Último Superviviente</t>
  </si>
  <si>
    <t>El Valle de los Mercaderes</t>
  </si>
  <si>
    <t>El Valle de los Molinos</t>
  </si>
  <si>
    <t>El Valle de los Reyes</t>
  </si>
  <si>
    <t>El Valle de los Vikingos</t>
  </si>
  <si>
    <t>Eldritch Horror</t>
  </si>
  <si>
    <t>Eldritch Horror: Saber Olvidado</t>
  </si>
  <si>
    <t>Electrópolis</t>
  </si>
  <si>
    <t>Elefantes al tablón</t>
  </si>
  <si>
    <t>Elements</t>
  </si>
  <si>
    <t>Emboscados</t>
  </si>
  <si>
    <t>En el año del dragón</t>
  </si>
  <si>
    <t>En la mente de Sherlock</t>
  </si>
  <si>
    <t>Endeavor: La era de la navegación</t>
  </si>
  <si>
    <t>K5</t>
  </si>
  <si>
    <t>Endeavor: Dominion Mini Expansión</t>
  </si>
  <si>
    <t>Endeavor: Aprovecha tu destino Mini Expansión</t>
  </si>
  <si>
    <t>Endeavor: Mar Profundo</t>
  </si>
  <si>
    <t>Enigma</t>
  </si>
  <si>
    <t>Ensalada de Bichos</t>
  </si>
  <si>
    <t>Ensalada de Puntos</t>
  </si>
  <si>
    <t>Entre dos castillos del Rey Loco Ludwig</t>
  </si>
  <si>
    <t>Epic</t>
  </si>
  <si>
    <t>Eriantys</t>
  </si>
  <si>
    <t>Erizos, ¡A rodar!</t>
  </si>
  <si>
    <t>Erizos a la Carrera</t>
  </si>
  <si>
    <t>Esbirros</t>
  </si>
  <si>
    <t>Escape Pods</t>
  </si>
  <si>
    <t>Escape Room: The Game</t>
  </si>
  <si>
    <t>F6</t>
  </si>
  <si>
    <t>Escape: The Curse of the Temple</t>
  </si>
  <si>
    <t>Escape Tales: El despertar</t>
  </si>
  <si>
    <t>G6</t>
  </si>
  <si>
    <t>Escape Tales: Sin memoria</t>
  </si>
  <si>
    <t>Escape the Room: El Secreto del Dr. Gravely</t>
  </si>
  <si>
    <t>Escuela de pingüinos</t>
  </si>
  <si>
    <t>falta un pez, sujetapared</t>
  </si>
  <si>
    <t>ESDLA: El Duelo por la Tierra Media</t>
  </si>
  <si>
    <t>Loanna</t>
  </si>
  <si>
    <t>ESDLA: La Batalla por la Tierra Media</t>
  </si>
  <si>
    <t>Esferamidal</t>
  </si>
  <si>
    <t>España 20: La Guerra Peninsular</t>
  </si>
  <si>
    <t>Estado de Sitio</t>
  </si>
  <si>
    <t>Estudio en Esmeralda (Segunda Edición)</t>
  </si>
  <si>
    <t>Euphoria: Construye una distopia mejor</t>
  </si>
  <si>
    <t>Eureka!</t>
  </si>
  <si>
    <t>Everdell</t>
  </si>
  <si>
    <t>Ex Libris</t>
  </si>
  <si>
    <t>Exit: El cementerio de las tinieblas</t>
  </si>
  <si>
    <t>Exit: El Laboratorio Secreto</t>
  </si>
  <si>
    <t xml:space="preserve">Exit: El Señor de los Anillos: Sombras sobre Tierra Media </t>
  </si>
  <si>
    <t>Exit: La cabaña abandonada</t>
  </si>
  <si>
    <t>Exit: La desaparición de Sherlock Holmes</t>
  </si>
  <si>
    <t>10 OCT 2025</t>
  </si>
  <si>
    <t>Exit: La puerta entre los mundos</t>
  </si>
  <si>
    <t>Exit: La Tumba del Faraón</t>
  </si>
  <si>
    <t>Exit: Las catacumbas del terror</t>
  </si>
  <si>
    <t>20 JUN 2024</t>
  </si>
  <si>
    <t>Exit: Muerte en el Orient Express</t>
  </si>
  <si>
    <t>Exit: Puzzle – El templo perdido</t>
  </si>
  <si>
    <t>Exit: Secuestro en Fortune City</t>
  </si>
  <si>
    <t>10 FEB 2025</t>
  </si>
  <si>
    <t>Exit Kids: Acertijos en la jungla</t>
  </si>
  <si>
    <t>Exploding Kittens: Edición NSFW</t>
  </si>
  <si>
    <t>Exploradores</t>
  </si>
  <si>
    <t>Exploradores de las estrellas</t>
  </si>
  <si>
    <t>Exploradores del Valle Perdido</t>
  </si>
  <si>
    <t>Eye 'N Seek</t>
  </si>
  <si>
    <t>Fábula Regnum</t>
  </si>
  <si>
    <t>Fabulántica</t>
  </si>
  <si>
    <t>Fábulas de Peluche</t>
  </si>
  <si>
    <t>Fairy Tile</t>
  </si>
  <si>
    <t>Familiarizados</t>
  </si>
  <si>
    <t>Familienbande</t>
  </si>
  <si>
    <t>Fanhunter: Assault</t>
  </si>
  <si>
    <t>Fanhunter Assault: Fanpiro</t>
  </si>
  <si>
    <t>Fantasia S.A.</t>
  </si>
  <si>
    <t>Fantasma Blitz</t>
  </si>
  <si>
    <t>Fantasma Blitz 2.0</t>
  </si>
  <si>
    <t>Fantasma Blitz las 12 menos 5</t>
  </si>
  <si>
    <t>Fantasma Blitz ¡menudo susto!</t>
  </si>
  <si>
    <t>Fantastic Park</t>
  </si>
  <si>
    <t>Fantasy Realms</t>
  </si>
  <si>
    <t>Faraway</t>
  </si>
  <si>
    <t>Fast Food Battle</t>
  </si>
  <si>
    <t>Fast Food Fear</t>
  </si>
  <si>
    <t>Fauna</t>
  </si>
  <si>
    <t>Feed the Kraken</t>
  </si>
  <si>
    <t>Feelinks</t>
  </si>
  <si>
    <t>Feliz No Cumpleaños</t>
  </si>
  <si>
    <t>20 DIC 2024</t>
  </si>
  <si>
    <t>Fertility</t>
  </si>
  <si>
    <t>Festival</t>
  </si>
  <si>
    <t>Festival Jugamos Tod@s</t>
  </si>
  <si>
    <t>Festival Jugamos Tod@s: Festival 2025</t>
  </si>
  <si>
    <t>Festival of a Thousand Cats</t>
  </si>
  <si>
    <t>Fiesta de regalos</t>
  </si>
  <si>
    <t>Fila Filo</t>
  </si>
  <si>
    <t>falta un soporte de arriba</t>
  </si>
  <si>
    <t>19-diciembre</t>
  </si>
  <si>
    <t>Final Fantasy TCG</t>
  </si>
  <si>
    <t>Firefly: El Juego</t>
  </si>
  <si>
    <t>First Rat</t>
  </si>
  <si>
    <t>Five Tribes: The Djinns of Naqala</t>
  </si>
  <si>
    <t>Flamme Rouge</t>
  </si>
  <si>
    <t>Flamme Rouge: Le Grand Tour 2018</t>
  </si>
  <si>
    <t>Flap Flap</t>
  </si>
  <si>
    <t>Flash Point: Fire Rescue (¡Rescate!)</t>
  </si>
  <si>
    <t>falta maquetar las cartas, faltan 3 marcadores</t>
  </si>
  <si>
    <t>24-julio</t>
  </si>
  <si>
    <t>Flashback: Zombie Kidz</t>
  </si>
  <si>
    <t>Flick em Up: Tierra de forajidos</t>
  </si>
  <si>
    <t>Flip 7</t>
  </si>
  <si>
    <t>Fog of Love</t>
  </si>
  <si>
    <t>Food Chain Magnate</t>
  </si>
  <si>
    <t>26 MAY 2023</t>
  </si>
  <si>
    <t>Fórmula D</t>
  </si>
  <si>
    <t>tapa reparada</t>
  </si>
  <si>
    <t>Fórmula Perfecta</t>
  </si>
  <si>
    <t>Fortuna</t>
  </si>
  <si>
    <t>Frenetic Village</t>
  </si>
  <si>
    <t>Fresko</t>
  </si>
  <si>
    <t>Fresko Módulos 8, 9 y 10</t>
  </si>
  <si>
    <t>Friegas tú</t>
  </si>
  <si>
    <t>Frogriders</t>
  </si>
  <si>
    <t>Frogriders: The Green Frog</t>
  </si>
  <si>
    <t>Fuji</t>
  </si>
  <si>
    <t>Fuji Flush</t>
  </si>
  <si>
    <t>Funky Pollo</t>
  </si>
  <si>
    <t>Furnace</t>
  </si>
  <si>
    <t>M3</t>
  </si>
  <si>
    <t>Future Inc.</t>
  </si>
  <si>
    <t>Gaia Project</t>
  </si>
  <si>
    <t>Galápagos</t>
  </si>
  <si>
    <t>Galaxy Trucker (2021)</t>
  </si>
  <si>
    <t>Game of Trolls</t>
  </si>
  <si>
    <t>Ganges</t>
  </si>
  <si>
    <t>Gardens</t>
  </si>
  <si>
    <t>Genial</t>
  </si>
  <si>
    <t>caja exterior rota</t>
  </si>
  <si>
    <t>Gestrudis</t>
  </si>
  <si>
    <t>Get on Board: New York &amp; London</t>
  </si>
  <si>
    <t>Ghost Adventure</t>
  </si>
  <si>
    <t>Ghost at Home</t>
  </si>
  <si>
    <t>Giant City</t>
  </si>
  <si>
    <t>Gigi Gnomo</t>
  </si>
  <si>
    <t>Gizeh!</t>
  </si>
  <si>
    <t>Gloobz</t>
  </si>
  <si>
    <t>Gloomhaven: Fauces del León</t>
  </si>
  <si>
    <t>Go</t>
  </si>
  <si>
    <t>GOA</t>
  </si>
  <si>
    <t>G4</t>
  </si>
  <si>
    <t>Gohut</t>
  </si>
  <si>
    <t>Golf 'n' Roll</t>
  </si>
  <si>
    <t>Golosifantes</t>
  </si>
  <si>
    <t>Golygame</t>
  </si>
  <si>
    <t>Graffiti</t>
  </si>
  <si>
    <t>tiene 2 pizarras rotas</t>
  </si>
  <si>
    <t>Gran Austria Hotel</t>
  </si>
  <si>
    <t>Gran Austria Hotel: Let's Waltz!</t>
  </si>
  <si>
    <t>Gravity Superstar</t>
  </si>
  <si>
    <t>Great Western Trail</t>
  </si>
  <si>
    <t>Gretchinz!</t>
  </si>
  <si>
    <t>Grim Doom</t>
  </si>
  <si>
    <t>Guatafac (Demo)</t>
  </si>
  <si>
    <t>Guau Guau y la oreja colgante</t>
  </si>
  <si>
    <t>Guerra de Mitos</t>
  </si>
  <si>
    <t>Guerra del Anillo</t>
  </si>
  <si>
    <t>Guerra del Anillo: Exp. Barbol</t>
  </si>
  <si>
    <t>Guerra del Anillo: Exp. Tidings Not Burdens</t>
  </si>
  <si>
    <t>Guerra del Anillo: Señores de la Tierrra Media</t>
  </si>
  <si>
    <t>Gugong</t>
  </si>
  <si>
    <t>Guilds</t>
  </si>
  <si>
    <t>Guilds of London</t>
  </si>
  <si>
    <t>Guisantes</t>
  </si>
  <si>
    <t>Gulo Gulo</t>
  </si>
  <si>
    <t>Habitats</t>
  </si>
  <si>
    <t>Hadara</t>
  </si>
  <si>
    <t>Haggis</t>
  </si>
  <si>
    <t>Halli Galli</t>
  </si>
  <si>
    <t>Hamsterrolle</t>
  </si>
  <si>
    <t>falta 1 pieza</t>
  </si>
  <si>
    <t>Hanabi</t>
  </si>
  <si>
    <t>Hanamikoji</t>
  </si>
  <si>
    <t>Hands Up!</t>
  </si>
  <si>
    <t>Hands Up! Ed. FlexIQ</t>
  </si>
  <si>
    <t>Hannibal &amp; Hamilcar</t>
  </si>
  <si>
    <t>Hansa Teutónica</t>
  </si>
  <si>
    <t>Happy City</t>
  </si>
  <si>
    <t>Happy Mochi</t>
  </si>
  <si>
    <t>Happy Salmon</t>
  </si>
  <si>
    <t>Harmonies</t>
  </si>
  <si>
    <t>Harmony</t>
  </si>
  <si>
    <t>Noa</t>
  </si>
  <si>
    <t>Hatflings!</t>
  </si>
  <si>
    <t>Hazme "match" si puedes</t>
  </si>
  <si>
    <t>Heat</t>
  </si>
  <si>
    <t>rawinn</t>
  </si>
  <si>
    <t>Heaven &amp; Ale</t>
  </si>
  <si>
    <t>Hegemony: Lead Your Class to Victory</t>
  </si>
  <si>
    <t>Hello</t>
  </si>
  <si>
    <t>Herbáceas</t>
  </si>
  <si>
    <t>Herbalism</t>
  </si>
  <si>
    <t>Hercules</t>
  </si>
  <si>
    <t>14 JUN 2023</t>
  </si>
  <si>
    <t>Hero Realms</t>
  </si>
  <si>
    <t>Heropath: Dragon Roar</t>
  </si>
  <si>
    <t>Heropath: Dragon Roar – Fire Light</t>
  </si>
  <si>
    <t>Heropath: Dragon Roar – With Allies</t>
  </si>
  <si>
    <t>Hex Roller</t>
  </si>
  <si>
    <t>Hidden Games Escena del Crimen 2: La diadema escarlata</t>
  </si>
  <si>
    <t>Hipatia</t>
  </si>
  <si>
    <t>Hive Pocket</t>
  </si>
  <si>
    <t>Hollywood Golden Age</t>
  </si>
  <si>
    <t>Holmes: Sherlock &amp; Mycroft</t>
  </si>
  <si>
    <t>Honey</t>
  </si>
  <si>
    <t>Honey Buzz</t>
  </si>
  <si>
    <t>Honga</t>
  </si>
  <si>
    <t>Honshu</t>
  </si>
  <si>
    <t>Hostage Negotiator</t>
  </si>
  <si>
    <t>Huída de Silver City</t>
  </si>
  <si>
    <t>Hungry Shark</t>
  </si>
  <si>
    <t>If Wishes were fishes</t>
  </si>
  <si>
    <t>Ikonikus (muestra)</t>
  </si>
  <si>
    <t>Ilôs</t>
  </si>
  <si>
    <t>Iluliaq</t>
  </si>
  <si>
    <t>Imaginarium</t>
  </si>
  <si>
    <t>Imhotep</t>
  </si>
  <si>
    <t>Impact: La Batalla de los Elementos</t>
  </si>
  <si>
    <t>Incómodos Invitados</t>
  </si>
  <si>
    <t>Indian Summer</t>
  </si>
  <si>
    <t>Industry</t>
  </si>
  <si>
    <t>Inkógnito</t>
  </si>
  <si>
    <t>Instacrime: Mundford</t>
  </si>
  <si>
    <t>Interferencias</t>
  </si>
  <si>
    <t>IQ Files: Pecados</t>
  </si>
  <si>
    <t>Isidore</t>
  </si>
  <si>
    <t>Isla a la Vista</t>
  </si>
  <si>
    <t>Isla de Skye: De Líder a Rey</t>
  </si>
  <si>
    <t>Isle of Skye: From Chieftain to King – Adjacency Scrolls</t>
  </si>
  <si>
    <t>Islet</t>
  </si>
  <si>
    <t>Istanbul Big Box</t>
  </si>
  <si>
    <t>Istanbul: Caravan Leader Mini Expansion</t>
  </si>
  <si>
    <t>Istanbul: Kebab Shop Mini Expansion</t>
  </si>
  <si>
    <t>Istanbul: Pegasus Depot Mini Expansion</t>
  </si>
  <si>
    <t>Istanbul: El juego de dados</t>
  </si>
  <si>
    <t>tapa dañada</t>
  </si>
  <si>
    <t>It Happens...</t>
  </si>
  <si>
    <t>It's a Wonderful Kingdom</t>
  </si>
  <si>
    <t>It's a Wonderful World</t>
  </si>
  <si>
    <t>Jaipur</t>
  </si>
  <si>
    <t>Jamaica</t>
  </si>
  <si>
    <t>12 ABR 2025</t>
  </si>
  <si>
    <t>JINX</t>
  </si>
  <si>
    <t>Jórvik</t>
  </si>
  <si>
    <t>Juego de Tronos: Intrigas de Poniente</t>
  </si>
  <si>
    <t>Juego de Tronos LCG</t>
  </si>
  <si>
    <t>Jungle Speed</t>
  </si>
  <si>
    <t>Jungle Speed Donkey Kong</t>
  </si>
  <si>
    <t>Jungo</t>
  </si>
  <si>
    <t>Junk Art</t>
  </si>
  <si>
    <t>Junta: Las Cartas</t>
  </si>
  <si>
    <t>Just One</t>
  </si>
  <si>
    <t>Justice League: Dawn of Heroes</t>
  </si>
  <si>
    <t>K2</t>
  </si>
  <si>
    <t>Kaispeicher (Exp. The Speicherstadt)</t>
  </si>
  <si>
    <t>Kakerlakenpoker</t>
  </si>
  <si>
    <t>20-julio</t>
  </si>
  <si>
    <t>Kaleidos</t>
  </si>
  <si>
    <t>Kamisado</t>
  </si>
  <si>
    <t>Kanagawa</t>
  </si>
  <si>
    <t>Kanban: Automobile Revolution</t>
  </si>
  <si>
    <t>Karak</t>
  </si>
  <si>
    <t>Karate Tomate</t>
  </si>
  <si>
    <t>Karekare</t>
  </si>
  <si>
    <t>faltan canoas rojas</t>
  </si>
  <si>
    <t>Karma</t>
  </si>
  <si>
    <t>Karuba</t>
  </si>
  <si>
    <t>Keltis</t>
  </si>
  <si>
    <t>Keltis de viaje</t>
  </si>
  <si>
    <t>Keyflower</t>
  </si>
  <si>
    <t>Keyflower: Key Celeste</t>
  </si>
  <si>
    <t>Khôra: El Nacimiento de un Imperio</t>
  </si>
  <si>
    <t>Kids Chronicles: En busca de las Piedras Lunares</t>
  </si>
  <si>
    <t>Kid's Quest Misión Galletas</t>
  </si>
  <si>
    <t>King of New York</t>
  </si>
  <si>
    <t>King of Tokyo</t>
  </si>
  <si>
    <t>King of Tokyo: Promo Cards</t>
  </si>
  <si>
    <t>Kingdom Builder</t>
  </si>
  <si>
    <t>falta una ficha de barco</t>
  </si>
  <si>
    <t>Kingdom Defenders</t>
  </si>
  <si>
    <t>Kingdomino</t>
  </si>
  <si>
    <t>Kingdoms</t>
  </si>
  <si>
    <t>Kingsburg</t>
  </si>
  <si>
    <t>Kitchen Rush</t>
  </si>
  <si>
    <t>Kiwis Voladores</t>
  </si>
  <si>
    <t>Piezas rotas</t>
  </si>
  <si>
    <t xml:space="preserve">Klask </t>
  </si>
  <si>
    <t>Kleine Magier (Maguitos)</t>
  </si>
  <si>
    <t>Kodama: Los espíritus del árbol</t>
  </si>
  <si>
    <t>Kohle (Brass)</t>
  </si>
  <si>
    <t>Koinobori</t>
  </si>
  <si>
    <t>Kragmortha</t>
  </si>
  <si>
    <t>Kreus</t>
  </si>
  <si>
    <t>Kubb</t>
  </si>
  <si>
    <t>KUMO Hogosha</t>
  </si>
  <si>
    <t>Kyoto No Neko</t>
  </si>
  <si>
    <t>La Abeja Adela</t>
  </si>
  <si>
    <t>La Batalla de los Cinco Ejércitos</t>
  </si>
  <si>
    <t>La Batalla de Versalles</t>
  </si>
  <si>
    <t>La Boca</t>
  </si>
  <si>
    <t>La Búsqueda del Anillo</t>
  </si>
  <si>
    <t>La Cucaracha</t>
  </si>
  <si>
    <t>La Cueva del Troll</t>
  </si>
  <si>
    <t>La danza del huevo</t>
  </si>
  <si>
    <t>La Era del Carbón</t>
  </si>
  <si>
    <t>Faltan cubos</t>
  </si>
  <si>
    <t>La escalera encantada</t>
  </si>
  <si>
    <t>La Familia Addams</t>
  </si>
  <si>
    <t>MAYO 2024</t>
  </si>
  <si>
    <t>La Furia de Drácula</t>
  </si>
  <si>
    <t>La Gran Muralla China</t>
  </si>
  <si>
    <t>La Granja</t>
  </si>
  <si>
    <t>La Isla</t>
  </si>
  <si>
    <t>La Isla Prohibida</t>
  </si>
  <si>
    <t>P3</t>
  </si>
  <si>
    <t>La Isla Prohibida: La Expansión Prohibida</t>
  </si>
  <si>
    <t>La Leyenda del Cerezo que florece cada diez años</t>
  </si>
  <si>
    <t>La liebre y la tortuga</t>
  </si>
  <si>
    <t>La mona junior</t>
  </si>
  <si>
    <t>La Morada Maldita</t>
  </si>
  <si>
    <t>La Noche que cayó Pompeya</t>
  </si>
  <si>
    <t>La Oscuridad Asfixiante</t>
  </si>
  <si>
    <t>La Pandilla del Bosque</t>
  </si>
  <si>
    <t>La Posada sangrienta</t>
  </si>
  <si>
    <t>La Princesa y el guisante</t>
  </si>
  <si>
    <t>La Resistencia</t>
  </si>
  <si>
    <t>La Torre del Dragón</t>
  </si>
  <si>
    <t>La Tripulacion: En busca del noveno planeta</t>
  </si>
  <si>
    <t>La Villa</t>
  </si>
  <si>
    <t>La Villa: La Posada</t>
  </si>
  <si>
    <t>La Viña</t>
  </si>
  <si>
    <t>Labyrinth Card</t>
  </si>
  <si>
    <t>Labyrinth Super Mario</t>
  </si>
  <si>
    <t>Lacrimosa</t>
  </si>
  <si>
    <t>LadyUp</t>
  </si>
  <si>
    <t>Lama</t>
  </si>
  <si>
    <t>16 MAY 2024</t>
  </si>
  <si>
    <t>Lancelot</t>
  </si>
  <si>
    <t>Lapsus</t>
  </si>
  <si>
    <t>Las Aventuras de Tueli</t>
  </si>
  <si>
    <t>Las Brujas de Cernégula</t>
  </si>
  <si>
    <t>Las Edades de Oro</t>
  </si>
  <si>
    <t>Las Edades de Oro: Pack de Maravillas</t>
  </si>
  <si>
    <t>Las Leyendas de Andor</t>
  </si>
  <si>
    <t>Las Mansiones de la Locura 2ª edicion</t>
  </si>
  <si>
    <t>tapa rota y arreglada</t>
  </si>
  <si>
    <t>LMDLL 2ºEdic. Calles de Arkham</t>
  </si>
  <si>
    <t>LMDLL 2ºEdic. El Santuario del Crepúsculo</t>
  </si>
  <si>
    <t>LMDLL 2ºEdic. Mas allá del umbral</t>
  </si>
  <si>
    <t>LMDLL 2ºEdic. Recuerdos reprimidos</t>
  </si>
  <si>
    <t>LMDLL 2ºEdic. Viajes Escalofriantes</t>
  </si>
  <si>
    <t>Las Mareas del Tiempo</t>
  </si>
  <si>
    <t>Las mil y una noches</t>
  </si>
  <si>
    <t>Las Ruinas Perdidas de Arnak</t>
  </si>
  <si>
    <t>Las Ruinas Perdidas de Arnak: Líderes de la Expedición</t>
  </si>
  <si>
    <t>Las Torres Errantes</t>
  </si>
  <si>
    <t>Las Tribus del Viento</t>
  </si>
  <si>
    <t>Las Vegas Quiz</t>
  </si>
  <si>
    <t>falta una ficha</t>
  </si>
  <si>
    <t>Last Bastion</t>
  </si>
  <si>
    <t>18 SEP 2025</t>
  </si>
  <si>
    <t>Last Friday</t>
  </si>
  <si>
    <t>Le Havre</t>
  </si>
  <si>
    <t>Legado Perdido: La espada Vorpal y El Chapitel</t>
  </si>
  <si>
    <t xml:space="preserve">      Legado Perdido: El Grial Sagrado y El Báculo </t>
  </si>
  <si>
    <t>Legado Perdido: La Nave y El Jardín Florante</t>
  </si>
  <si>
    <t>Leo va al barbero</t>
  </si>
  <si>
    <t>Let's Go Spidey Team!</t>
  </si>
  <si>
    <t>Level X</t>
  </si>
  <si>
    <t>Lewis &amp; Clark</t>
  </si>
  <si>
    <t>Libro de Hechizos</t>
  </si>
  <si>
    <t>Ligretto azul</t>
  </si>
  <si>
    <t>Ligretto verde</t>
  </si>
  <si>
    <t>Line-it</t>
  </si>
  <si>
    <t>1 NOV 2024</t>
  </si>
  <si>
    <t>Linkto: Alimentos</t>
  </si>
  <si>
    <t>Listillo</t>
  </si>
  <si>
    <t>Little Fox</t>
  </si>
  <si>
    <t>Lobo</t>
  </si>
  <si>
    <t>Lobos</t>
  </si>
  <si>
    <t>15 FEB 2025</t>
  </si>
  <si>
    <t>Lofoten</t>
  </si>
  <si>
    <t>Logic! Games: Aquanilopark</t>
  </si>
  <si>
    <t>Logic! Games: Gusi &amp; Co</t>
  </si>
  <si>
    <t>Lola's clues: Las pistas de Lola</t>
  </si>
  <si>
    <t>London</t>
  </si>
  <si>
    <t>London after Midnight 2: Sherlock in hell</t>
  </si>
  <si>
    <t>Loony Quest</t>
  </si>
  <si>
    <t>falta 2 tokens y reloj roto</t>
  </si>
  <si>
    <t>Lords of Hellas</t>
  </si>
  <si>
    <t>Lords of the P.I.G.S</t>
  </si>
  <si>
    <t>Lords of the P.I.G.S Edición Pata negra</t>
  </si>
  <si>
    <t>Lords of Waterdeep</t>
  </si>
  <si>
    <t>10-enero</t>
  </si>
  <si>
    <t>Lorenzo il Magnifico: Big Box</t>
  </si>
  <si>
    <t>Lorenzo il Magnifico: The Pazzi Conspiracy</t>
  </si>
  <si>
    <t>Los 7 Odiosos</t>
  </si>
  <si>
    <t>Los Aprendices</t>
  </si>
  <si>
    <t>Los Futbolísimos. Campo 4</t>
  </si>
  <si>
    <t>Los Inseparables</t>
  </si>
  <si>
    <t>Los Magos del Bosque</t>
  </si>
  <si>
    <t>Los países de Europa</t>
  </si>
  <si>
    <t>Los países del mundo</t>
  </si>
  <si>
    <t>Los Pilares de la Tierra: El juego de cartas</t>
  </si>
  <si>
    <t>Los Pioneros</t>
  </si>
  <si>
    <t>Los tres cerditos</t>
  </si>
  <si>
    <t>Los valientes del claro de luna</t>
  </si>
  <si>
    <t>Los Viajes de Marco Polo</t>
  </si>
  <si>
    <t>Loser</t>
  </si>
  <si>
    <t>Lost Treasure</t>
  </si>
  <si>
    <t>Lost Valley</t>
  </si>
  <si>
    <t>Love Letter</t>
  </si>
  <si>
    <t>Love Letter (P&amp;P)</t>
  </si>
  <si>
    <t>Love Letter: Star Wars - El Palacio de Jabba (PNP)</t>
  </si>
  <si>
    <t>Love Letter (Ingles)</t>
  </si>
  <si>
    <t>Lucca Cittá</t>
  </si>
  <si>
    <t>Ludi Gladiatorii</t>
  </si>
  <si>
    <t>Luna Capital</t>
  </si>
  <si>
    <t>Luxor</t>
  </si>
  <si>
    <t>Macao</t>
  </si>
  <si>
    <t>Madeira</t>
  </si>
  <si>
    <t>Mafia Cosa di Capo</t>
  </si>
  <si>
    <t>Mage Knight</t>
  </si>
  <si>
    <t>Mage Wars Arena</t>
  </si>
  <si>
    <t>Magic Maze</t>
  </si>
  <si>
    <t>Magic Maze Kids</t>
  </si>
  <si>
    <t>Magic Maze on Mars</t>
  </si>
  <si>
    <t>Magic Rabbit</t>
  </si>
  <si>
    <t>Magic Race</t>
  </si>
  <si>
    <t>Magna Roma</t>
  </si>
  <si>
    <t>Maharani</t>
  </si>
  <si>
    <t>Majesty: La corona del reino</t>
  </si>
  <si>
    <t>Make a Mooove!</t>
  </si>
  <si>
    <t>Maki Stack</t>
  </si>
  <si>
    <t>Mal Trago</t>
  </si>
  <si>
    <t>Manhattan</t>
  </si>
  <si>
    <t>Manila</t>
  </si>
  <si>
    <t>Manitoba</t>
  </si>
  <si>
    <t>Mano a Mano</t>
  </si>
  <si>
    <t>Mao Mao junior</t>
  </si>
  <si>
    <t>Maracaibo</t>
  </si>
  <si>
    <t>Maracaibo: La Armada</t>
  </si>
  <si>
    <t>Mario Kart Racetrack Logic Game</t>
  </si>
  <si>
    <t>Marrakesh</t>
  </si>
  <si>
    <t>Mars attacks</t>
  </si>
  <si>
    <t>Marshals</t>
  </si>
  <si>
    <t>Martinique</t>
  </si>
  <si>
    <t>Marvel Champions: El Juego de Cartas</t>
  </si>
  <si>
    <t>Marvel Dice Throne: Capitana Marvel, Black Panther, Doctor Strange, Viuda Negra</t>
  </si>
  <si>
    <t>Marvel United</t>
  </si>
  <si>
    <t>Marvel Unied: X-Men</t>
  </si>
  <si>
    <t>Marvel Villainous: Mischief &amp; Malice</t>
  </si>
  <si>
    <t>Marvel Zombies</t>
  </si>
  <si>
    <t>8 JUL 2024</t>
  </si>
  <si>
    <t>Más Mascotas          (2)</t>
  </si>
  <si>
    <t>Más Noches de Sangre</t>
  </si>
  <si>
    <t>Mascarade (P&amp;P)</t>
  </si>
  <si>
    <t>Mascarade: The Dammed</t>
  </si>
  <si>
    <t>Mascarade: Usurper</t>
  </si>
  <si>
    <t>Mascletá</t>
  </si>
  <si>
    <t>Mascotas         (2)</t>
  </si>
  <si>
    <t>Masmorra: Mazmorras de Arcadia</t>
  </si>
  <si>
    <t>Mastabas</t>
  </si>
  <si>
    <t>Master Merchant (PNP)</t>
  </si>
  <si>
    <t>Masters Gallery</t>
  </si>
  <si>
    <t>Matrioska</t>
  </si>
  <si>
    <t>Mazescape: Ariadne</t>
  </si>
  <si>
    <t>Mazescape: Labyrinthos</t>
  </si>
  <si>
    <t>Mazescape XP: Cryo-C</t>
  </si>
  <si>
    <t>Mazescape Kids: Hipnos</t>
  </si>
  <si>
    <t>Medio Monstruo</t>
  </si>
  <si>
    <t>Meeple Circus</t>
  </si>
  <si>
    <t>Meeple Quest</t>
  </si>
  <si>
    <t>Meine ersten Spiele: Baustelle (Las obras)</t>
  </si>
  <si>
    <t>Memo vacaciones</t>
  </si>
  <si>
    <t>Men-Nefer</t>
  </si>
  <si>
    <t>Merienda Jurásica</t>
  </si>
  <si>
    <t>Merlín</t>
  </si>
  <si>
    <t>Merv: El Corazón de la Ruta de la Seda</t>
  </si>
  <si>
    <t>11 JUL 2025</t>
  </si>
  <si>
    <t>Mesopotamiem</t>
  </si>
  <si>
    <t>tradumaquetar las cartas</t>
  </si>
  <si>
    <t>11-septiembre</t>
  </si>
  <si>
    <t>Mesopotamiem: Erweiterung</t>
  </si>
  <si>
    <t>Metalcorps The Mechs' War</t>
  </si>
  <si>
    <t>Metal Mania</t>
  </si>
  <si>
    <t>Metropolys</t>
  </si>
  <si>
    <t>Meuterer</t>
  </si>
  <si>
    <t>faltan las reglas</t>
  </si>
  <si>
    <t>Mexica</t>
  </si>
  <si>
    <t>Mi Pequeño Everdell</t>
  </si>
  <si>
    <t>UrKiXo</t>
  </si>
  <si>
    <t>Mi Pequeño Scythe</t>
  </si>
  <si>
    <t>Mi Primer Tesoro de Juegos</t>
  </si>
  <si>
    <t>Miau Guau Galletas</t>
  </si>
  <si>
    <t>Miau Miau</t>
  </si>
  <si>
    <t>Mice &amp; Mystics: De Ratones y Magia</t>
  </si>
  <si>
    <t>Mice &amp; Mystics: El Corazón de Glorm</t>
  </si>
  <si>
    <t>MicroMacro: Crime City – All In</t>
  </si>
  <si>
    <t>MicroMacro: Kids - Qué locura de parque</t>
  </si>
  <si>
    <t>14 OCT 2025</t>
  </si>
  <si>
    <t>Middle Earth Quest</t>
  </si>
  <si>
    <t>Miguel Strogoff</t>
  </si>
  <si>
    <t>Mind Up!</t>
  </si>
  <si>
    <t>Mindbug (PNP)</t>
  </si>
  <si>
    <t>MindMaze: Jóvenes Detectives</t>
  </si>
  <si>
    <t>Minecraft: Builders &amp; Biomes</t>
  </si>
  <si>
    <t>Minecraft Explorers</t>
  </si>
  <si>
    <t>Mineros del Imperio</t>
  </si>
  <si>
    <t>Misión cumplida</t>
  </si>
  <si>
    <t>Misterios de Pekín</t>
  </si>
  <si>
    <t>A2</t>
  </si>
  <si>
    <t>Mistfall</t>
  </si>
  <si>
    <t>15-noviembre</t>
  </si>
  <si>
    <t>Mix It</t>
  </si>
  <si>
    <t>Mixmo</t>
  </si>
  <si>
    <t>8-marzo</t>
  </si>
  <si>
    <t>Miyabi</t>
  </si>
  <si>
    <t>Mmm!</t>
  </si>
  <si>
    <t>Moirai</t>
  </si>
  <si>
    <t>Mole</t>
  </si>
  <si>
    <t>Molkky</t>
  </si>
  <si>
    <t>Mombasa</t>
  </si>
  <si>
    <t>Mombasa: Cooked Books Mini Expansion</t>
  </si>
  <si>
    <t>Mondrian: The Dice Game</t>
  </si>
  <si>
    <t>Monetes</t>
  </si>
  <si>
    <t>Monkidú</t>
  </si>
  <si>
    <t>Monstargh!</t>
  </si>
  <si>
    <t>Monster Dates</t>
  </si>
  <si>
    <t>Monster Flip</t>
  </si>
  <si>
    <t>Monster Kit</t>
  </si>
  <si>
    <t>Monster Mash</t>
  </si>
  <si>
    <t>Monster Motel</t>
  </si>
  <si>
    <t>Monstrys</t>
  </si>
  <si>
    <t>Monza</t>
  </si>
  <si>
    <t>Moon</t>
  </si>
  <si>
    <t>Mosaic: Una Historia de la Civilización</t>
  </si>
  <si>
    <t>18 OCT 2025</t>
  </si>
  <si>
    <t>Mount Everest</t>
  </si>
  <si>
    <t>Mr. Wolf</t>
  </si>
  <si>
    <t>Munchkin</t>
  </si>
  <si>
    <t>Mundodisco: Ankh-Morpork</t>
  </si>
  <si>
    <t>Mundodisco: Las Brujas</t>
  </si>
  <si>
    <t>MUSA</t>
  </si>
  <si>
    <t>Mundo Neurente</t>
  </si>
  <si>
    <t>Museum</t>
  </si>
  <si>
    <t>Mutant Meeples</t>
  </si>
  <si>
    <t>My Gold Mine</t>
  </si>
  <si>
    <t>Mysterium</t>
  </si>
  <si>
    <t>18 ENE 2025</t>
  </si>
  <si>
    <t>Mysterium (Tajemnicze Domostwo)</t>
  </si>
  <si>
    <t>Nacidos de la Bruma: El juego de construcción de mazos</t>
  </si>
  <si>
    <t>Nations</t>
  </si>
  <si>
    <t>Náufragos</t>
  </si>
  <si>
    <t>Navegador</t>
  </si>
  <si>
    <t>Neoville</t>
  </si>
  <si>
    <t>Nessie</t>
  </si>
  <si>
    <t>Neuroshima Hex! 3.0</t>
  </si>
  <si>
    <t>Neuroshima Hex! 3.0 Sharrash</t>
  </si>
  <si>
    <t>New York 1901</t>
  </si>
  <si>
    <t>falta una loseta amarilla</t>
  </si>
  <si>
    <t>New York Crisis</t>
  </si>
  <si>
    <t>Newton</t>
  </si>
  <si>
    <t>Newton: Nuevos Horizontes</t>
  </si>
  <si>
    <t>NIJI</t>
  </si>
  <si>
    <t>Nilo</t>
  </si>
  <si>
    <t>Nimble</t>
  </si>
  <si>
    <t>Nippon</t>
  </si>
  <si>
    <t>Nishikigoi</t>
  </si>
  <si>
    <t>Nitro</t>
  </si>
  <si>
    <t>NMBR9</t>
  </si>
  <si>
    <t>NMBR9: Starting Tiles</t>
  </si>
  <si>
    <t>NMBR9: Extra Tiles</t>
  </si>
  <si>
    <t>No Game Over</t>
  </si>
  <si>
    <t>No Game Over: Expansiones – Nientiendo, Play &amp; Greatest Hits y Retro</t>
  </si>
  <si>
    <t>No time for heroes</t>
  </si>
  <si>
    <t>Nobel Run</t>
  </si>
  <si>
    <t>NOCAUT!</t>
  </si>
  <si>
    <t>Not Alone</t>
  </si>
  <si>
    <t>Not Alone: Exploración</t>
  </si>
  <si>
    <t>Not Alone: The Red Artefact Promo</t>
  </si>
  <si>
    <t>Notre Dame</t>
  </si>
  <si>
    <t>Noviembre Rojo</t>
  </si>
  <si>
    <t>Océanos</t>
  </si>
  <si>
    <t>Océanos de papel</t>
  </si>
  <si>
    <t>Lutxin</t>
  </si>
  <si>
    <t>Odyssey: La Ira de Poseidón</t>
  </si>
  <si>
    <t>Oh My Pigeons!</t>
  </si>
  <si>
    <t>Oilfield</t>
  </si>
  <si>
    <t>Okiya</t>
  </si>
  <si>
    <t>Omertá: El poder de la mafia</t>
  </si>
  <si>
    <t>Omertá (GDM)</t>
  </si>
  <si>
    <t>On Mars</t>
  </si>
  <si>
    <t>Onitama</t>
  </si>
  <si>
    <t>ONUS! Roma Vs Cartago</t>
  </si>
  <si>
    <t>Optimus</t>
  </si>
  <si>
    <t>Ora et Labora</t>
  </si>
  <si>
    <t>31-diciembre</t>
  </si>
  <si>
    <t>Orbital</t>
  </si>
  <si>
    <t>Orbito</t>
  </si>
  <si>
    <t>Oricalco</t>
  </si>
  <si>
    <t>Origame</t>
  </si>
  <si>
    <t>Orleans</t>
  </si>
  <si>
    <t>Osopark</t>
  </si>
  <si>
    <t>OTYS</t>
  </si>
  <si>
    <t>Ouch!</t>
  </si>
  <si>
    <t>Out of this World</t>
  </si>
  <si>
    <t>Oziland</t>
  </si>
  <si>
    <t>Pajarracos</t>
  </si>
  <si>
    <t>Pajarracos Party</t>
  </si>
  <si>
    <t>Pakal</t>
  </si>
  <si>
    <t>Palacio de Viana</t>
  </si>
  <si>
    <t>Palastgefluster (Intrigas de Palacio)</t>
  </si>
  <si>
    <t>Palazzo</t>
  </si>
  <si>
    <t>Paleo</t>
  </si>
  <si>
    <t>Pan Am</t>
  </si>
  <si>
    <t>Panda Royale</t>
  </si>
  <si>
    <t>Pandemic</t>
  </si>
  <si>
    <t>15-diciembre</t>
  </si>
  <si>
    <t>Pandemic: El reino de Cthulhu</t>
  </si>
  <si>
    <t>Pandemic: Iberia</t>
  </si>
  <si>
    <t>Pandemic: La caida de Roma</t>
  </si>
  <si>
    <t>Panic Diner</t>
  </si>
  <si>
    <t>Panic Lab</t>
  </si>
  <si>
    <t>Panic Mansion</t>
  </si>
  <si>
    <t>Pantheon</t>
  </si>
  <si>
    <t>Papaya Monkey</t>
  </si>
  <si>
    <t>Papua</t>
  </si>
  <si>
    <t>Paracaidistas en tu bolsillo</t>
  </si>
  <si>
    <t>Paradice</t>
  </si>
  <si>
    <t>Parfum</t>
  </si>
  <si>
    <t xml:space="preserve">Paris: La Cité de la Lumière </t>
  </si>
  <si>
    <t>Paris: La Cité de la Lumière – La Liberté éclairant le monde Carte Postale</t>
  </si>
  <si>
    <t>PARKS</t>
  </si>
  <si>
    <t>Passe trappe</t>
  </si>
  <si>
    <t>Password Express</t>
  </si>
  <si>
    <t>Patas Arriba</t>
  </si>
  <si>
    <t>Patchwork</t>
  </si>
  <si>
    <t>Patchwork 5x5 bonus</t>
  </si>
  <si>
    <t>Patchwork Doodle</t>
  </si>
  <si>
    <t>Patchwork Exprés</t>
  </si>
  <si>
    <t>Patente de Corso</t>
  </si>
  <si>
    <t>Pattern Party!</t>
  </si>
  <si>
    <t>Pax Porfiriana</t>
  </si>
  <si>
    <t>Peak Oil</t>
  </si>
  <si>
    <t>Pearls</t>
  </si>
  <si>
    <t>Pelusas</t>
  </si>
  <si>
    <t>Pelusas Revolution</t>
  </si>
  <si>
    <t>Penalties: Animal Cup</t>
  </si>
  <si>
    <t>Penguin Airlines</t>
  </si>
  <si>
    <t>Pentaurus: Duel</t>
  </si>
  <si>
    <t>Pepinillo</t>
  </si>
  <si>
    <t>Pequeños Grandes Reinos</t>
  </si>
  <si>
    <t>Pequeños Grandes Westerns</t>
  </si>
  <si>
    <t>Perspectives</t>
  </si>
  <si>
    <t>Perudo: Beach</t>
  </si>
  <si>
    <t>Petris</t>
  </si>
  <si>
    <t>Picatesoros</t>
  </si>
  <si>
    <t>Pick-a-foca</t>
  </si>
  <si>
    <t>Pick-a-oso polar</t>
  </si>
  <si>
    <t>Picnic</t>
  </si>
  <si>
    <t>Picnic (Zacatrus)</t>
  </si>
  <si>
    <t>Pictomania 2ª Edición (Devir)</t>
  </si>
  <si>
    <t>Pictomanía</t>
  </si>
  <si>
    <t>Piece of Pie</t>
  </si>
  <si>
    <t>Pikit</t>
  </si>
  <si>
    <t>Piko Piko Deluxe</t>
  </si>
  <si>
    <t>Pili Pili</t>
  </si>
  <si>
    <t>Pippo</t>
  </si>
  <si>
    <t>Pirámide del Sol</t>
  </si>
  <si>
    <t>Piratas al agua</t>
  </si>
  <si>
    <t>Pirate King</t>
  </si>
  <si>
    <t>Piratoons</t>
  </si>
  <si>
    <t>Pit</t>
  </si>
  <si>
    <t>12-julio</t>
  </si>
  <si>
    <t>Pitch &amp; Plakks</t>
  </si>
  <si>
    <t>PitchCar</t>
  </si>
  <si>
    <t>31-agosto</t>
  </si>
  <si>
    <t>PitchCar Exp. 1</t>
  </si>
  <si>
    <t>PitchCar Exp. 2</t>
  </si>
  <si>
    <t>Planet Steam</t>
  </si>
  <si>
    <t>Plata</t>
  </si>
  <si>
    <t>Plenus</t>
  </si>
  <si>
    <t>Plenus I</t>
  </si>
  <si>
    <t>Plenus II</t>
  </si>
  <si>
    <t>Plenus III</t>
  </si>
  <si>
    <t>Plenus Exp IV, V y VI</t>
  </si>
  <si>
    <t>Plumilla Postal</t>
  </si>
  <si>
    <t>Poc!</t>
  </si>
  <si>
    <t>Pócimas y Brebajes</t>
  </si>
  <si>
    <t>Pócimas y Brebajes Jr</t>
  </si>
  <si>
    <t>Pocket Invaders</t>
  </si>
  <si>
    <t>Pocket Mars</t>
  </si>
  <si>
    <t>Poison</t>
  </si>
  <si>
    <t>Pokémon Maestro Entrenador</t>
  </si>
  <si>
    <t>Poli Bueno, Poli Malo</t>
  </si>
  <si>
    <t>Polilla Tramposa</t>
  </si>
  <si>
    <t>Polis</t>
  </si>
  <si>
    <t>Pony Express</t>
  </si>
  <si>
    <t>Port Royal</t>
  </si>
  <si>
    <t>Portal of Morth</t>
  </si>
  <si>
    <t>Potion Explotion</t>
  </si>
  <si>
    <t>Poule poule</t>
  </si>
  <si>
    <t>POWERUP</t>
  </si>
  <si>
    <t>Pradera</t>
  </si>
  <si>
    <t>Praga Caput Regni</t>
  </si>
  <si>
    <t>Primer Frutal</t>
  </si>
  <si>
    <t>Primera Clase</t>
  </si>
  <si>
    <t>Princesa Jing</t>
  </si>
  <si>
    <t>Project L</t>
  </si>
  <si>
    <t>Jugoma</t>
  </si>
  <si>
    <t>Project L: Finesse</t>
  </si>
  <si>
    <t>Prosperity</t>
  </si>
  <si>
    <t>Puerto Rico</t>
  </si>
  <si>
    <t>Puerto Rico: Festival en Puerto Rico</t>
  </si>
  <si>
    <t>Pulgas a la carrera</t>
  </si>
  <si>
    <t>Pulsar 2849</t>
  </si>
  <si>
    <t>Q: La Tumba del Arqueólogo</t>
  </si>
  <si>
    <t>Q: Muerte el 4 de Julio</t>
  </si>
  <si>
    <t>Q: Última llamada</t>
  </si>
  <si>
    <t>Qiahn tactics: Ed.Goblin II</t>
  </si>
  <si>
    <t>Quadrópolis</t>
  </si>
  <si>
    <t>Quantum</t>
  </si>
  <si>
    <t>Queenz: To Bee or Not to Bee</t>
  </si>
  <si>
    <t>Quest Stories</t>
  </si>
  <si>
    <t>Quick Stop</t>
  </si>
  <si>
    <t>Quorum</t>
  </si>
  <si>
    <t>Qwantum</t>
  </si>
  <si>
    <t>Qwinto</t>
  </si>
  <si>
    <t>dentro del qwixx</t>
  </si>
  <si>
    <t>Qwirkle</t>
  </si>
  <si>
    <t>Qwitch</t>
  </si>
  <si>
    <t>Qwixx</t>
  </si>
  <si>
    <t>Qwixx Big Points</t>
  </si>
  <si>
    <t>Qwixx Characters</t>
  </si>
  <si>
    <t>Qwixx Connected</t>
  </si>
  <si>
    <t>Qwixx gemmixt</t>
  </si>
  <si>
    <t>RabbitZ &amp; Robots</t>
  </si>
  <si>
    <t>Race for the Galaxy</t>
  </si>
  <si>
    <t>Radlands</t>
  </si>
  <si>
    <t>Raids</t>
  </si>
  <si>
    <t>Rainbow</t>
  </si>
  <si>
    <t>Rainbow Elf</t>
  </si>
  <si>
    <t>Raj</t>
  </si>
  <si>
    <t>Rally de Animales MIX MAX</t>
  </si>
  <si>
    <t>Rally de Zanahorias</t>
  </si>
  <si>
    <t>RallyRas</t>
  </si>
  <si>
    <t>Rampage</t>
  </si>
  <si>
    <t>Ranking! Cine y Series</t>
  </si>
  <si>
    <t>Ranking! Cultura Friki</t>
  </si>
  <si>
    <t>Raptor Race</t>
  </si>
  <si>
    <t>Ratland</t>
  </si>
  <si>
    <t>Ratones a la carrera</t>
  </si>
  <si>
    <t>Ratzzia</t>
  </si>
  <si>
    <t>Ray Master</t>
  </si>
  <si>
    <t>Ready, Steady, Go!</t>
  </si>
  <si>
    <t>Red 7</t>
  </si>
  <si>
    <t>Red Carpet</t>
  </si>
  <si>
    <t>Red Panda</t>
  </si>
  <si>
    <t>Red Stories</t>
  </si>
  <si>
    <t>Reef</t>
  </si>
  <si>
    <t>Reef: King of the Coral</t>
  </si>
  <si>
    <t>Regreso al Futuro: Viaja en el tiempo a golpe de dado</t>
  </si>
  <si>
    <t>Reinos de Papel</t>
  </si>
  <si>
    <t>Remolacha</t>
  </si>
  <si>
    <t>Remolacha (proto)</t>
  </si>
  <si>
    <t>Res Arcana</t>
  </si>
  <si>
    <t>Res Arcana: Lux et Tenebrae</t>
  </si>
  <si>
    <t>Res Arcana: Perlae Imperii</t>
  </si>
  <si>
    <t>Revive</t>
  </si>
  <si>
    <t>Revolucion 1828</t>
  </si>
  <si>
    <t>REX: Últimos Días de un Imperio</t>
  </si>
  <si>
    <t>Rhino Hero</t>
  </si>
  <si>
    <t>Rhino Hero Junior</t>
  </si>
  <si>
    <t>Rhino Hero: Missing Match</t>
  </si>
  <si>
    <t>Rhino Hero: Super Battle</t>
  </si>
  <si>
    <t>Rialto</t>
  </si>
  <si>
    <t>Rick and Morty: 100 Días</t>
  </si>
  <si>
    <t>Ricochet Robots</t>
  </si>
  <si>
    <t>Riftforce</t>
  </si>
  <si>
    <t>Risk Starcraft</t>
  </si>
  <si>
    <t>Risky Dominó</t>
  </si>
  <si>
    <t>Ritmo y Bola</t>
  </si>
  <si>
    <t>Rivet Wars: El Frente del Este</t>
  </si>
  <si>
    <t>Robin de Locksley</t>
  </si>
  <si>
    <t>Robinson Crusoe: Aventuras en la Isla Maldita</t>
  </si>
  <si>
    <t>Roedores</t>
  </si>
  <si>
    <t>Roll and Play</t>
  </si>
  <si>
    <t>Roll to the Top</t>
  </si>
  <si>
    <t>Rolling Ranch</t>
  </si>
  <si>
    <t>Rome &amp; Roll</t>
  </si>
  <si>
    <t>Rookie Heroes</t>
  </si>
  <si>
    <t>ROOM: Agus &amp; Monsters</t>
  </si>
  <si>
    <t>ROOT</t>
  </si>
  <si>
    <t>ROOT: Expansión Los Ribereños</t>
  </si>
  <si>
    <t>ROX</t>
  </si>
  <si>
    <t>Rubbish Race</t>
  </si>
  <si>
    <t>Ruidos en la noche</t>
  </si>
  <si>
    <t>Rulebenders</t>
  </si>
  <si>
    <t>Rum &amp; Bones</t>
  </si>
  <si>
    <t>Runebound</t>
  </si>
  <si>
    <t>Runebound: Island Of Dread</t>
  </si>
  <si>
    <t>Runewars</t>
  </si>
  <si>
    <t>Rush Hour Traffic Jam</t>
  </si>
  <si>
    <t>Russians Railroads</t>
  </si>
  <si>
    <t>Sabika</t>
  </si>
  <si>
    <t>Saboteur</t>
  </si>
  <si>
    <t>Saboteur Deluxe</t>
  </si>
  <si>
    <t>Sabuesos</t>
  </si>
  <si>
    <t>Safranito</t>
  </si>
  <si>
    <t>traducir manual</t>
  </si>
  <si>
    <t>05-junio</t>
  </si>
  <si>
    <t>Sagrada</t>
  </si>
  <si>
    <t>Saint Malo</t>
  </si>
  <si>
    <t>Saint Petesburg</t>
  </si>
  <si>
    <t>Salem 1692</t>
  </si>
  <si>
    <t>Sam The Villain</t>
  </si>
  <si>
    <t>Samurai Sword</t>
  </si>
  <si>
    <t>San Juan</t>
  </si>
  <si>
    <t>Sanctum</t>
  </si>
  <si>
    <t>Sankt Petersburg (Second Edition)</t>
  </si>
  <si>
    <t>Santa Maria</t>
  </si>
  <si>
    <t>Santa Maria: Expansion Deck</t>
  </si>
  <si>
    <t>Santa Mónica (PNP)</t>
  </si>
  <si>
    <t>Santiago de Cuba</t>
  </si>
  <si>
    <t>tapa rota</t>
  </si>
  <si>
    <t>Santo Domingo</t>
  </si>
  <si>
    <t>Santorini (PNP)</t>
  </si>
  <si>
    <t>Santorini: Golden Fleece</t>
  </si>
  <si>
    <t>Saqueadores de Midgard</t>
  </si>
  <si>
    <t>Savannah Cafe</t>
  </si>
  <si>
    <t>Save the Cat</t>
  </si>
  <si>
    <t>Scarab Lords</t>
  </si>
  <si>
    <t>Schotten Totten 2</t>
  </si>
  <si>
    <t>Scope Stalingrad</t>
  </si>
  <si>
    <t>Scotland Yard: La Búsqueda de Mr. X</t>
  </si>
  <si>
    <t>Scrolls of a Northern City</t>
  </si>
  <si>
    <t>Scythe</t>
  </si>
  <si>
    <t>faltan cartas automa</t>
  </si>
  <si>
    <t>Scythe: Promo Pack</t>
  </si>
  <si>
    <t>Se vende</t>
  </si>
  <si>
    <t>Sea Salt &amp; Paper (PnP)</t>
  </si>
  <si>
    <t>Seasons</t>
  </si>
  <si>
    <t>Sechsstädtebund (League of Six)</t>
  </si>
  <si>
    <t>Sechsstädtebund: Treues Gefolge (League of Six: Loyal Retinue)</t>
  </si>
  <si>
    <t>Secret Hitler</t>
  </si>
  <si>
    <t>Sector 6</t>
  </si>
  <si>
    <t>SecuenzooS</t>
  </si>
  <si>
    <t>Sekigahara: The Unification of Japan</t>
  </si>
  <si>
    <t>Sellswords</t>
  </si>
  <si>
    <t>Senda de Luz y Sombra</t>
  </si>
  <si>
    <t>Sequence</t>
  </si>
  <si>
    <t>Serpentina</t>
  </si>
  <si>
    <t>Set</t>
  </si>
  <si>
    <t>Set &amp; Match</t>
  </si>
  <si>
    <t>Set a Watch</t>
  </si>
  <si>
    <t>SETI: Search for Extraterrestrial Intelligence</t>
  </si>
  <si>
    <t>Seven Swords</t>
  </si>
  <si>
    <t>Sevilla 1503</t>
  </si>
  <si>
    <t>Shadow Hunters</t>
  </si>
  <si>
    <t>8-diciembre</t>
  </si>
  <si>
    <t>Shamans</t>
  </si>
  <si>
    <t>Shards of Infinity</t>
  </si>
  <si>
    <t>Sherlock: 13 Rehenes</t>
  </si>
  <si>
    <t>Sherlock: El endemoniado</t>
  </si>
  <si>
    <t>4 JUN 2024</t>
  </si>
  <si>
    <t>Sherlock: El Legado del Don</t>
  </si>
  <si>
    <t>Sherlock: Paradero desconocido</t>
  </si>
  <si>
    <t>Sherlock: Propagación</t>
  </si>
  <si>
    <t>Sherlock Junior: Suriguri</t>
  </si>
  <si>
    <t>Sherlock Piratas: Pasados por agua</t>
  </si>
  <si>
    <t>Sherlock Express</t>
  </si>
  <si>
    <t>Sherlock Holmes Detective Asesor</t>
  </si>
  <si>
    <t>Sherlock Holmes: Carlton House</t>
  </si>
  <si>
    <t>Sherlock Holmes Detective Asesor: Jack el Destripador y Aventuras en el West End</t>
  </si>
  <si>
    <t>Sherlock Holmes: The Queen's Park Affair</t>
  </si>
  <si>
    <t>Shinobi Assassins</t>
  </si>
  <si>
    <t>Shogun</t>
  </si>
  <si>
    <t>Shrimp</t>
  </si>
  <si>
    <t>Sid Meier's Civilization: El juego de tablero</t>
  </si>
  <si>
    <t>SideQuest: Aquí no hay Héroes</t>
  </si>
  <si>
    <t>Signorie</t>
  </si>
  <si>
    <t>SilenZe: Zombie City</t>
  </si>
  <si>
    <t>Silk</t>
  </si>
  <si>
    <t>Silk: Shin Ookami Promo</t>
  </si>
  <si>
    <t>Similo ESDLA</t>
  </si>
  <si>
    <t>Skull King</t>
  </si>
  <si>
    <t>Skull King (Nueva Edición)</t>
  </si>
  <si>
    <t>Sky Team</t>
  </si>
  <si>
    <t>Sky Traders</t>
  </si>
  <si>
    <t>25-marzo</t>
  </si>
  <si>
    <t>Skyjo</t>
  </si>
  <si>
    <t>Slavika</t>
  </si>
  <si>
    <t>Slay the Spire: El Juego de Mesa</t>
  </si>
  <si>
    <t>2 MAR 2025</t>
  </si>
  <si>
    <t>Tapa dañada</t>
  </si>
  <si>
    <t>Sleeping Gods</t>
  </si>
  <si>
    <t>Slide Quest</t>
  </si>
  <si>
    <t>Smack Down</t>
  </si>
  <si>
    <t>Small World</t>
  </si>
  <si>
    <t>Smart10 Familiar</t>
  </si>
  <si>
    <t>Smash up</t>
  </si>
  <si>
    <t>Smoke and Travel</t>
  </si>
  <si>
    <t>So Clover!</t>
  </si>
  <si>
    <t>21 OCT 2025</t>
  </si>
  <si>
    <t>Social Train</t>
  </si>
  <si>
    <t>Solos en casa</t>
  </si>
  <si>
    <t>Sombras sobre Londres</t>
  </si>
  <si>
    <t>falta tablero amarillo</t>
  </si>
  <si>
    <t>28-septiembre</t>
  </si>
  <si>
    <t>Sonora</t>
  </si>
  <si>
    <t>Soviet Kitchen Unleashed</t>
  </si>
  <si>
    <t>Space Opera</t>
  </si>
  <si>
    <t>H</t>
  </si>
  <si>
    <t>Spartacus: Un Juego de Sangre y Traición</t>
  </si>
  <si>
    <t>Speed Colors</t>
  </si>
  <si>
    <t>Speed Cups</t>
  </si>
  <si>
    <t>falta cubilote azul</t>
  </si>
  <si>
    <t>18-octubre</t>
  </si>
  <si>
    <t>Speed Monster</t>
  </si>
  <si>
    <t>SPELL</t>
  </si>
  <si>
    <t>Spidey Labyrinth Junior</t>
  </si>
  <si>
    <t>Spies &amp; Lies: A Stratego Story</t>
  </si>
  <si>
    <t>Splendor</t>
  </si>
  <si>
    <t>4-septiembre</t>
  </si>
  <si>
    <t>Splendor: Marvel</t>
  </si>
  <si>
    <t>Spoilers</t>
  </si>
  <si>
    <t>Spoilers: Edición Definitiva</t>
  </si>
  <si>
    <t>Spoilers: The beginning</t>
  </si>
  <si>
    <t>Spotlight</t>
  </si>
  <si>
    <t>Spy Guy: El pequeño detective</t>
  </si>
  <si>
    <t>Spy Guy: Fantasy</t>
  </si>
  <si>
    <t>Stalag 17</t>
  </si>
  <si>
    <t>Star Realms</t>
  </si>
  <si>
    <t>Star Saga</t>
  </si>
  <si>
    <t>Star Wars: Bounty Hunters</t>
  </si>
  <si>
    <t>Star Wars: Destiny</t>
  </si>
  <si>
    <t>Star Wars: El Borde Exterior</t>
  </si>
  <si>
    <t>Star Wars: Imperial Assault</t>
  </si>
  <si>
    <t>4-noviembre</t>
  </si>
  <si>
    <t>Star Wars: Imperio VS Rebelión</t>
  </si>
  <si>
    <t>Star Wars: La Batalla de Hoth</t>
  </si>
  <si>
    <t>Star Wars: Palacio de Jabba (Love Letter)</t>
  </si>
  <si>
    <t>Star Wars: Stolen Plans (PNP)</t>
  </si>
  <si>
    <t>Star Wars: Super Teams</t>
  </si>
  <si>
    <t xml:space="preserve"> Star Wars: The Deckbuilding Game (PNP)</t>
  </si>
  <si>
    <t xml:space="preserve"> Star Wars: The Deckbuilding Game - Clone Wars</t>
  </si>
  <si>
    <t>Star Wars: Unlimited (Qui-Gon Jinn y Darth Maul)</t>
  </si>
  <si>
    <t>Stationfall</t>
  </si>
  <si>
    <t>Steam</t>
  </si>
  <si>
    <t>Steam Time</t>
  </si>
  <si>
    <t>Stellar</t>
  </si>
  <si>
    <t>Stone Age</t>
  </si>
  <si>
    <t>Stone Age Junior</t>
  </si>
  <si>
    <t>Story Cubes</t>
  </si>
  <si>
    <t>Streaming</t>
  </si>
  <si>
    <t>Super Agricultor</t>
  </si>
  <si>
    <t>Super Fantasy</t>
  </si>
  <si>
    <t>Super Kawaii Pets</t>
  </si>
  <si>
    <t>Super Motherload</t>
  </si>
  <si>
    <t>Sushi Go!</t>
  </si>
  <si>
    <t>Sushi Go!: Gira y come dim sum</t>
  </si>
  <si>
    <t>Sushi Go Party!</t>
  </si>
  <si>
    <t>Switch It!</t>
  </si>
  <si>
    <t>Sword &amp; Sorcery</t>
  </si>
  <si>
    <t>Sylla</t>
  </si>
  <si>
    <t>Tabannusi: Constructores de Ur</t>
  </si>
  <si>
    <t>Taberna</t>
  </si>
  <si>
    <t>Taco Gatito Pizza</t>
  </si>
  <si>
    <t>Takamachi</t>
  </si>
  <si>
    <t>Take it Easy!</t>
  </si>
  <si>
    <t>Takenoko</t>
  </si>
  <si>
    <t>falta ficha, hecha pnp</t>
  </si>
  <si>
    <t>Tanto Quore</t>
  </si>
  <si>
    <t>Tanto Quore: Expanding the house</t>
  </si>
  <si>
    <t>Tanto Quore: Promo Set</t>
  </si>
  <si>
    <t>Tapestry</t>
  </si>
  <si>
    <t>Tapestry: Planes y Complots</t>
  </si>
  <si>
    <t>Tash Kalar</t>
  </si>
  <si>
    <t>Tea Party</t>
  </si>
  <si>
    <t>Telón de Acero (PNP)</t>
  </si>
  <si>
    <t>Tem-Purr-A</t>
  </si>
  <si>
    <t>Tempo</t>
  </si>
  <si>
    <t>TEN</t>
  </si>
  <si>
    <t>Teotihuacan: Ciudad de Dioses</t>
  </si>
  <si>
    <t>Teotihuacan: Promo del Dados y Colonos</t>
  </si>
  <si>
    <t>Teotihuacan: Preclásico Tardío</t>
  </si>
  <si>
    <t>Terapeuta de pacotilla</t>
  </si>
  <si>
    <t>Terra</t>
  </si>
  <si>
    <t>12-diciembre</t>
  </si>
  <si>
    <t>Terra Mystica</t>
  </si>
  <si>
    <t>Terra Nova</t>
  </si>
  <si>
    <t>Terraforming Mars</t>
  </si>
  <si>
    <t>Terraforming Mars: BGG User-Created Corp. Pack</t>
  </si>
  <si>
    <t>Terraforming Mars: Conflictos</t>
  </si>
  <si>
    <t>Terraforming Mars: Hellas &amp; Elysium</t>
  </si>
  <si>
    <t>Terraforming Mars: Preludio</t>
  </si>
  <si>
    <t>Terraforming Mars: Venus Next</t>
  </si>
  <si>
    <t>Terraforming Mars: Expedición Ares</t>
  </si>
  <si>
    <t>Tesauro</t>
  </si>
  <si>
    <t>Tesoro Brillante</t>
  </si>
  <si>
    <t>That Time You Killed Me</t>
  </si>
  <si>
    <t>The Abandons</t>
  </si>
  <si>
    <t>The Apocalypse of Darkness Warfare</t>
  </si>
  <si>
    <t>The Cave</t>
  </si>
  <si>
    <t>The Colonists</t>
  </si>
  <si>
    <t>The Fairy and the Wizard</t>
  </si>
  <si>
    <t>The Gallerist</t>
  </si>
  <si>
    <t>The Island</t>
  </si>
  <si>
    <t>The Key: Asesinato en el club de golf</t>
  </si>
  <si>
    <t>The Key: Robo en la Mansión Cliffrock</t>
  </si>
  <si>
    <t>The Mandalorian: Adventures</t>
  </si>
  <si>
    <t>The Mind: Extreme</t>
  </si>
  <si>
    <t>The Red Cathedral</t>
  </si>
  <si>
    <t>The Red Cathedral: Promo 1 – The Thieves' Guild</t>
  </si>
  <si>
    <t>The Red Dragon Inn 1 &amp; 2 (PNP)</t>
  </si>
  <si>
    <t>The Thief of Baghdad</t>
  </si>
  <si>
    <t>The White Castle</t>
  </si>
  <si>
    <t>Thebes: The Tomb Raiders</t>
  </si>
  <si>
    <t>Thebes Lies</t>
  </si>
  <si>
    <t>ThinkFun Super Mario Coin Collectors Magnetic Travel Puzzle</t>
  </si>
  <si>
    <t>This War of Mine</t>
  </si>
  <si>
    <t>Tholos</t>
  </si>
  <si>
    <t>Three wishes</t>
  </si>
  <si>
    <t>Through the Ages: Una Nueva Historia de la Civilización</t>
  </si>
  <si>
    <t>Thunder Road: Vendetta</t>
  </si>
  <si>
    <t>29 JUN 2025</t>
  </si>
  <si>
    <t>Thunder Road: Vendetta - Choppe Shoppe</t>
  </si>
  <si>
    <t>Thurn und Taxis</t>
  </si>
  <si>
    <t>T.I.M.E. Stories</t>
  </si>
  <si>
    <t>falta carta 55</t>
  </si>
  <si>
    <t>16 ene</t>
  </si>
  <si>
    <t>T.I.M.E. Stories "Bajo la Máscara"</t>
  </si>
  <si>
    <t>T.I.M.E. Stories "El Caso Marcy"</t>
  </si>
  <si>
    <t>T.I.M.E. Stories "Estrella Drive"</t>
  </si>
  <si>
    <t>T.I.M.E. Stories "Lumen Fidei"</t>
  </si>
  <si>
    <t>T.I.M.E. Stories "Profecía de Dragones"</t>
  </si>
  <si>
    <t>T.I.M.E. Stories "Santo Tomar de Aquino"</t>
  </si>
  <si>
    <t>T.I.M.E. Stories Special Reward Promo</t>
  </si>
  <si>
    <t>Tichu</t>
  </si>
  <si>
    <t>Ticket to Mars</t>
  </si>
  <si>
    <t>Ticket To Ride: Nordic Countries</t>
  </si>
  <si>
    <t>Tierras Bajas</t>
  </si>
  <si>
    <t>Tigris &amp; Éufrates</t>
  </si>
  <si>
    <t>Tikal</t>
  </si>
  <si>
    <t>Timebomb</t>
  </si>
  <si>
    <t>Time Bomb Evolution</t>
  </si>
  <si>
    <t>Time of Soccer</t>
  </si>
  <si>
    <t>Time's Up (Amarillo)</t>
  </si>
  <si>
    <t>Time's Up Academy 1</t>
  </si>
  <si>
    <t>Time's Up Family</t>
  </si>
  <si>
    <t>Timeline Eventos</t>
  </si>
  <si>
    <t>Timeline Inventos</t>
  </si>
  <si>
    <t>26-julio</t>
  </si>
  <si>
    <t>Timeline Multitemático</t>
  </si>
  <si>
    <t>Tinner's Trail</t>
  </si>
  <si>
    <t>Tiro al Pato</t>
  </si>
  <si>
    <t>Titan Race</t>
  </si>
  <si>
    <t>Tokaido</t>
  </si>
  <si>
    <t>Toko Island</t>
  </si>
  <si>
    <t>Topito</t>
  </si>
  <si>
    <t>Topoum</t>
  </si>
  <si>
    <t>Topoum: Bratatatata - Expansion Deck 1</t>
  </si>
  <si>
    <t>Tornado Ellie</t>
  </si>
  <si>
    <t>Torres</t>
  </si>
  <si>
    <t>Tortilla de Patatas</t>
  </si>
  <si>
    <t>Toscana</t>
  </si>
  <si>
    <t>29-junio</t>
  </si>
  <si>
    <t>Toy Battle</t>
  </si>
  <si>
    <t>Tragedy Looper</t>
  </si>
  <si>
    <t>Tras los pasos de Darwin</t>
  </si>
  <si>
    <t>Trasteros Locos</t>
  </si>
  <si>
    <t>Trainsilvania</t>
  </si>
  <si>
    <t>Trajan</t>
  </si>
  <si>
    <t>Trapwords</t>
  </si>
  <si>
    <t>falta reloj d arena</t>
  </si>
  <si>
    <t>Tribus</t>
  </si>
  <si>
    <t>Trickerion: Leyendas del Ilusionismo</t>
  </si>
  <si>
    <t>Tricoda</t>
  </si>
  <si>
    <t>Trio</t>
  </si>
  <si>
    <t>Troia</t>
  </si>
  <si>
    <t>Troyes</t>
  </si>
  <si>
    <t>Tsukiji</t>
  </si>
  <si>
    <t>Tuareg</t>
  </si>
  <si>
    <t>Turbo Town</t>
  </si>
  <si>
    <t>Turing Machine</t>
  </si>
  <si>
    <t>Twilight Imperium III</t>
  </si>
  <si>
    <t>Twilight Struggle</t>
  </si>
  <si>
    <t>Twins</t>
  </si>
  <si>
    <t>Tzolk'in: El Calendario Maya</t>
  </si>
  <si>
    <t>Ubongo</t>
  </si>
  <si>
    <t>Ubongo Mini</t>
  </si>
  <si>
    <t>UBOOT: Lobos de la Kriegsmarine</t>
  </si>
  <si>
    <t>Ulanga</t>
  </si>
  <si>
    <t>Un Imperio en 8 Minutos</t>
  </si>
  <si>
    <t>Un Mundo sin Fin</t>
  </si>
  <si>
    <t>29-octubre</t>
  </si>
  <si>
    <t>Un puñado de meeples</t>
  </si>
  <si>
    <t>falta 1 cubo amarillo</t>
  </si>
  <si>
    <t>Una Noche: El Hombre Lobo</t>
  </si>
  <si>
    <t>Unánimo</t>
  </si>
  <si>
    <t>18 octubre</t>
  </si>
  <si>
    <t>Unanimo Party</t>
  </si>
  <si>
    <t>Underwater Cities</t>
  </si>
  <si>
    <t>UNDO: Esperanzas Ahogadas</t>
  </si>
  <si>
    <t>UNDO: Festival del cerezo en flor</t>
  </si>
  <si>
    <t>UNDO: Una maldicion del pasado</t>
  </si>
  <si>
    <t>Unicornio Destello</t>
  </si>
  <si>
    <t>Unicornio Destello: Una Fiesta para Rosalie</t>
  </si>
  <si>
    <t>Unlock!: Epic Adventures</t>
  </si>
  <si>
    <t>/</t>
  </si>
  <si>
    <t>Unlock!: Escape Adventures</t>
  </si>
  <si>
    <t>Unlock!: Exotic Adventures</t>
  </si>
  <si>
    <t>Unlock!: Game Adventures</t>
  </si>
  <si>
    <t>Unlock!: Legendary Adventures</t>
  </si>
  <si>
    <t>Unlock!: Mistery Adventures</t>
  </si>
  <si>
    <t>Unlock!: Mythic Adventures</t>
  </si>
  <si>
    <t>Unlock!: Secret Adventures</t>
  </si>
  <si>
    <t>Unlock!: Star Wars Escape Game</t>
  </si>
  <si>
    <t>Unlock!: El juego de los Escape Room – En busca de la Máscara de Hierro</t>
  </si>
  <si>
    <t>Unlock! Kids: Detective Stories</t>
  </si>
  <si>
    <t>Unmatched: Battle of Legends Volumen Uno</t>
  </si>
  <si>
    <t>Unmatched: Beowulf vs Caperucita Roja</t>
  </si>
  <si>
    <t>Unmatched: Houdini vs El Genio</t>
  </si>
  <si>
    <t>Urbify</t>
  </si>
  <si>
    <t>Utopia</t>
  </si>
  <si>
    <t>Valparaiso</t>
  </si>
  <si>
    <t>Vamos a pegarnos con espadas de mentira</t>
  </si>
  <si>
    <t>Vampir Mau Mau</t>
  </si>
  <si>
    <t>Vasco da Gama</t>
  </si>
  <si>
    <t>Veggies</t>
  </si>
  <si>
    <t>Velocipuzzle</t>
  </si>
  <si>
    <t>Venetia</t>
  </si>
  <si>
    <t>Veracruz 1631</t>
  </si>
  <si>
    <t>Verbalia</t>
  </si>
  <si>
    <t>Verdant (PnP)</t>
  </si>
  <si>
    <t>Via Appia</t>
  </si>
  <si>
    <t>Viaje al centro de la Tierra</t>
  </si>
  <si>
    <t>Viento del Norte</t>
  </si>
  <si>
    <t>Villa Paletti</t>
  </si>
  <si>
    <t>Villagers</t>
  </si>
  <si>
    <t>Villainous</t>
  </si>
  <si>
    <t>Viral</t>
  </si>
  <si>
    <t>Viral: Promos</t>
  </si>
  <si>
    <t>Virrey</t>
  </si>
  <si>
    <t>Virus!</t>
  </si>
  <si>
    <t>Virus! 2 Evolution</t>
  </si>
  <si>
    <t>Virus! Marvel</t>
  </si>
  <si>
    <t>24 NOV 2024</t>
  </si>
  <si>
    <t>Viticulture: Essential Edition</t>
  </si>
  <si>
    <t>Viticulture: Visitantes del Páramo</t>
  </si>
  <si>
    <t>Viticulture: Tuscany</t>
  </si>
  <si>
    <t>Volfyirion</t>
  </si>
  <si>
    <t xml:space="preserve"> Volfyirion Guilds</t>
  </si>
  <si>
    <t>Vom Kap Bis Kairo</t>
  </si>
  <si>
    <t>Von Manstein's Triumph</t>
  </si>
  <si>
    <t>Votes for Women</t>
  </si>
  <si>
    <t>Walkie Talkie</t>
  </si>
  <si>
    <t>Walking on the Moon</t>
  </si>
  <si>
    <t>Walli Laraña</t>
  </si>
  <si>
    <t>Wanted 7</t>
  </si>
  <si>
    <t>Warchest (PNP)</t>
  </si>
  <si>
    <t>Warcraft: The Board Game</t>
  </si>
  <si>
    <t>Warehouse 51</t>
  </si>
  <si>
    <t>Warhammer Diskwars</t>
  </si>
  <si>
    <t>Water Lily</t>
  </si>
  <si>
    <t>17-mayo</t>
  </si>
  <si>
    <t>Waterloo: 1815 Napoleon's Last Battle</t>
  </si>
  <si>
    <t>Watson &amp; Holmes: Diarios del 221B</t>
  </si>
  <si>
    <t>28-marzo</t>
  </si>
  <si>
    <t>Weather Machine</t>
  </si>
  <si>
    <t>Welcome to the Moon</t>
  </si>
  <si>
    <t>Western Legends</t>
  </si>
  <si>
    <t>Western Legends: El bueno, el guapo y el malo</t>
  </si>
  <si>
    <t>Western Legends: Sube la apuesta</t>
  </si>
  <si>
    <t>Western Legends: Un puñado de extras</t>
  </si>
  <si>
    <t>Western Legends: Un salvaje montón de extras</t>
  </si>
  <si>
    <t>Whoosh: Cazarrecompensa</t>
  </si>
  <si>
    <t>Wingspan</t>
  </si>
  <si>
    <t>Winner's Circle</t>
  </si>
  <si>
    <t>Winter Kingdom</t>
  </si>
  <si>
    <t>22 JUL 2024</t>
  </si>
  <si>
    <t>Wishland</t>
  </si>
  <si>
    <t>Wizard</t>
  </si>
  <si>
    <t>6-noviembre</t>
  </si>
  <si>
    <t>Wizardry</t>
  </si>
  <si>
    <t>Worm Up!</t>
  </si>
  <si>
    <t>XCOM</t>
  </si>
  <si>
    <t>Xia: Leyendas de un sistema a la deriva</t>
  </si>
  <si>
    <t>Yangtze</t>
  </si>
  <si>
    <t>Yokai Pagoda</t>
  </si>
  <si>
    <t>Yokai Sketch</t>
  </si>
  <si>
    <t>Yummy Kitty</t>
  </si>
  <si>
    <t>Zampa La Granja</t>
  </si>
  <si>
    <t>Zer-pien-tez</t>
  </si>
  <si>
    <t>Zhanguo: El Primer Imperio</t>
  </si>
  <si>
    <t>05 OCT 2024</t>
  </si>
  <si>
    <t>Zicke Zacke</t>
  </si>
  <si>
    <t>Zombie 15'</t>
  </si>
  <si>
    <t>Zombicide: Black Plague</t>
  </si>
  <si>
    <t>Zombicide Seasons 2: Prison Outbreak</t>
  </si>
  <si>
    <t>Zoop</t>
  </si>
  <si>
    <t>Zorros al corral</t>
  </si>
  <si>
    <t>Zumos</t>
  </si>
  <si>
    <t>Zumos: On the Rocks</t>
  </si>
  <si>
    <t>Fecha</t>
  </si>
  <si>
    <t>¡Segundón!</t>
  </si>
  <si>
    <t>¡Yo soy el Jefe!</t>
  </si>
  <si>
    <t xml:space="preserve">¿Alcachofas? ¡No, gracias!: Promo Ruibarbo </t>
  </si>
  <si>
    <t>Anima: El Ocaso de los Dioses</t>
  </si>
  <si>
    <t>Baby Blues</t>
  </si>
  <si>
    <t>Bitcoin Hackers</t>
  </si>
  <si>
    <t>Castellers!</t>
  </si>
  <si>
    <t>Chariot Race: Dioses de la Arena</t>
  </si>
  <si>
    <t>Chez Geek: Piso Compartido</t>
  </si>
  <si>
    <t>Chocobo's Crystal Hunt</t>
  </si>
  <si>
    <t>Crazy Therapy!!</t>
  </si>
  <si>
    <t>Dogfight: I Guerra Mundial</t>
  </si>
  <si>
    <t>Galeones, Cañones y Doblones</t>
  </si>
  <si>
    <t>Enigmas Matemáticos</t>
  </si>
  <si>
    <t>Ensalada de Bichos (Kakerlakensalat)</t>
  </si>
  <si>
    <t>Fallen Angels</t>
  </si>
  <si>
    <t>sofa roto</t>
  </si>
  <si>
    <t>Galaxy Trucker: Aventuras en el Espacio</t>
  </si>
  <si>
    <t>Here comes the Dog</t>
  </si>
  <si>
    <t>Hexcalibur</t>
  </si>
  <si>
    <t>Micomicons en el bosque</t>
  </si>
  <si>
    <t>falta reglamento</t>
  </si>
  <si>
    <t>Pamplona: Viva San Fermin!</t>
  </si>
  <si>
    <t>Pictomania</t>
  </si>
  <si>
    <t>Por Favor, ¿Dónde está Umtata?</t>
  </si>
  <si>
    <t>Red Code</t>
  </si>
  <si>
    <t>Regreso al Futuro: El juego de dados</t>
  </si>
  <si>
    <t>Roedores (2)</t>
  </si>
  <si>
    <t>Senji</t>
  </si>
  <si>
    <t>Storytelling (Átomo)</t>
  </si>
  <si>
    <t>Sugi</t>
  </si>
  <si>
    <t>Sushi Go</t>
  </si>
  <si>
    <t>The Path of the Adventurers</t>
  </si>
  <si>
    <t>The Path of the Adventurers: The Unholy Crypt</t>
  </si>
  <si>
    <t>Torre de Gatos</t>
  </si>
  <si>
    <t>Upstream</t>
  </si>
  <si>
    <t>Wetland</t>
  </si>
  <si>
    <t>Yu-Gi-Oh! Starter pack</t>
  </si>
  <si>
    <t>Ajo y Agua</t>
  </si>
  <si>
    <t>Barcelona: La rosa del fuego</t>
  </si>
  <si>
    <t>Colonial Space Wars</t>
  </si>
  <si>
    <t>El Hobbit: La desolacion de Smaug</t>
  </si>
  <si>
    <t>Lords of the P.I.G.S Edicion Pata negra</t>
  </si>
  <si>
    <t>Metalcorps The Mechs´ War</t>
  </si>
  <si>
    <t>Rick and Morty: 100 dias</t>
  </si>
  <si>
    <t>Star Wars Destiny</t>
  </si>
  <si>
    <t>lleno</t>
  </si>
  <si>
    <t>Klask</t>
  </si>
  <si>
    <t>Pitch&amp;Plakks</t>
  </si>
  <si>
    <t>Misterios de Pekin</t>
  </si>
  <si>
    <t>Rivet Wars</t>
  </si>
  <si>
    <t>Battlelore 2ª Edicion</t>
  </si>
  <si>
    <t>Star Wars Imperial Assault</t>
  </si>
  <si>
    <t>Firefly</t>
  </si>
  <si>
    <t>La Oscuridad Asifixiante</t>
  </si>
  <si>
    <t>caben 2</t>
  </si>
  <si>
    <t>Hero Path: Dragon Roar</t>
  </si>
  <si>
    <t>La Furia de Dracula</t>
  </si>
  <si>
    <t>Mice &amp; Mystics</t>
  </si>
  <si>
    <t>REX</t>
  </si>
  <si>
    <t>Spartacus</t>
  </si>
  <si>
    <t>Las leyendas de Andor</t>
  </si>
  <si>
    <t>Mundodisco</t>
  </si>
  <si>
    <t>cabe 1</t>
  </si>
  <si>
    <t>Guerra del Anillo. Señores de la Tierrra Media</t>
  </si>
  <si>
    <t>La Busqueda del Anillo</t>
  </si>
  <si>
    <t>cabe 1 estrecho y 2 horizontales</t>
  </si>
  <si>
    <t>Estado de sitio</t>
  </si>
  <si>
    <t>Huida de Silver City</t>
  </si>
  <si>
    <t>Omertá</t>
  </si>
  <si>
    <t>13 Dias: La crisis de los misiles en Cuba</t>
  </si>
  <si>
    <t>Dias de Ira: Budapest 1956</t>
  </si>
  <si>
    <t>Dual Powers</t>
  </si>
  <si>
    <t>ONUS: Roma Vs Cartago</t>
  </si>
  <si>
    <t>1775: La Guerra de la Independencia</t>
  </si>
  <si>
    <t>Battleline</t>
  </si>
  <si>
    <t>Waterloo: 1815 Napoleo's last battle</t>
  </si>
  <si>
    <t>caben 3 o 4</t>
  </si>
  <si>
    <t>Cabo</t>
  </si>
  <si>
    <t>Codinca</t>
  </si>
  <si>
    <t>L.A.M.A.</t>
  </si>
  <si>
    <t>Mind Up</t>
  </si>
  <si>
    <t>Mision cumplida</t>
  </si>
  <si>
    <t>Not Alone Exploracion</t>
  </si>
  <si>
    <t>Omerta (GDM)</t>
  </si>
  <si>
    <t>Telón de Acero</t>
  </si>
  <si>
    <t>Volfyrion</t>
  </si>
  <si>
    <t>Volfyrion Guilds</t>
  </si>
  <si>
    <t>caben 7</t>
  </si>
  <si>
    <t>La Gran muralla china</t>
  </si>
  <si>
    <t>Line-It</t>
  </si>
  <si>
    <t>Camel Up cartas</t>
  </si>
  <si>
    <t>El Hombres Lobo Expansión Artefactos</t>
  </si>
  <si>
    <t>Kodama: Los espiritus del arbol</t>
  </si>
  <si>
    <t>Skull King (Devir)</t>
  </si>
  <si>
    <t>COL 2 3</t>
  </si>
  <si>
    <t>Exit: Puzzle - El templo perdido</t>
  </si>
  <si>
    <t>caben 3</t>
  </si>
  <si>
    <t>Bohnanza: La judia tenia un precio</t>
  </si>
  <si>
    <t>Exit: El Señor de los Anillos: Sombras sobre Tierra Media</t>
  </si>
  <si>
    <t>Exit: La Tumba del Faraon</t>
  </si>
  <si>
    <t>Las brujas de Cernégula</t>
  </si>
  <si>
    <t>Legado Perdido: El Grial Sagrado y El Báculo</t>
  </si>
  <si>
    <t>Mazescape Ariadne</t>
  </si>
  <si>
    <t>Mazescape Cryo-C</t>
  </si>
  <si>
    <t>Mazescape kids Hipnos</t>
  </si>
  <si>
    <t>Mazescape Labyrinthos</t>
  </si>
  <si>
    <t>caben 12 o 13</t>
  </si>
  <si>
    <t>Cronicas</t>
  </si>
  <si>
    <t>El rey de los enanos</t>
  </si>
  <si>
    <t>El robo del siglo</t>
  </si>
  <si>
    <t>El Señor de los Anillos. El Viaje a Mordor</t>
  </si>
  <si>
    <t>IQ Files:Pecados</t>
  </si>
  <si>
    <t>caben varios</t>
  </si>
  <si>
    <t>¿Que llevo en la maleta? Extreme</t>
  </si>
  <si>
    <t>Age of war</t>
  </si>
  <si>
    <t>El Señor de los Anillos. El juego de cartas</t>
  </si>
  <si>
    <t>Los Pilares de la Tierra. el juego de cartas</t>
  </si>
  <si>
    <t>Mind Maze: Jóvenes Detectives</t>
  </si>
  <si>
    <t>Q: Ultima llamada</t>
  </si>
  <si>
    <t>Sherlock: 13 rehenes</t>
  </si>
  <si>
    <t>Sherlock: El Endemoniado</t>
  </si>
  <si>
    <t>Star wars, Imperio VS Rebelión</t>
  </si>
  <si>
    <t>¡Atención a los monstruos! junior</t>
  </si>
  <si>
    <t>caben 2 o 3</t>
  </si>
  <si>
    <t>Dominó junior</t>
  </si>
  <si>
    <t>El monstruo de los calcetines</t>
  </si>
  <si>
    <t>Linkto</t>
  </si>
  <si>
    <t>Los futbolisimos. Campo 4</t>
  </si>
  <si>
    <t>Rally Ras</t>
  </si>
  <si>
    <t>Storytelling</t>
  </si>
  <si>
    <t>COMPROBAR</t>
  </si>
  <si>
    <t>Yummi Kitty</t>
  </si>
  <si>
    <t>¡Giralo!</t>
  </si>
  <si>
    <t>Más Mascotas</t>
  </si>
  <si>
    <t>Mascotas (2)</t>
  </si>
  <si>
    <t>Rally de animales MIX MAX</t>
  </si>
  <si>
    <t>El Gran libro de la Locura</t>
  </si>
  <si>
    <t>Dixit Oddissey</t>
  </si>
  <si>
    <t>Codigo Secreto</t>
  </si>
  <si>
    <t>Codigo Secreto Duo</t>
  </si>
  <si>
    <t>Codigo Secreto: Imagenes</t>
  </si>
  <si>
    <t>Pictomania (Devir)</t>
  </si>
  <si>
    <t>caben 4</t>
  </si>
  <si>
    <t>El Espia (que se perdió)</t>
  </si>
  <si>
    <t>El Sheriff de Notthingam</t>
  </si>
  <si>
    <t>Shamanz</t>
  </si>
  <si>
    <t>Sushi Go Party</t>
  </si>
  <si>
    <t>caben</t>
  </si>
  <si>
    <t>Ranking! 2: Cine y Series</t>
  </si>
  <si>
    <t>Time´s Up Family</t>
  </si>
  <si>
    <t>caben 1 o 2 en horiz</t>
  </si>
  <si>
    <t>El Capitan</t>
  </si>
  <si>
    <t>Agricola: Nueva Edicion</t>
  </si>
  <si>
    <t>Clank Catacumbas</t>
  </si>
  <si>
    <t>Clank! Una aventura de construccion de mazos</t>
  </si>
  <si>
    <t>Dominion Edad Oscura</t>
  </si>
  <si>
    <t>¿A quien nos comemos?</t>
  </si>
  <si>
    <t>caben pequeños</t>
  </si>
  <si>
    <t>Death over the Kingdom</t>
  </si>
  <si>
    <t>Rokkie Heroes</t>
  </si>
  <si>
    <t>cabe 1 horizontal</t>
  </si>
  <si>
    <t>cabe 1 y 1 horizontal</t>
  </si>
  <si>
    <t>Aquasphere</t>
  </si>
  <si>
    <t>Die Burgen von Burgund</t>
  </si>
  <si>
    <t>En el año del dragon</t>
  </si>
  <si>
    <t>Der Club der Verschwender</t>
  </si>
  <si>
    <t>League of Six: Loyal Retinue</t>
  </si>
  <si>
    <t>Underwater cities</t>
  </si>
  <si>
    <t>Incomodos Invitados</t>
  </si>
  <si>
    <t>Sherlock Holmes: The Queen´s Park Affair</t>
  </si>
  <si>
    <t>Tzolkin</t>
  </si>
  <si>
    <t>Kindom Defenders</t>
  </si>
  <si>
    <t>The Colonist</t>
  </si>
  <si>
    <t>Cronicas del Crimen</t>
  </si>
  <si>
    <t>Detective Conexión Viena</t>
  </si>
  <si>
    <t>Detective: Un juego de investigacion moderno</t>
  </si>
  <si>
    <t>Incógnito</t>
  </si>
  <si>
    <t>The key: Robo en la mansion Cliffrock</t>
  </si>
  <si>
    <t>caben Unlocks</t>
  </si>
  <si>
    <t>Unlock! 1: Escape Adventures</t>
  </si>
  <si>
    <t>Unlock! 2: Mistery Adventures</t>
  </si>
  <si>
    <t>Unlock! 3: Secret Adventures</t>
  </si>
  <si>
    <t>Unlock! 4: Exotic Adventures</t>
  </si>
  <si>
    <t>Unlock! 7: Epic Adventures</t>
  </si>
  <si>
    <t>Unlock! 8: Star Wars Escape Game</t>
  </si>
  <si>
    <t>Unlock! 9: Mythic Adventures</t>
  </si>
  <si>
    <t>Euphoria</t>
  </si>
  <si>
    <t>Istanbul El juego de dados</t>
  </si>
  <si>
    <t>Discoveries</t>
  </si>
  <si>
    <t>Robinson Crusoe: Aventuras en la isla maldita</t>
  </si>
  <si>
    <t>It´s a Wonderful Kingdom</t>
  </si>
  <si>
    <t>It´s a Wonderful World</t>
  </si>
  <si>
    <t>After us</t>
  </si>
  <si>
    <t>caben 2 medianos</t>
  </si>
  <si>
    <t>10`to Kill</t>
  </si>
  <si>
    <t>Revolución 1828</t>
  </si>
  <si>
    <t>caben encima</t>
  </si>
  <si>
    <t>Colonos de Catan Edicion Viaje</t>
  </si>
  <si>
    <t>Colonos de Catan (Peninsula Iberica)</t>
  </si>
  <si>
    <t>Vientos del Norte</t>
  </si>
  <si>
    <t>El grande (nueva edición)</t>
  </si>
  <si>
    <t>Five Tribes</t>
  </si>
  <si>
    <t>Fresko Modulos 8 9 y 10</t>
  </si>
  <si>
    <t>Change horses</t>
  </si>
  <si>
    <t>Colonias cósmicas</t>
  </si>
  <si>
    <t>Get on Board; New York &amp; London</t>
  </si>
  <si>
    <t>Paris: La Cité de la Lumière</t>
  </si>
  <si>
    <t>Robin of Locksley</t>
  </si>
  <si>
    <t>Spies &amp; Lies stratego story</t>
  </si>
  <si>
    <t>Bonhanza</t>
  </si>
  <si>
    <t>Holmes</t>
  </si>
  <si>
    <t>Viticulture:  Esencial Edition</t>
  </si>
  <si>
    <t>cabe 1 encima</t>
  </si>
  <si>
    <t>Las tribus del viento</t>
  </si>
  <si>
    <t>Azul Pabellón de verano</t>
  </si>
  <si>
    <t>Queenz</t>
  </si>
  <si>
    <t>The island</t>
  </si>
  <si>
    <t>caben 1 o 2 medianos</t>
  </si>
  <si>
    <t>Herbaceas</t>
  </si>
  <si>
    <t>Mas Noches de Sangre</t>
  </si>
  <si>
    <t>Mondrian</t>
  </si>
  <si>
    <t>Age of Empire III</t>
  </si>
  <si>
    <t>Las Ruinas perdidas de Arnak</t>
  </si>
  <si>
    <t>Endeavor: La era de la navegacion</t>
  </si>
  <si>
    <t>Western Legends Expansión</t>
  </si>
  <si>
    <t>Flick em Up</t>
  </si>
  <si>
    <t>Alta Tension</t>
  </si>
  <si>
    <t>Concordia : Salsa</t>
  </si>
  <si>
    <t>Slay the Spire</t>
  </si>
  <si>
    <t>Saint  Malo</t>
  </si>
  <si>
    <t>Saint Petesburgo</t>
  </si>
  <si>
    <t>Sankt Petersburg</t>
  </si>
  <si>
    <t>Majesty</t>
  </si>
  <si>
    <t>Archaeology the New Expedition</t>
  </si>
  <si>
    <t>caben pnp</t>
  </si>
  <si>
    <t>Dice Drivin´</t>
  </si>
  <si>
    <t>La Familia Addams (PnP)</t>
  </si>
  <si>
    <t>Love Letter Star Wars (PnP)</t>
  </si>
  <si>
    <t>Santa Mónica (PnP)</t>
  </si>
  <si>
    <t>Santorini (PnP)</t>
  </si>
  <si>
    <t>Star Wars: The deckbuilding game (PnP)</t>
  </si>
  <si>
    <t>Warchest (PnP)</t>
  </si>
  <si>
    <t>Funky Pllo</t>
  </si>
  <si>
    <t>Escuela de pinguinos</t>
  </si>
  <si>
    <t>Pitch Exp. 1</t>
  </si>
  <si>
    <t>Pitch Exp. 2</t>
  </si>
  <si>
    <t>Pokemon Maestro entrenador</t>
  </si>
  <si>
    <t>Pócimas y brebajes Jr</t>
  </si>
  <si>
    <t>¡Atrapalo!</t>
  </si>
  <si>
    <t>Codigo Secreto 13+4</t>
  </si>
  <si>
    <t>La abeja Adela</t>
  </si>
  <si>
    <t>Abracada..¿Qué?</t>
  </si>
  <si>
    <t>Cocos locos</t>
  </si>
  <si>
    <t>El cuco kiko estrena nido</t>
  </si>
  <si>
    <t>El Rey de los Dados: el Juego de Mesa</t>
  </si>
  <si>
    <t>Capitan Flint</t>
  </si>
  <si>
    <t>Descubre ¿Quien robó en el gallinero?</t>
  </si>
  <si>
    <t>Fabulantica</t>
  </si>
  <si>
    <t>Lola´s clues, Las pistas de Lola</t>
  </si>
  <si>
    <t>Coraquest</t>
  </si>
  <si>
    <t>El Valle de los vikingos</t>
  </si>
  <si>
    <t>Fantasma blitz las 12 menos 5</t>
  </si>
  <si>
    <t>Origami</t>
  </si>
  <si>
    <t>El rey de los dados</t>
  </si>
  <si>
    <t>Eye ´N Seek</t>
  </si>
  <si>
    <t>Fairy Tale</t>
  </si>
  <si>
    <t>Rally de zanahorias</t>
  </si>
  <si>
    <t>Burning bakery</t>
  </si>
  <si>
    <t>Logic! Games: Aquanilo Park</t>
  </si>
  <si>
    <t>Spy guy, el pequeño detective</t>
  </si>
  <si>
    <t>Magic Maze kids</t>
  </si>
  <si>
    <t>The fairy and the wizard</t>
  </si>
  <si>
    <t>Unlock! Kids</t>
  </si>
  <si>
    <t>Fabula Regnum</t>
  </si>
  <si>
    <t>Final Fantasy TCG (2)</t>
  </si>
  <si>
    <t>Scrolls of a Northern city</t>
  </si>
  <si>
    <t>The Apocalypse of darkness warfare</t>
  </si>
  <si>
    <t>COL 0.1</t>
  </si>
  <si>
    <t>COL 0.2</t>
  </si>
  <si>
    <t>COL 0.3</t>
  </si>
  <si>
    <t>COL 0.4</t>
  </si>
  <si>
    <t>COL 0.5</t>
  </si>
  <si>
    <t>COL 0.6</t>
  </si>
  <si>
    <t>COL 0.7</t>
  </si>
  <si>
    <t>COL 0.8</t>
  </si>
  <si>
    <t>COL 1.1</t>
  </si>
  <si>
    <t>COL 1.2</t>
  </si>
  <si>
    <t>COL 1.3</t>
  </si>
  <si>
    <t>COL 1.4</t>
  </si>
  <si>
    <t>COL 1.5</t>
  </si>
  <si>
    <t>COL 1.6</t>
  </si>
  <si>
    <t>COL 1.7</t>
  </si>
  <si>
    <t>COL 1.8</t>
  </si>
  <si>
    <t>COL 2.1</t>
  </si>
  <si>
    <t>COL 2.2</t>
  </si>
  <si>
    <t>COL 2.3</t>
  </si>
  <si>
    <t>COL 2.4</t>
  </si>
  <si>
    <t>COL 2.5</t>
  </si>
  <si>
    <t>COL 2.6</t>
  </si>
  <si>
    <t>COL 2.7</t>
  </si>
  <si>
    <t>COL 2.8</t>
  </si>
  <si>
    <t>COL 2-3</t>
  </si>
  <si>
    <t>COL 3.1</t>
  </si>
  <si>
    <t>Adventure Games. La mazmorra</t>
  </si>
  <si>
    <t>COL 3.2</t>
  </si>
  <si>
    <t>COL 3.3</t>
  </si>
  <si>
    <t>cabe 1 o 2</t>
  </si>
  <si>
    <t>COL 3.4</t>
  </si>
  <si>
    <t>COL 3.5</t>
  </si>
  <si>
    <t>COL 3.6</t>
  </si>
  <si>
    <t>COL 3.7</t>
  </si>
  <si>
    <t>COL 3.8</t>
  </si>
  <si>
    <t>COL 4.1</t>
  </si>
  <si>
    <t>COL 4.2</t>
  </si>
  <si>
    <t>COL 4.3</t>
  </si>
  <si>
    <t>COL 4.4</t>
  </si>
  <si>
    <t>COL 4.5</t>
  </si>
  <si>
    <t>COL 4.6</t>
  </si>
  <si>
    <t>COL 4.7</t>
  </si>
  <si>
    <t>COL 4.8</t>
  </si>
  <si>
    <t>PDTE CLASIFICAR</t>
  </si>
  <si>
    <t>COL 6.1</t>
  </si>
  <si>
    <t>COL 6.2</t>
  </si>
  <si>
    <t>COL 6.3</t>
  </si>
  <si>
    <t>COL 6.4</t>
  </si>
  <si>
    <t>COL 6.5</t>
  </si>
  <si>
    <t>COL 6.6</t>
  </si>
  <si>
    <t>cabe 1 vertical</t>
  </si>
  <si>
    <t>COL 6.7</t>
  </si>
  <si>
    <t>COL 6.8</t>
  </si>
  <si>
    <t>COL 7.1</t>
  </si>
  <si>
    <t>COL 7.2</t>
  </si>
  <si>
    <t>COL 7.3</t>
  </si>
  <si>
    <t>COL 7.4</t>
  </si>
  <si>
    <t>COL 7.5</t>
  </si>
  <si>
    <t>COL 7.6</t>
  </si>
  <si>
    <t>COL 7.7</t>
  </si>
  <si>
    <t>COL 7.8</t>
  </si>
  <si>
    <t>caben 1 o 2</t>
  </si>
  <si>
    <t>Ranking!: Cultura Friki</t>
  </si>
  <si>
    <t>JUEGO</t>
  </si>
  <si>
    <t>MINI USA</t>
  </si>
  <si>
    <t>USA</t>
  </si>
  <si>
    <t>MINI QUIMERA</t>
  </si>
  <si>
    <t>QUIMERA</t>
  </si>
  <si>
    <t>STANDARD</t>
  </si>
  <si>
    <t>EURO</t>
  </si>
  <si>
    <t>CUADRADAS</t>
  </si>
  <si>
    <t>MAGNUM</t>
  </si>
  <si>
    <t>¡Segundon!</t>
  </si>
  <si>
    <t>¡Si, Señor Oscuro!</t>
  </si>
  <si>
    <t>6 nimmt!</t>
  </si>
  <si>
    <t>A la chita callando</t>
  </si>
  <si>
    <t>Adios, Amigos</t>
  </si>
  <si>
    <t>Agricola: A traves de las estaciones</t>
  </si>
  <si>
    <t>Bang: El Duelo</t>
  </si>
  <si>
    <t>Bang! El Juego de dados</t>
  </si>
  <si>
    <t>Battle line</t>
  </si>
  <si>
    <t>Battlelore 2ª edicion</t>
  </si>
  <si>
    <t>Bienvenidos a la Mazmorra</t>
  </si>
  <si>
    <t>Cacao (2)</t>
  </si>
  <si>
    <t>Camel Up (2)</t>
  </si>
  <si>
    <t>Campaig Manager 2008</t>
  </si>
  <si>
    <t>Can´t Stop</t>
  </si>
  <si>
    <t>Chariot Race</t>
  </si>
  <si>
    <t>Chez Geek</t>
  </si>
  <si>
    <t>Colonos de Catan (2)</t>
  </si>
  <si>
    <t>Colonos de Catan Deutchland</t>
  </si>
  <si>
    <t>Combat Commander</t>
  </si>
  <si>
    <t>Coup (P&amp;P)</t>
  </si>
  <si>
    <t>Coup:Guatemala 1954</t>
  </si>
  <si>
    <t>Crazy Coconuts</t>
  </si>
  <si>
    <t>Crazy Therapy</t>
  </si>
  <si>
    <t>Dobble (2)</t>
  </si>
  <si>
    <t>Dominion (4)</t>
  </si>
  <si>
    <t>Dragones y gallinas</t>
  </si>
  <si>
    <t>Drako</t>
  </si>
  <si>
    <t>El Espia (que se perdió) (2)</t>
  </si>
  <si>
    <t>El Grande: 20º Aniversario</t>
  </si>
  <si>
    <t>El Hobbit: el juego de cartas</t>
  </si>
  <si>
    <t>Ensalada de bichos/Kakerlakensalat (2)</t>
  </si>
  <si>
    <t>Escape: The Curse of the...</t>
  </si>
  <si>
    <t>ESDLA. La Batalla por la Tierra Media</t>
  </si>
  <si>
    <t>Estudio en Esmeralda</t>
  </si>
  <si>
    <t>Fantasma Blitz (3)</t>
  </si>
  <si>
    <t>Fresko Modulos 4 5 y 6</t>
  </si>
  <si>
    <t>Isle of Skye</t>
  </si>
  <si>
    <t>Istanbul</t>
  </si>
  <si>
    <t>Juego de Tronos: Intriga en Poniente</t>
  </si>
  <si>
    <t>Jungle Speed (2)</t>
  </si>
  <si>
    <t>Junta: Las cartas</t>
  </si>
  <si>
    <t>K2 (2, 1 de MQO)</t>
  </si>
  <si>
    <t>Khole (Brass)</t>
  </si>
  <si>
    <t>La Batalla de los 5 Ejércitos</t>
  </si>
  <si>
    <t>La Villa: Posada</t>
  </si>
  <si>
    <t>Ligretto (Verde y Azul) (2)</t>
  </si>
  <si>
    <t>Los Aprendices (2)</t>
  </si>
  <si>
    <t>Lords of the P.I.G.S Edicion Pata Negra</t>
  </si>
  <si>
    <t>Love Letter/Love Letter (P&amp;P) (2)</t>
  </si>
  <si>
    <t>Luchador</t>
  </si>
  <si>
    <t>Neuroshima Hex</t>
  </si>
  <si>
    <t>Pictomanía (3)</t>
  </si>
  <si>
    <t>Polilla Tramposa/Mogel Motte (2)</t>
  </si>
  <si>
    <t>Runebound Island Of Dread</t>
  </si>
  <si>
    <t>San Petesburgo</t>
  </si>
  <si>
    <t>Sherlock Holmes</t>
  </si>
  <si>
    <t>Speeds Cups</t>
  </si>
  <si>
    <t>Star Wars, Imperio VS Rebelión</t>
  </si>
  <si>
    <t>Star Wars: Stolen Plans (P&amp;P)</t>
  </si>
  <si>
    <t>Sushi Go (3)</t>
  </si>
  <si>
    <t>Tash Kalar (2)</t>
  </si>
  <si>
    <t>Tortilla de Patatas: The Game</t>
  </si>
  <si>
    <t>Vampir Mau Mau (2)</t>
  </si>
  <si>
    <t>The Path of the Aventurers</t>
  </si>
  <si>
    <t>B0</t>
  </si>
  <si>
    <t>Neuroshima Hex!</t>
  </si>
  <si>
    <t>Rubbish race</t>
  </si>
  <si>
    <t>Dice Force</t>
  </si>
  <si>
    <t>Teotihuacan; Ciudad de Dioses</t>
  </si>
  <si>
    <t>Erizos ¡A rodar!</t>
  </si>
  <si>
    <t>Viticulture: Esencial Edition</t>
  </si>
  <si>
    <t>Schottem Totten 2</t>
  </si>
  <si>
    <t>medidas raras</t>
  </si>
  <si>
    <t>Arcanya:Magic Academy</t>
  </si>
  <si>
    <t>Chocobo´s Crystal Hunt</t>
  </si>
  <si>
    <t>Golf´n´Roll</t>
  </si>
  <si>
    <t>Scotland Yard: La busqueda de Mr. X</t>
  </si>
  <si>
    <t>Unanimo</t>
  </si>
  <si>
    <t>caben 2 o 3 devir</t>
  </si>
  <si>
    <t>Crazy fishing</t>
  </si>
  <si>
    <t>en tamaño virus</t>
  </si>
  <si>
    <t>Chuces</t>
  </si>
  <si>
    <t>Coup:Guatemala</t>
  </si>
  <si>
    <t>Crazy therapy!!</t>
  </si>
  <si>
    <t>Mas Mascotas (2)</t>
  </si>
  <si>
    <t>No Game Over: Expansiones - Nientiendo, Play...</t>
  </si>
  <si>
    <t>en caja pequeña</t>
  </si>
  <si>
    <t>Antártica</t>
  </si>
  <si>
    <t>Cucu Tras ¿qué hay detrás¿</t>
  </si>
  <si>
    <t>Spoilers The beginning</t>
  </si>
  <si>
    <t>Cleopatra</t>
  </si>
  <si>
    <t>ROOM, Agus and Monsters</t>
  </si>
  <si>
    <t>España 20. La Guerra Peninsular</t>
  </si>
  <si>
    <t>Waterloo: 1815 Napoleon´s last battle</t>
  </si>
  <si>
    <t>Pandemia</t>
  </si>
  <si>
    <t>Pandemic Iberia</t>
  </si>
  <si>
    <t>Robinson Crusoe: Aventuras en la isla m...</t>
  </si>
  <si>
    <t>Golygames</t>
  </si>
  <si>
    <t>Brass: Birminghan</t>
  </si>
  <si>
    <t>caben tamaño fijo</t>
  </si>
  <si>
    <t>Codigo Secreto: Authors &amp; Games (2)</t>
  </si>
  <si>
    <t>Codigo Secreto: Exp. Promocional Andalucia (2)</t>
  </si>
  <si>
    <t>Dungeon Lite</t>
  </si>
  <si>
    <t>Pictomania DEVIR</t>
  </si>
  <si>
    <t>¿A quién nos comemos hoy?</t>
  </si>
  <si>
    <t>Alex Colt</t>
  </si>
  <si>
    <t>Papaya monkey</t>
  </si>
  <si>
    <t>Arkham Horror 3ª Edicion</t>
  </si>
  <si>
    <t>caben medidas ratas</t>
  </si>
  <si>
    <t>caben scapes</t>
  </si>
  <si>
    <t>Unlock 1: Escape Adventures</t>
  </si>
  <si>
    <t>Unlock 2: Mistery Adventures</t>
  </si>
  <si>
    <t>Unlock 3: Secret Adventures</t>
  </si>
  <si>
    <t>Unlock 4: Exotic Adventures</t>
  </si>
  <si>
    <t>Unlock 8: Star Wars Escape Game</t>
  </si>
  <si>
    <t>Ponny Express</t>
  </si>
  <si>
    <t>HACER</t>
  </si>
  <si>
    <t>solo catan alguno...</t>
  </si>
  <si>
    <t>Colonos de Catan: EL auge de los Incas</t>
  </si>
  <si>
    <t xml:space="preserve">Batalla de Genios Junior </t>
  </si>
  <si>
    <t>Fabulas de Peluche</t>
  </si>
  <si>
    <t>Pachtwork</t>
  </si>
  <si>
    <t>HABA</t>
  </si>
  <si>
    <t>Descifrado!</t>
  </si>
  <si>
    <t>Rhino hero Junior</t>
  </si>
  <si>
    <t>La Leyenda del Cerezo que florece cada diez...</t>
  </si>
  <si>
    <t xml:space="preserve"> </t>
  </si>
  <si>
    <t>Regreso al Futuro: el juego de dados</t>
  </si>
  <si>
    <t>Guerra del Anillo. Señores de la Tierrra M.</t>
  </si>
  <si>
    <t>Through the Ages: Una Nueva Historia de la Civ...</t>
  </si>
  <si>
    <t>Western Legends: Un salvaje monton de extras</t>
  </si>
  <si>
    <t>sherlocks</t>
  </si>
  <si>
    <t>Sherlock Holmes: Jack el Destripador y Avent...</t>
  </si>
  <si>
    <t>lata</t>
  </si>
  <si>
    <t>Chariot Race: Dioses de la arena</t>
  </si>
  <si>
    <t>Century. La ruta de las especias</t>
  </si>
  <si>
    <t>La Noche de cayó Pompeya</t>
  </si>
  <si>
    <t>N3</t>
  </si>
  <si>
    <t>Coup</t>
  </si>
  <si>
    <t>Santorini</t>
  </si>
  <si>
    <t>Star Wars: Stolen Plans</t>
  </si>
  <si>
    <t>Telon de Acero</t>
  </si>
  <si>
    <t>Warchest</t>
  </si>
  <si>
    <t>Qiahn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</si>
</sst>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"/>
    <numFmt numFmtId="165" formatCode="d/m"/>
    <numFmt numFmtId="166" formatCode="dd/mm/yyyy"/>
    <numFmt numFmtId="167" formatCode="d-mmm"/>
    <numFmt numFmtId="168" formatCode="d/MM/yyyy"/>
    <numFmt numFmtId="169" formatCode="d mmm yy"/>
    <numFmt numFmtId="170" formatCode="d- mmm"/>
    <numFmt numFmtId="171" formatCode="dd-mmm"/>
    <numFmt numFmtId="172" formatCode="d mmm yyyy"/>
    <numFmt numFmtId="173" formatCode="d&quot; &quot;mmm"/>
  </numFmts>
  <fonts count="38">
    <font>
      <sz val="10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b/>
      <color rgb="FF000000"/>
      <name val="Calibri"/>
    </font>
    <font>
      <sz val="10.0"/>
      <color rgb="FF000000"/>
      <name val="Calibri"/>
    </font>
    <font/>
    <font>
      <b/>
      <color theme="1"/>
      <name val="Calibri"/>
    </font>
    <font>
      <color rgb="FF000000"/>
      <name val="Calibri"/>
    </font>
    <font>
      <color theme="1"/>
      <name val="Calibri"/>
    </font>
    <font>
      <sz val="10.0"/>
      <color theme="1"/>
      <name val="Calibri"/>
    </font>
    <font>
      <sz val="11.0"/>
      <color rgb="FF0053B7"/>
      <name val="Calibri"/>
    </font>
    <font>
      <b/>
      <color rgb="FF000000"/>
      <name val="Docs-Calibri"/>
    </font>
    <font>
      <b/>
      <sz val="7.0"/>
      <color rgb="FF000000"/>
      <name val="Calibri"/>
    </font>
    <font>
      <b/>
      <sz val="8.0"/>
      <color rgb="FF000000"/>
      <name val="Calibri"/>
    </font>
    <font>
      <sz val="18.0"/>
      <color rgb="FF000000"/>
      <name val="Calibri"/>
    </font>
    <font>
      <b/>
      <sz val="18.0"/>
      <color rgb="FF000000"/>
      <name val="Calibri"/>
    </font>
    <font>
      <b/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Arial"/>
    </font>
    <font>
      <b/>
      <color rgb="FFFFFFFF"/>
      <name val="Arial"/>
    </font>
    <font>
      <color rgb="FF000000"/>
      <name val="Arial"/>
    </font>
    <font>
      <b/>
      <color rgb="FFE69138"/>
      <name val="Arial"/>
    </font>
    <font>
      <b/>
      <i/>
      <color rgb="FF000000"/>
      <name val="Arial"/>
    </font>
    <font>
      <b/>
      <color theme="1"/>
      <name val="Arial"/>
    </font>
    <font>
      <sz val="11.0"/>
      <color rgb="FF000000"/>
      <name val="Calibri"/>
    </font>
    <font>
      <sz val="11.0"/>
      <color rgb="FFFFFFFF"/>
      <name val="Calibri"/>
    </font>
    <font>
      <sz val="12.0"/>
      <color rgb="FFFF0000"/>
      <name val="Calibri"/>
      <scheme val="minor"/>
    </font>
    <font>
      <sz val="10.0"/>
      <color theme="1"/>
      <name val="Calibri"/>
      <scheme val="minor"/>
    </font>
    <font>
      <b/>
      <sz val="11.0"/>
      <color rgb="FF000000"/>
      <name val="Calibri"/>
    </font>
    <font>
      <u/>
      <sz val="11.0"/>
      <color rgb="FF000000"/>
      <name val="Calibri"/>
    </font>
    <font>
      <b/>
      <u/>
      <sz val="9.0"/>
      <color rgb="FF000000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b/>
      <color rgb="FFFFC00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0053B7"/>
        <bgColor rgb="FF0053B7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E26B0A"/>
        <bgColor rgb="FFE26B0A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49" xfId="0" applyAlignment="1" applyBorder="1" applyFill="1" applyFont="1" applyNumberForma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9" fontId="6" numFmtId="49" xfId="0" applyAlignment="1" applyBorder="1" applyFont="1" applyNumberFormat="1">
      <alignment horizontal="center" shrinkToFit="0" vertical="center" wrapText="1"/>
    </xf>
    <xf borderId="1" fillId="10" fontId="3" numFmtId="0" xfId="0" applyAlignment="1" applyBorder="1" applyFill="1" applyFont="1">
      <alignment horizontal="center" readingOrder="0" shrinkToFit="0" vertical="center" wrapText="1"/>
    </xf>
    <xf borderId="1" fillId="10" fontId="3" numFmtId="164" xfId="0" applyAlignment="1" applyBorder="1" applyFont="1" applyNumberFormat="1">
      <alignment horizontal="center" readingOrder="0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9" fontId="3" numFmtId="165" xfId="0" applyAlignment="1" applyBorder="1" applyFont="1" applyNumberFormat="1">
      <alignment horizontal="center" readingOrder="0" shrinkToFit="0" vertical="center" wrapText="1"/>
    </xf>
    <xf borderId="0" fillId="9" fontId="3" numFmtId="0" xfId="0" applyAlignment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9" fontId="6" numFmtId="49" xfId="0" applyAlignment="1" applyBorder="1" applyFont="1" applyNumberFormat="1">
      <alignment horizontal="center" readingOrder="0" shrinkToFit="0" vertical="center" wrapText="1"/>
    </xf>
    <xf borderId="1" fillId="10" fontId="6" numFmtId="49" xfId="0" applyAlignment="1" applyBorder="1" applyFont="1" applyNumberFormat="1">
      <alignment horizontal="center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0" fillId="10" fontId="3" numFmtId="0" xfId="0" applyAlignment="1" applyFont="1">
      <alignment horizontal="center" shrinkToFit="0" vertical="center" wrapText="1"/>
    </xf>
    <xf borderId="1" fillId="10" fontId="3" numFmtId="166" xfId="0" applyAlignment="1" applyBorder="1" applyFont="1" applyNumberFormat="1">
      <alignment horizontal="center" readingOrder="0" shrinkToFit="0" vertical="center" wrapText="1"/>
    </xf>
    <xf borderId="1" fillId="10" fontId="6" numFmtId="49" xfId="0" applyAlignment="1" applyBorder="1" applyFont="1" applyNumberFormat="1">
      <alignment horizontal="center" readingOrder="0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2" fillId="10" fontId="5" numFmtId="0" xfId="0" applyAlignment="1" applyBorder="1" applyFont="1">
      <alignment horizontal="center" readingOrder="0" shrinkToFit="0" vertical="center" wrapText="1"/>
    </xf>
    <xf borderId="2" fillId="10" fontId="3" numFmtId="0" xfId="0" applyAlignment="1" applyBorder="1" applyFont="1">
      <alignment horizontal="center" shrinkToFit="0" vertical="center" wrapText="1"/>
    </xf>
    <xf borderId="2" fillId="9" fontId="3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shrinkToFit="0" wrapText="1"/>
    </xf>
    <xf borderId="1" fillId="10" fontId="5" numFmtId="167" xfId="0" applyAlignment="1" applyBorder="1" applyFont="1" applyNumberFormat="1">
      <alignment horizontal="center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2" fillId="9" fontId="5" numFmtId="0" xfId="0" applyAlignment="1" applyBorder="1" applyFont="1">
      <alignment horizontal="center" readingOrder="0" shrinkToFit="0" vertical="center" wrapText="1"/>
    </xf>
    <xf borderId="0" fillId="10" fontId="5" numFmtId="164" xfId="0" applyAlignment="1" applyFont="1" applyNumberFormat="1">
      <alignment horizontal="center" readingOrder="0" shrinkToFit="0" vertical="center" wrapText="1"/>
    </xf>
    <xf borderId="2" fillId="9" fontId="3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shrinkToFit="0" wrapText="1"/>
    </xf>
    <xf borderId="1" fillId="9" fontId="6" numFmtId="0" xfId="0" applyAlignment="1" applyBorder="1" applyFont="1">
      <alignment horizontal="center" readingOrder="0" shrinkToFit="0" vertical="center" wrapText="1"/>
    </xf>
    <xf borderId="1" fillId="9" fontId="3" numFmtId="168" xfId="0" applyAlignment="1" applyBorder="1" applyFont="1" applyNumberFormat="1">
      <alignment horizontal="center" readingOrder="0" shrinkToFit="0" vertical="center" wrapText="1"/>
    </xf>
    <xf borderId="2" fillId="10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2" fillId="10" fontId="3" numFmtId="0" xfId="0" applyAlignment="1" applyBorder="1" applyFont="1">
      <alignment horizontal="center" readingOrder="0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5" fillId="10" fontId="8" numFmtId="164" xfId="0" applyAlignment="1" applyBorder="1" applyFont="1" applyNumberFormat="1">
      <alignment horizontal="center" readingOrder="0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0" fontId="3" numFmtId="167" xfId="0" applyAlignment="1" applyBorder="1" applyFont="1" applyNumberFormat="1">
      <alignment horizontal="center" shrinkToFit="0" vertical="center" wrapText="1"/>
    </xf>
    <xf borderId="1" fillId="9" fontId="3" numFmtId="164" xfId="0" applyAlignment="1" applyBorder="1" applyFont="1" applyNumberFormat="1">
      <alignment horizontal="center" shrinkToFit="0" vertical="center" wrapText="1"/>
    </xf>
    <xf borderId="1" fillId="10" fontId="3" numFmtId="164" xfId="0" applyAlignment="1" applyBorder="1" applyFont="1" applyNumberFormat="1">
      <alignment horizontal="center" shrinkToFit="0" vertical="center" wrapText="1"/>
    </xf>
    <xf borderId="5" fillId="10" fontId="3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9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10" fontId="9" numFmtId="49" xfId="0" applyAlignment="1" applyBorder="1" applyFont="1" applyNumberFormat="1">
      <alignment horizontal="center" shrinkToFit="0" vertical="center" wrapText="1"/>
    </xf>
    <xf borderId="1" fillId="9" fontId="9" numFmtId="49" xfId="0" applyAlignment="1" applyBorder="1" applyFont="1" applyNumberFormat="1">
      <alignment horizontal="center" shrinkToFit="0" vertical="center" wrapText="1"/>
    </xf>
    <xf borderId="1" fillId="9" fontId="9" numFmtId="49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5" fillId="10" fontId="10" numFmtId="49" xfId="0" applyAlignment="1" applyBorder="1" applyFont="1" applyNumberFormat="1">
      <alignment horizontal="center" readingOrder="0" shrinkToFit="0" vertical="center" wrapText="1"/>
    </xf>
    <xf borderId="1" fillId="0" fontId="11" numFmtId="49" xfId="0" applyAlignment="1" applyBorder="1" applyFont="1" applyNumberFormat="1">
      <alignment horizontal="center" readingOrder="0" shrinkToFit="0" vertical="center" wrapText="1"/>
    </xf>
    <xf borderId="5" fillId="0" fontId="8" numFmtId="164" xfId="0" applyAlignment="1" applyBorder="1" applyFont="1" applyNumberFormat="1">
      <alignment horizontal="center" readingOrder="0" shrinkToFit="0" vertical="center" wrapText="1"/>
    </xf>
    <xf borderId="1" fillId="10" fontId="5" numFmtId="0" xfId="0" applyAlignment="1" applyBorder="1" applyFont="1">
      <alignment horizontal="center" readingOrder="0" shrinkToFit="0" vertical="center" wrapText="0"/>
    </xf>
    <xf borderId="1" fillId="9" fontId="3" numFmtId="167" xfId="0" applyAlignment="1" applyBorder="1" applyFont="1" applyNumberFormat="1">
      <alignment horizontal="center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2" fillId="11" fontId="3" numFmtId="0" xfId="0" applyAlignment="1" applyBorder="1" applyFont="1">
      <alignment horizontal="center" shrinkToFit="0" vertical="center" wrapText="1"/>
    </xf>
    <xf borderId="1" fillId="9" fontId="3" numFmtId="170" xfId="0" applyAlignment="1" applyBorder="1" applyFont="1" applyNumberForma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" fillId="12" fontId="6" numFmtId="49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ont="1">
      <alignment horizontal="center" readingOrder="0" shrinkToFit="0" vertical="center" wrapText="1"/>
    </xf>
    <xf borderId="6" fillId="12" fontId="3" numFmtId="0" xfId="0" applyAlignment="1" applyBorder="1" applyFont="1">
      <alignment horizontal="center" shrinkToFit="0" vertical="center" wrapText="1"/>
    </xf>
    <xf borderId="7" fillId="12" fontId="3" numFmtId="0" xfId="0" applyAlignment="1" applyBorder="1" applyFont="1">
      <alignment horizontal="center" shrinkToFit="0" vertical="center" wrapText="1"/>
    </xf>
    <xf borderId="8" fillId="12" fontId="3" numFmtId="0" xfId="0" applyAlignment="1" applyBorder="1" applyFont="1">
      <alignment horizontal="center" shrinkToFit="0" vertical="center" wrapText="1"/>
    </xf>
    <xf borderId="0" fillId="12" fontId="3" numFmtId="0" xfId="0" applyAlignment="1" applyFont="1">
      <alignment horizontal="center" shrinkToFit="0" vertical="center" wrapText="1"/>
    </xf>
    <xf borderId="1" fillId="9" fontId="3" numFmtId="171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vertical="center" wrapText="1"/>
    </xf>
    <xf borderId="2" fillId="10" fontId="6" numFmtId="0" xfId="0" applyAlignment="1" applyBorder="1" applyFont="1">
      <alignment horizontal="center" shrinkToFit="0" vertical="center" wrapText="1"/>
    </xf>
    <xf borderId="9" fillId="9" fontId="3" numFmtId="0" xfId="0" applyAlignment="1" applyBorder="1" applyFont="1">
      <alignment horizontal="center" shrinkToFit="0" vertical="center" wrapText="1"/>
    </xf>
    <xf borderId="2" fillId="9" fontId="6" numFmtId="0" xfId="0" applyAlignment="1" applyBorder="1" applyFont="1">
      <alignment horizontal="center" shrinkToFit="0" vertical="center" wrapText="1"/>
    </xf>
    <xf borderId="0" fillId="10" fontId="6" numFmtId="0" xfId="0" applyAlignment="1" applyFont="1">
      <alignment horizontal="center" shrinkToFit="0" vertical="center" wrapText="1"/>
    </xf>
    <xf borderId="1" fillId="9" fontId="3" numFmtId="166" xfId="0" applyAlignment="1" applyBorder="1" applyFont="1" applyNumberFormat="1">
      <alignment horizontal="center" readingOrder="0" shrinkToFit="0" vertical="center" wrapText="1"/>
    </xf>
    <xf borderId="9" fillId="10" fontId="3" numFmtId="0" xfId="0" applyAlignment="1" applyBorder="1" applyFont="1">
      <alignment horizontal="center" shrinkToFit="0" vertical="center" wrapText="1"/>
    </xf>
    <xf borderId="10" fillId="10" fontId="3" numFmtId="0" xfId="0" applyAlignment="1" applyBorder="1" applyFont="1">
      <alignment horizontal="center" shrinkToFit="0" vertical="center" wrapText="1"/>
    </xf>
    <xf borderId="4" fillId="10" fontId="3" numFmtId="0" xfId="0" applyAlignment="1" applyBorder="1" applyFont="1">
      <alignment horizontal="center" shrinkToFit="0" vertical="center" wrapText="1"/>
    </xf>
    <xf borderId="1" fillId="9" fontId="5" numFmtId="167" xfId="0" applyAlignment="1" applyBorder="1" applyFont="1" applyNumberFormat="1">
      <alignment horizontal="center" shrinkToFit="0" vertical="center" wrapText="1"/>
    </xf>
    <xf borderId="0" fillId="9" fontId="12" numFmtId="0" xfId="0" applyAlignment="1" applyFont="1">
      <alignment horizontal="left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3" fillId="10" fontId="3" numFmtId="0" xfId="0" applyAlignment="1" applyBorder="1" applyFont="1">
      <alignment horizontal="center" shrinkToFit="0" vertical="center" wrapText="1"/>
    </xf>
    <xf borderId="3" fillId="10" fontId="3" numFmtId="0" xfId="0" applyAlignment="1" applyBorder="1" applyFont="1">
      <alignment horizontal="center" readingOrder="0" shrinkToFit="0" vertical="center" wrapText="1"/>
    </xf>
    <xf borderId="0" fillId="10" fontId="13" numFmtId="0" xfId="0" applyAlignment="1" applyFont="1">
      <alignment horizontal="center" readingOrder="0" shrinkToFit="0" vertical="center" wrapText="1"/>
    </xf>
    <xf borderId="0" fillId="10" fontId="3" numFmtId="0" xfId="0" applyAlignment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shrinkToFit="0" vertical="center" wrapText="0"/>
    </xf>
    <xf borderId="5" fillId="10" fontId="8" numFmtId="164" xfId="0" applyAlignment="1" applyBorder="1" applyFont="1" applyNumberFormat="1">
      <alignment horizontal="center" shrinkToFit="0" vertical="center" wrapText="1"/>
    </xf>
    <xf borderId="1" fillId="10" fontId="3" numFmtId="171" xfId="0" applyAlignment="1" applyBorder="1" applyFont="1" applyNumberFormat="1">
      <alignment horizontal="center" shrinkToFit="0" vertical="center" wrapText="1"/>
    </xf>
    <xf borderId="1" fillId="11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9" fontId="15" numFmtId="0" xfId="0" applyAlignment="1" applyBorder="1" applyFont="1">
      <alignment horizontal="center" shrinkToFit="0" vertical="center" wrapText="1"/>
    </xf>
    <xf borderId="1" fillId="10" fontId="15" numFmtId="0" xfId="0" applyAlignment="1" applyBorder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5" fillId="10" fontId="3" numFmtId="0" xfId="0" applyAlignment="1" applyBorder="1" applyFont="1">
      <alignment horizontal="center" readingOrder="0" shrinkToFit="0" vertical="center" wrapText="1"/>
    </xf>
    <xf borderId="5" fillId="10" fontId="8" numFmtId="0" xfId="0" applyAlignment="1" applyBorder="1" applyFont="1">
      <alignment horizontal="center" readingOrder="0" shrinkToFit="0" vertical="center" wrapText="1"/>
    </xf>
    <xf borderId="1" fillId="10" fontId="8" numFmtId="172" xfId="0" applyAlignment="1" applyBorder="1" applyFont="1" applyNumberFormat="1">
      <alignment horizontal="center" readingOrder="0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1" fillId="10" fontId="9" numFmtId="49" xfId="0" applyAlignment="1" applyBorder="1" applyFont="1" applyNumberFormat="1">
      <alignment horizontal="center" readingOrder="0" shrinkToFit="0" vertical="center" wrapText="1"/>
    </xf>
    <xf borderId="1" fillId="10" fontId="10" numFmtId="49" xfId="0" applyAlignment="1" applyBorder="1" applyFont="1" applyNumberFormat="1">
      <alignment shrinkToFit="0" vertical="center" wrapText="1"/>
    </xf>
    <xf borderId="0" fillId="9" fontId="6" numFmtId="49" xfId="0" applyAlignment="1" applyFont="1" applyNumberFormat="1">
      <alignment horizontal="center" shrinkToFit="0" vertical="center" wrapText="1"/>
    </xf>
    <xf borderId="0" fillId="10" fontId="6" numFmtId="49" xfId="0" applyAlignment="1" applyFont="1" applyNumberFormat="1">
      <alignment horizontal="center" shrinkToFit="0" vertical="center" wrapText="1"/>
    </xf>
    <xf borderId="0" fillId="10" fontId="6" numFmtId="49" xfId="0" applyAlignment="1" applyFont="1" applyNumberFormat="1">
      <alignment horizontal="center" readingOrder="0" shrinkToFit="0" vertical="center" wrapText="1"/>
    </xf>
    <xf borderId="0" fillId="9" fontId="6" numFmtId="49" xfId="0" applyAlignment="1" applyFont="1" applyNumberFormat="1">
      <alignment horizontal="center" readingOrder="0" shrinkToFit="0" vertical="center" wrapText="1"/>
    </xf>
    <xf borderId="1" fillId="14" fontId="6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wrapText="1"/>
    </xf>
    <xf borderId="1" fillId="9" fontId="8" numFmtId="166" xfId="0" applyAlignment="1" applyBorder="1" applyFont="1" applyNumberFormat="1">
      <alignment horizontal="center" shrinkToFit="0" wrapText="1"/>
    </xf>
    <xf borderId="3" fillId="9" fontId="3" numFmtId="0" xfId="0" applyAlignment="1" applyBorder="1" applyFont="1">
      <alignment horizontal="center" shrinkToFit="0" vertical="center" wrapText="1"/>
    </xf>
    <xf borderId="3" fillId="9" fontId="3" numFmtId="0" xfId="0" applyAlignment="1" applyBorder="1" applyFont="1">
      <alignment horizontal="center" readingOrder="0" shrinkToFit="0" vertical="center" wrapText="1"/>
    </xf>
    <xf borderId="1" fillId="13" fontId="3" numFmtId="0" xfId="0" applyAlignment="1" applyBorder="1" applyFont="1">
      <alignment horizontal="center" readingOrder="0" shrinkToFit="0" vertical="center" wrapText="1"/>
    </xf>
    <xf borderId="2" fillId="9" fontId="6" numFmtId="49" xfId="0" applyAlignment="1" applyBorder="1" applyFont="1" applyNumberFormat="1">
      <alignment horizontal="center" readingOrder="0" shrinkToFit="0" vertical="center" wrapText="1"/>
    </xf>
    <xf borderId="0" fillId="9" fontId="5" numFmtId="0" xfId="0" applyAlignment="1" applyFont="1">
      <alignment horizontal="center" shrinkToFit="0" vertical="center" wrapText="1"/>
    </xf>
    <xf borderId="4" fillId="10" fontId="3" numFmtId="0" xfId="0" applyAlignment="1" applyBorder="1" applyFont="1">
      <alignment horizontal="center" readingOrder="0" shrinkToFit="0" vertical="center" wrapText="1"/>
    </xf>
    <xf borderId="1" fillId="10" fontId="3" numFmtId="173" xfId="0" applyAlignment="1" applyBorder="1" applyFont="1" applyNumberFormat="1">
      <alignment horizontal="center" readingOrder="0" shrinkToFit="0" vertical="center" wrapText="1"/>
    </xf>
    <xf borderId="0" fillId="11" fontId="3" numFmtId="0" xfId="0" applyAlignment="1" applyFont="1">
      <alignment horizontal="center" readingOrder="0" shrinkToFit="0" vertical="center" wrapText="1"/>
    </xf>
    <xf borderId="0" fillId="10" fontId="5" numFmtId="0" xfId="0" applyAlignment="1" applyFon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0" fillId="9" fontId="9" numFmtId="49" xfId="0" applyAlignment="1" applyFont="1" applyNumberFormat="1">
      <alignment horizontal="center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borderId="0" fillId="10" fontId="9" numFmtId="0" xfId="0" applyAlignment="1" applyFont="1">
      <alignment horizontal="center" shrinkToFit="0" vertical="center" wrapText="1"/>
    </xf>
    <xf borderId="0" fillId="10" fontId="9" numFmtId="49" xfId="0" applyAlignment="1" applyFont="1" applyNumberFormat="1">
      <alignment horizontal="center" shrinkToFit="0" vertical="center" wrapText="1"/>
    </xf>
    <xf borderId="0" fillId="9" fontId="6" numFmtId="0" xfId="0" applyAlignment="1" applyFont="1">
      <alignment horizontal="center" shrinkToFit="0" vertical="center" wrapText="1"/>
    </xf>
    <xf borderId="0" fillId="9" fontId="16" numFmtId="0" xfId="0" applyAlignment="1" applyFont="1">
      <alignment horizontal="center" shrinkToFit="0" vertical="center" wrapText="1"/>
    </xf>
    <xf borderId="0" fillId="9" fontId="17" numFmtId="0" xfId="0" applyAlignment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8" numFmtId="49" xfId="0" applyAlignment="1" applyBorder="1" applyFont="1" applyNumberFormat="1">
      <alignment horizontal="center" shrinkToFit="0" vertical="center" wrapText="1"/>
    </xf>
    <xf borderId="1" fillId="0" fontId="19" numFmtId="164" xfId="0" applyAlignment="1" applyBorder="1" applyFont="1" applyNumberFormat="1">
      <alignment shrinkToFit="0" wrapText="1"/>
    </xf>
    <xf borderId="1" fillId="0" fontId="20" numFmtId="164" xfId="0" applyAlignment="1" applyBorder="1" applyFont="1" applyNumberFormat="1">
      <alignment shrinkToFit="0" wrapText="1"/>
    </xf>
    <xf borderId="1" fillId="0" fontId="20" numFmtId="0" xfId="0" applyAlignment="1" applyBorder="1" applyFont="1">
      <alignment shrinkToFit="0" wrapText="1"/>
    </xf>
    <xf borderId="1" fillId="0" fontId="20" numFmtId="167" xfId="0" applyAlignment="1" applyBorder="1" applyFont="1" applyNumberFormat="1">
      <alignment shrinkToFit="0" wrapText="1"/>
    </xf>
    <xf borderId="1" fillId="0" fontId="20" numFmtId="167" xfId="0" applyAlignment="1" applyBorder="1" applyFont="1" applyNumberFormat="1">
      <alignment shrinkToFit="0" wrapText="1"/>
    </xf>
    <xf borderId="1" fillId="0" fontId="18" numFmtId="172" xfId="0" applyAlignment="1" applyBorder="1" applyFont="1" applyNumberFormat="1">
      <alignment horizontal="center" shrinkToFit="0" vertical="center" wrapText="1"/>
    </xf>
    <xf borderId="1" fillId="0" fontId="20" numFmtId="0" xfId="0" applyAlignment="1" applyBorder="1" applyFont="1">
      <alignment shrinkToFit="0" wrapText="1"/>
    </xf>
    <xf borderId="1" fillId="0" fontId="19" numFmtId="0" xfId="0" applyAlignment="1" applyBorder="1" applyFont="1">
      <alignment shrinkToFit="0" wrapText="1"/>
    </xf>
    <xf borderId="0" fillId="0" fontId="20" numFmtId="0" xfId="0" applyAlignment="1" applyFont="1">
      <alignment shrinkToFit="0" wrapText="1"/>
    </xf>
    <xf borderId="1" fillId="15" fontId="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ont="1">
      <alignment horizontal="center" readingOrder="0" shrinkToFit="0" vertical="center" wrapText="1"/>
    </xf>
    <xf borderId="1" fillId="15" fontId="5" numFmtId="0" xfId="0" applyAlignment="1" applyBorder="1" applyFont="1">
      <alignment horizontal="center" readingOrder="0" shrinkToFit="0" vertical="center" wrapText="1"/>
    </xf>
    <xf borderId="1" fillId="15" fontId="5" numFmtId="0" xfId="0" applyAlignment="1" applyBorder="1" applyFont="1">
      <alignment horizontal="center" shrinkToFit="0" vertical="center" wrapText="1"/>
    </xf>
    <xf borderId="1" fillId="15" fontId="4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1" fillId="10" fontId="6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wrapText="0"/>
    </xf>
    <xf borderId="1" fillId="10" fontId="21" numFmtId="0" xfId="0" applyAlignment="1" applyBorder="1" applyFont="1">
      <alignment horizontal="center" readingOrder="0" shrinkToFit="0" vertical="bottom" wrapText="0"/>
    </xf>
    <xf borderId="0" fillId="10" fontId="21" numFmtId="0" xfId="0" applyAlignment="1" applyFont="1">
      <alignment horizontal="center" shrinkToFit="0" vertical="bottom" wrapText="0"/>
    </xf>
    <xf borderId="1" fillId="10" fontId="21" numFmtId="0" xfId="0" applyAlignment="1" applyBorder="1" applyFont="1">
      <alignment horizontal="center" readingOrder="0" shrinkToFit="0" wrapText="0"/>
    </xf>
    <xf borderId="1" fillId="9" fontId="21" numFmtId="0" xfId="0" applyAlignment="1" applyBorder="1" applyFont="1">
      <alignment horizontal="center" shrinkToFit="0" vertical="bottom" wrapText="0"/>
    </xf>
    <xf borderId="0" fillId="9" fontId="21" numFmtId="0" xfId="0" applyAlignment="1" applyFont="1">
      <alignment horizontal="center" shrinkToFit="0" vertical="bottom" wrapText="0"/>
    </xf>
    <xf borderId="1" fillId="9" fontId="21" numFmtId="0" xfId="0" applyAlignment="1" applyBorder="1" applyFont="1">
      <alignment horizontal="center" readingOrder="0" shrinkToFit="0" vertical="bottom" wrapText="0"/>
    </xf>
    <xf borderId="1" fillId="9" fontId="21" numFmtId="0" xfId="0" applyAlignment="1" applyBorder="1" applyFont="1">
      <alignment horizontal="center" shrinkToFit="0" wrapText="0"/>
    </xf>
    <xf borderId="0" fillId="10" fontId="21" numFmtId="0" xfId="0" applyAlignment="1" applyFont="1">
      <alignment horizontal="center" shrinkToFit="0" wrapText="0"/>
    </xf>
    <xf borderId="1" fillId="9" fontId="21" numFmtId="0" xfId="0" applyAlignment="1" applyBorder="1" applyFont="1">
      <alignment horizontal="center" readingOrder="0" shrinkToFit="0" wrapText="0"/>
    </xf>
    <xf borderId="1" fillId="10" fontId="21" numFmtId="0" xfId="0" applyAlignment="1" applyBorder="1" applyFont="1">
      <alignment horizontal="center" shrinkToFit="0" wrapText="0"/>
    </xf>
    <xf borderId="1" fillId="10" fontId="21" numFmtId="0" xfId="0" applyAlignment="1" applyBorder="1" applyFont="1">
      <alignment horizontal="center" shrinkToFit="0" vertical="bottom" wrapText="0"/>
    </xf>
    <xf borderId="0" fillId="12" fontId="22" numFmtId="0" xfId="0" applyAlignment="1" applyFont="1">
      <alignment horizontal="center" shrinkToFit="0" wrapText="0"/>
    </xf>
    <xf borderId="1" fillId="12" fontId="21" numFmtId="0" xfId="0" applyAlignment="1" applyBorder="1" applyFont="1">
      <alignment horizontal="center" readingOrder="0" shrinkToFit="0" wrapText="0"/>
    </xf>
    <xf borderId="1" fillId="12" fontId="21" numFmtId="0" xfId="0" applyAlignment="1" applyBorder="1" applyFont="1">
      <alignment horizontal="center" shrinkToFit="0" wrapText="0"/>
    </xf>
    <xf borderId="0" fillId="9" fontId="21" numFmtId="0" xfId="0" applyAlignment="1" applyFont="1">
      <alignment horizontal="center" shrinkToFit="0" wrapText="0"/>
    </xf>
    <xf borderId="0" fillId="12" fontId="22" numFmtId="0" xfId="0" applyAlignment="1" applyFont="1">
      <alignment horizontal="center" shrinkToFit="0" vertical="bottom" wrapText="0"/>
    </xf>
    <xf borderId="1" fillId="0" fontId="21" numFmtId="0" xfId="0" applyAlignment="1" applyBorder="1" applyFont="1">
      <alignment horizontal="center" shrinkToFit="0" vertical="bottom" wrapText="0"/>
    </xf>
    <xf borderId="1" fillId="0" fontId="21" numFmtId="0" xfId="0" applyAlignment="1" applyBorder="1" applyFont="1">
      <alignment horizontal="center" readingOrder="0" shrinkToFit="0" vertical="bottom" wrapText="0"/>
    </xf>
    <xf borderId="1" fillId="16" fontId="21" numFmtId="0" xfId="0" applyAlignment="1" applyBorder="1" applyFill="1" applyFont="1">
      <alignment horizontal="center" readingOrder="0" shrinkToFit="0" wrapText="0"/>
    </xf>
    <xf borderId="0" fillId="9" fontId="21" numFmtId="0" xfId="0" applyAlignment="1" applyFont="1">
      <alignment horizontal="center" readingOrder="0" shrinkToFit="0" wrapText="0"/>
    </xf>
    <xf borderId="1" fillId="16" fontId="21" numFmtId="0" xfId="0" applyAlignment="1" applyBorder="1" applyFont="1">
      <alignment horizontal="center" shrinkToFit="0" wrapText="0"/>
    </xf>
    <xf borderId="1" fillId="17" fontId="21" numFmtId="0" xfId="0" applyAlignment="1" applyBorder="1" applyFill="1" applyFont="1">
      <alignment horizontal="center" shrinkToFit="0" wrapText="0"/>
    </xf>
    <xf borderId="1" fillId="17" fontId="21" numFmtId="0" xfId="0" applyAlignment="1" applyBorder="1" applyFont="1">
      <alignment horizontal="center" readingOrder="0" shrinkToFit="0" wrapText="0"/>
    </xf>
    <xf borderId="1" fillId="16" fontId="21" numFmtId="0" xfId="0" applyAlignment="1" applyBorder="1" applyFont="1">
      <alignment horizontal="center" shrinkToFit="0" vertical="bottom" wrapText="0"/>
    </xf>
    <xf borderId="1" fillId="16" fontId="21" numFmtId="0" xfId="0" applyAlignment="1" applyBorder="1" applyFont="1">
      <alignment horizontal="center" readingOrder="0" shrinkToFit="0" vertical="bottom" wrapText="0"/>
    </xf>
    <xf borderId="0" fillId="9" fontId="21" numFmtId="0" xfId="0" applyAlignment="1" applyFont="1">
      <alignment horizontal="center" readingOrder="0" shrinkToFit="0" vertical="bottom" wrapText="0"/>
    </xf>
    <xf borderId="0" fillId="10" fontId="21" numFmtId="0" xfId="0" applyAlignment="1" applyFont="1">
      <alignment horizontal="center" readingOrder="0" shrinkToFit="0" vertical="bottom" wrapText="0"/>
    </xf>
    <xf borderId="0" fillId="9" fontId="23" numFmtId="0" xfId="0" applyAlignment="1" applyFont="1">
      <alignment horizontal="center" shrinkToFit="0" wrapText="0"/>
    </xf>
    <xf borderId="0" fillId="10" fontId="21" numFmtId="0" xfId="0" applyAlignment="1" applyFont="1">
      <alignment horizontal="center" readingOrder="0" shrinkToFit="0" wrapText="0"/>
    </xf>
    <xf borderId="0" fillId="18" fontId="24" numFmtId="0" xfId="0" applyAlignment="1" applyFill="1" applyFont="1">
      <alignment horizontal="center" shrinkToFit="0" wrapText="0"/>
    </xf>
    <xf borderId="1" fillId="9" fontId="25" numFmtId="0" xfId="0" applyAlignment="1" applyBorder="1" applyFont="1">
      <alignment horizontal="center" readingOrder="0" shrinkToFit="0" wrapText="0"/>
    </xf>
    <xf borderId="0" fillId="9" fontId="23" numFmtId="0" xfId="0" applyAlignment="1" applyFont="1">
      <alignment horizontal="center" readingOrder="0" shrinkToFit="0" wrapText="0"/>
    </xf>
    <xf borderId="1" fillId="10" fontId="26" numFmtId="0" xfId="0" applyAlignment="1" applyBorder="1" applyFont="1">
      <alignment horizontal="center" shrinkToFit="0" vertical="bottom" wrapText="0"/>
    </xf>
    <xf borderId="0" fillId="18" fontId="23" numFmtId="0" xfId="0" applyAlignment="1" applyFont="1">
      <alignment horizontal="center" shrinkToFit="0" vertical="bottom" wrapText="0"/>
    </xf>
    <xf borderId="0" fillId="18" fontId="21" numFmtId="0" xfId="0" applyAlignment="1" applyFont="1">
      <alignment horizontal="center" readingOrder="0" shrinkToFit="0" wrapText="0"/>
    </xf>
    <xf borderId="0" fillId="18" fontId="21" numFmtId="0" xfId="0" applyAlignment="1" applyFont="1">
      <alignment horizontal="center" shrinkToFit="0" wrapText="0"/>
    </xf>
    <xf borderId="1" fillId="0" fontId="26" numFmtId="0" xfId="0" applyAlignment="1" applyBorder="1" applyFont="1">
      <alignment horizontal="center" readingOrder="0" shrinkToFit="0" wrapText="0"/>
    </xf>
    <xf borderId="1" fillId="0" fontId="26" numFmtId="0" xfId="0" applyAlignment="1" applyBorder="1" applyFont="1">
      <alignment horizontal="center" shrinkToFit="0" wrapText="0"/>
    </xf>
    <xf borderId="0" fillId="12" fontId="21" numFmtId="0" xfId="0" applyAlignment="1" applyFont="1">
      <alignment horizontal="center" shrinkToFit="0" wrapText="0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1" fillId="0" fontId="21" numFmtId="0" xfId="0" applyAlignment="1" applyBorder="1" applyFont="1">
      <alignment horizontal="center" shrinkToFit="0" wrapText="0"/>
    </xf>
    <xf borderId="1" fillId="19" fontId="21" numFmtId="0" xfId="0" applyAlignment="1" applyBorder="1" applyFill="1" applyFont="1">
      <alignment horizontal="center" readingOrder="0" shrinkToFit="0" vertical="bottom" wrapText="0"/>
    </xf>
    <xf borderId="1" fillId="17" fontId="21" numFmtId="0" xfId="0" applyAlignment="1" applyBorder="1" applyFont="1">
      <alignment horizontal="center" readingOrder="0" shrinkToFit="0" vertical="bottom" wrapText="0"/>
    </xf>
    <xf borderId="1" fillId="11" fontId="21" numFmtId="0" xfId="0" applyAlignment="1" applyBorder="1" applyFont="1">
      <alignment horizontal="center" readingOrder="0" shrinkToFit="0" wrapText="0"/>
    </xf>
    <xf borderId="1" fillId="11" fontId="21" numFmtId="0" xfId="0" applyAlignment="1" applyBorder="1" applyFont="1">
      <alignment horizontal="center" shrinkToFit="0" wrapText="0"/>
    </xf>
    <xf borderId="0" fillId="12" fontId="21" numFmtId="0" xfId="0" applyAlignment="1" applyFont="1">
      <alignment horizontal="center" readingOrder="0" shrinkToFit="0" wrapText="0"/>
    </xf>
    <xf borderId="0" fillId="20" fontId="27" numFmtId="0" xfId="0" applyAlignment="1" applyFill="1" applyFont="1">
      <alignment horizontal="center" shrinkToFit="0" vertical="bottom" wrapText="0"/>
    </xf>
    <xf borderId="0" fillId="21" fontId="28" numFmtId="0" xfId="0" applyAlignment="1" applyFill="1" applyFont="1">
      <alignment horizontal="center" shrinkToFit="0" vertical="bottom" wrapText="0"/>
    </xf>
    <xf borderId="0" fillId="22" fontId="27" numFmtId="0" xfId="0" applyAlignment="1" applyFill="1" applyFont="1">
      <alignment horizontal="center" shrinkToFit="0" vertical="bottom" wrapText="0"/>
    </xf>
    <xf borderId="0" fillId="23" fontId="27" numFmtId="0" xfId="0" applyAlignment="1" applyFill="1" applyFont="1">
      <alignment horizontal="center" shrinkToFit="0" vertical="bottom" wrapText="0"/>
    </xf>
    <xf borderId="0" fillId="24" fontId="27" numFmtId="0" xfId="0" applyAlignment="1" applyFill="1" applyFont="1">
      <alignment horizontal="center" shrinkToFit="0" vertical="bottom" wrapText="0"/>
    </xf>
    <xf borderId="0" fillId="25" fontId="27" numFmtId="0" xfId="0" applyAlignment="1" applyFill="1" applyFont="1">
      <alignment horizontal="center" shrinkToFit="0" vertical="bottom" wrapText="0"/>
    </xf>
    <xf borderId="0" fillId="26" fontId="27" numFmtId="0" xfId="0" applyAlignment="1" applyFill="1" applyFont="1">
      <alignment horizontal="center" shrinkToFit="0" vertical="bottom" wrapText="0"/>
    </xf>
    <xf borderId="0" fillId="0" fontId="29" numFmtId="0" xfId="0" applyAlignment="1" applyFont="1">
      <alignment shrinkToFit="0" wrapText="1"/>
    </xf>
    <xf borderId="0" fillId="27" fontId="27" numFmtId="0" xfId="0" applyAlignment="1" applyFill="1" applyFont="1">
      <alignment horizontal="center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30" numFmtId="0" xfId="0" applyAlignment="1" applyFont="1">
      <alignment shrinkToFit="0" wrapText="1"/>
    </xf>
    <xf borderId="3" fillId="28" fontId="18" numFmtId="0" xfId="0" applyAlignment="1" applyBorder="1" applyFill="1" applyFont="1">
      <alignment horizontal="center" shrinkToFit="0" vertical="bottom" wrapText="1"/>
    </xf>
    <xf borderId="0" fillId="16" fontId="27" numFmtId="0" xfId="0" applyAlignment="1" applyFont="1">
      <alignment horizontal="center" shrinkToFit="0" vertical="bottom" wrapText="0"/>
    </xf>
    <xf borderId="0" fillId="27" fontId="31" numFmtId="0" xfId="0" applyAlignment="1" applyFont="1">
      <alignment horizontal="center" shrinkToFit="0" vertical="bottom" wrapText="0"/>
    </xf>
    <xf borderId="0" fillId="16" fontId="32" numFmtId="0" xfId="0" applyAlignment="1" applyFont="1">
      <alignment horizontal="center" shrinkToFit="0" vertical="bottom" wrapText="0"/>
    </xf>
    <xf borderId="0" fillId="27" fontId="33" numFmtId="0" xfId="0" applyAlignment="1" applyFont="1">
      <alignment horizontal="center" shrinkToFit="0" vertical="bottom" wrapText="0"/>
    </xf>
    <xf borderId="0" fillId="27" fontId="34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20" numFmtId="0" xfId="0" applyAlignment="1" applyFont="1">
      <alignment horizontal="center" shrinkToFit="0" wrapText="1"/>
    </xf>
    <xf borderId="1" fillId="12" fontId="22" numFmtId="0" xfId="0" applyAlignment="1" applyBorder="1" applyFont="1">
      <alignment horizontal="center" shrinkToFit="0" wrapText="0"/>
    </xf>
    <xf borderId="1" fillId="12" fontId="22" numFmtId="0" xfId="0" applyAlignment="1" applyBorder="1" applyFont="1">
      <alignment horizontal="center" shrinkToFit="0" vertical="bottom" wrapText="0"/>
    </xf>
    <xf borderId="1" fillId="9" fontId="25" numFmtId="0" xfId="0" applyAlignment="1" applyBorder="1" applyFont="1">
      <alignment horizontal="center" shrinkToFit="0" wrapText="0"/>
    </xf>
    <xf borderId="1" fillId="9" fontId="35" numFmtId="0" xfId="0" applyAlignment="1" applyBorder="1" applyFont="1">
      <alignment horizontal="center" shrinkToFit="0" wrapText="0"/>
    </xf>
    <xf borderId="1" fillId="10" fontId="36" numFmtId="0" xfId="0" applyAlignment="1" applyBorder="1" applyFont="1">
      <alignment horizontal="center" shrinkToFit="0" wrapText="0"/>
    </xf>
    <xf borderId="1" fillId="9" fontId="23" numFmtId="0" xfId="0" applyAlignment="1" applyBorder="1" applyFont="1">
      <alignment horizontal="center" shrinkToFit="0" wrapText="0"/>
    </xf>
    <xf borderId="1" fillId="17" fontId="21" numFmtId="0" xfId="0" applyAlignment="1" applyBorder="1" applyFont="1">
      <alignment horizontal="center" shrinkToFit="0" vertical="bottom" wrapText="0"/>
    </xf>
    <xf borderId="1" fillId="19" fontId="21" numFmtId="0" xfId="0" applyAlignment="1" applyBorder="1" applyFont="1">
      <alignment horizontal="center" shrinkToFit="0" vertical="bottom" wrapText="0"/>
    </xf>
    <xf borderId="1" fillId="0" fontId="21" numFmtId="0" xfId="0" applyAlignment="1" applyBorder="1" applyFont="1">
      <alignment horizontal="center" shrinkToFit="0" wrapText="0"/>
    </xf>
    <xf borderId="1" fillId="10" fontId="37" numFmtId="0" xfId="0" applyAlignment="1" applyBorder="1" applyFont="1">
      <alignment horizontal="center" shrinkToFit="0" wrapText="0"/>
    </xf>
  </cellXfs>
  <cellStyles count="1">
    <cellStyle xfId="0" name="Normal" builtinId="0"/>
  </cellStyles>
  <dxfs count="10">
    <dxf>
      <font>
        <color rgb="FFE69138"/>
      </font>
      <fill>
        <patternFill patternType="solid">
          <fgColor rgb="FFFFE599"/>
          <bgColor rgb="FFFFE599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3" pivot="0" name="Baldas Actualizado-style">
      <tableStyleElement dxfId="7" type="headerRow"/>
      <tableStyleElement dxfId="8" type="firstRowStripe"/>
      <tableStyleElement dxfId="9" type="secondRowStripe"/>
    </tableStyle>
    <tableStyle count="3" pivot="0" name="Alternativa Baldas-style">
      <tableStyleElement dxfId="7" type="headerRow"/>
      <tableStyleElement dxfId="8" type="firstRowStripe"/>
      <tableStyleElement dxfId="9" type="secondRowStripe"/>
    </tableStyle>
    <tableStyle count="3" pivot="0" name="Baldas Antiguo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159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aldas Actualizad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D158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Alternativa Bald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D116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Baldas Antigu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3.bp.blogspot.com/-4d_hu570hLo/Uiywt0Z5QNI/AAAAAAAAGVU/DQYBqL1n45Y/s1600/logo-lex-frikitrasparente.png" TargetMode="External"/><Relationship Id="rId2" Type="http://schemas.openxmlformats.org/officeDocument/2006/relationships/hyperlink" Target="http://3.bp.blogspot.com/-4d_hu570hLo/Uiywt0Z5QNI/AAAAAAAAGVU/DQYBqL1n45Y/s1600/logo-lex-frikitrasparente.png" TargetMode="External"/><Relationship Id="rId3" Type="http://schemas.openxmlformats.org/officeDocument/2006/relationships/hyperlink" Target="http://3.bp.blogspot.com/-4d_hu570hLo/Uiywt0Z5QNI/AAAAAAAAGVU/DQYBqL1n45Y/s1600/logo-lex-frikitrasparente.png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3.bp.blogspot.com/-4d_hu570hLo/Uiywt0Z5QNI/AAAAAAAAGVU/DQYBqL1n45Y/s1600/logo-lex-frikitrasparente.png" TargetMode="External"/><Relationship Id="rId2" Type="http://schemas.openxmlformats.org/officeDocument/2006/relationships/hyperlink" Target="http://3.bp.blogspot.com/-4d_hu570hLo/Uiywt0Z5QNI/AAAAAAAAGVU/DQYBqL1n45Y/s1600/logo-lex-frikitrasparente.png" TargetMode="External"/><Relationship Id="rId3" Type="http://schemas.openxmlformats.org/officeDocument/2006/relationships/hyperlink" Target="http://3.bp.blogspot.com/-4d_hu570hLo/Uiywt0Z5QNI/AAAAAAAAGVU/DQYBqL1n45Y/s1600/logo-lex-frikitrasparente.png" TargetMode="External"/><Relationship Id="rId4" Type="http://schemas.openxmlformats.org/officeDocument/2006/relationships/drawing" Target="../drawings/drawing7.xml"/><Relationship Id="rId6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9.57"/>
    <col customWidth="1" min="2" max="2" width="12.14"/>
    <col customWidth="1" min="3" max="3" width="16.0"/>
    <col customWidth="1" min="4" max="4" width="13.57"/>
    <col customWidth="1" min="5" max="5" width="14.71"/>
    <col customWidth="1" min="6" max="6" width="6.86"/>
    <col customWidth="1" min="7" max="7" width="24.57"/>
    <col customWidth="1" min="8" max="8" width="12.71"/>
    <col customWidth="1" min="9" max="9" width="9.29"/>
    <col customWidth="1" min="10" max="10" width="8.86"/>
    <col customWidth="1" min="11" max="20" width="9.0"/>
    <col customWidth="1" min="21" max="35" width="17.29"/>
  </cols>
  <sheetData>
    <row r="1" ht="4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 t="s">
        <v>18</v>
      </c>
      <c r="T1" s="12" t="s">
        <v>19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14" t="s">
        <v>20</v>
      </c>
      <c r="B2" s="15" t="s">
        <v>21</v>
      </c>
      <c r="C2" s="16"/>
      <c r="D2" s="17"/>
      <c r="E2" s="18"/>
      <c r="F2" s="19"/>
      <c r="G2" s="20"/>
      <c r="H2" s="21"/>
      <c r="I2" s="14"/>
      <c r="J2" s="14"/>
      <c r="K2" s="14"/>
      <c r="L2" s="14"/>
      <c r="M2" s="14"/>
      <c r="N2" s="14">
        <v>1.0</v>
      </c>
      <c r="O2" s="14">
        <v>2.0</v>
      </c>
      <c r="P2" s="14">
        <v>2.0</v>
      </c>
      <c r="Q2" s="19">
        <v>1.0</v>
      </c>
      <c r="R2" s="14"/>
      <c r="S2" s="19">
        <v>1.0</v>
      </c>
      <c r="T2" s="14">
        <f t="shared" ref="T2:T65" si="1">SUM(I2:S2)</f>
        <v>7</v>
      </c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ht="15.75" customHeight="1">
      <c r="A3" s="23" t="s">
        <v>20</v>
      </c>
      <c r="B3" s="15" t="s">
        <v>22</v>
      </c>
      <c r="C3" s="24" t="s">
        <v>23</v>
      </c>
      <c r="D3" s="17"/>
      <c r="E3" s="18"/>
      <c r="F3" s="19"/>
      <c r="G3" s="20"/>
      <c r="H3" s="21"/>
      <c r="I3" s="14"/>
      <c r="J3" s="14"/>
      <c r="K3" s="14"/>
      <c r="L3" s="14"/>
      <c r="M3" s="14"/>
      <c r="N3" s="14"/>
      <c r="O3" s="14"/>
      <c r="P3" s="14"/>
      <c r="Q3" s="19"/>
      <c r="R3" s="14"/>
      <c r="S3" s="14"/>
      <c r="T3" s="14">
        <f t="shared" si="1"/>
        <v>0</v>
      </c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ht="15.75" customHeight="1">
      <c r="A4" s="17" t="s">
        <v>24</v>
      </c>
      <c r="B4" s="17" t="s">
        <v>25</v>
      </c>
      <c r="C4" s="25"/>
      <c r="D4" s="17"/>
      <c r="E4" s="18"/>
      <c r="F4" s="17"/>
      <c r="G4" s="26"/>
      <c r="H4" s="27"/>
      <c r="I4" s="27"/>
      <c r="J4" s="27"/>
      <c r="K4" s="27"/>
      <c r="L4" s="27"/>
      <c r="M4" s="27"/>
      <c r="N4" s="27"/>
      <c r="O4" s="27"/>
      <c r="P4" s="27">
        <v>1.0</v>
      </c>
      <c r="Q4" s="17">
        <v>1.0</v>
      </c>
      <c r="R4" s="27"/>
      <c r="S4" s="27"/>
      <c r="T4" s="14">
        <f t="shared" si="1"/>
        <v>2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</row>
    <row r="5" ht="15.75" customHeight="1">
      <c r="A5" s="14" t="s">
        <v>26</v>
      </c>
      <c r="B5" s="15" t="s">
        <v>27</v>
      </c>
      <c r="C5" s="16"/>
      <c r="D5" s="17"/>
      <c r="E5" s="18"/>
      <c r="F5" s="19"/>
      <c r="G5" s="20"/>
      <c r="H5" s="21"/>
      <c r="I5" s="14"/>
      <c r="J5" s="14"/>
      <c r="K5" s="14"/>
      <c r="L5" s="14"/>
      <c r="M5" s="14"/>
      <c r="N5" s="14"/>
      <c r="O5" s="14">
        <v>1.0</v>
      </c>
      <c r="P5" s="14"/>
      <c r="Q5" s="19">
        <v>2.0</v>
      </c>
      <c r="R5" s="14"/>
      <c r="S5" s="14"/>
      <c r="T5" s="14">
        <f t="shared" si="1"/>
        <v>3</v>
      </c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ht="15.75" customHeight="1">
      <c r="A6" s="17" t="s">
        <v>28</v>
      </c>
      <c r="B6" s="17" t="s">
        <v>29</v>
      </c>
      <c r="C6" s="25"/>
      <c r="D6" s="17"/>
      <c r="E6" s="18"/>
      <c r="F6" s="17"/>
      <c r="G6" s="26"/>
      <c r="H6" s="27"/>
      <c r="I6" s="27"/>
      <c r="J6" s="27">
        <v>6.0</v>
      </c>
      <c r="K6" s="27"/>
      <c r="L6" s="27">
        <v>2.0</v>
      </c>
      <c r="M6" s="27">
        <v>3.0</v>
      </c>
      <c r="N6" s="27">
        <v>6.0</v>
      </c>
      <c r="O6" s="27"/>
      <c r="P6" s="27">
        <v>1.0</v>
      </c>
      <c r="Q6" s="17"/>
      <c r="R6" s="17">
        <v>3.0</v>
      </c>
      <c r="S6" s="17">
        <v>2.0</v>
      </c>
      <c r="T6" s="14">
        <f t="shared" si="1"/>
        <v>23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</row>
    <row r="7" ht="15.75" customHeight="1">
      <c r="A7" s="14" t="s">
        <v>30</v>
      </c>
      <c r="B7" s="15" t="s">
        <v>29</v>
      </c>
      <c r="C7" s="16"/>
      <c r="D7" s="17"/>
      <c r="E7" s="18"/>
      <c r="F7" s="19"/>
      <c r="G7" s="20"/>
      <c r="H7" s="21"/>
      <c r="I7" s="14"/>
      <c r="J7" s="14"/>
      <c r="K7" s="14"/>
      <c r="L7" s="14">
        <v>2.0</v>
      </c>
      <c r="M7" s="14"/>
      <c r="N7" s="14"/>
      <c r="O7" s="14"/>
      <c r="P7" s="14">
        <v>1.0</v>
      </c>
      <c r="Q7" s="19"/>
      <c r="R7" s="14"/>
      <c r="S7" s="14"/>
      <c r="T7" s="14">
        <f t="shared" si="1"/>
        <v>3</v>
      </c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ht="15.75" customHeight="1">
      <c r="A8" s="19" t="s">
        <v>31</v>
      </c>
      <c r="B8" s="15" t="s">
        <v>29</v>
      </c>
      <c r="C8" s="24" t="s">
        <v>32</v>
      </c>
      <c r="D8" s="17"/>
      <c r="E8" s="18"/>
      <c r="F8" s="19"/>
      <c r="G8" s="20"/>
      <c r="H8" s="21"/>
      <c r="I8" s="14"/>
      <c r="J8" s="14"/>
      <c r="K8" s="14"/>
      <c r="L8" s="14"/>
      <c r="M8" s="14"/>
      <c r="N8" s="14"/>
      <c r="O8" s="14"/>
      <c r="P8" s="14"/>
      <c r="Q8" s="19"/>
      <c r="R8" s="14"/>
      <c r="S8" s="14"/>
      <c r="T8" s="14">
        <f t="shared" si="1"/>
        <v>0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ht="15.75" customHeight="1">
      <c r="A9" s="17" t="s">
        <v>33</v>
      </c>
      <c r="B9" s="17" t="s">
        <v>34</v>
      </c>
      <c r="C9" s="25"/>
      <c r="D9" s="17"/>
      <c r="E9" s="18"/>
      <c r="F9" s="17"/>
      <c r="G9" s="26"/>
      <c r="H9" s="27"/>
      <c r="I9" s="27"/>
      <c r="J9" s="27"/>
      <c r="K9" s="27"/>
      <c r="L9" s="27">
        <v>1.0</v>
      </c>
      <c r="M9" s="27">
        <v>2.0</v>
      </c>
      <c r="N9" s="27">
        <v>1.0</v>
      </c>
      <c r="O9" s="27"/>
      <c r="P9" s="27"/>
      <c r="Q9" s="17">
        <v>1.0</v>
      </c>
      <c r="R9" s="17">
        <v>3.0</v>
      </c>
      <c r="S9" s="17">
        <v>3.0</v>
      </c>
      <c r="T9" s="14">
        <f t="shared" si="1"/>
        <v>11</v>
      </c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</row>
    <row r="10" ht="15.75" customHeight="1">
      <c r="A10" s="14" t="s">
        <v>35</v>
      </c>
      <c r="B10" s="15" t="s">
        <v>29</v>
      </c>
      <c r="C10" s="16"/>
      <c r="D10" s="17"/>
      <c r="E10" s="18"/>
      <c r="F10" s="19"/>
      <c r="G10" s="20"/>
      <c r="H10" s="21"/>
      <c r="I10" s="14"/>
      <c r="J10" s="14"/>
      <c r="K10" s="14"/>
      <c r="L10" s="14">
        <v>4.0</v>
      </c>
      <c r="M10" s="14"/>
      <c r="N10" s="14"/>
      <c r="O10" s="14"/>
      <c r="P10" s="14">
        <v>1.0</v>
      </c>
      <c r="Q10" s="19"/>
      <c r="R10" s="19">
        <v>1.0</v>
      </c>
      <c r="S10" s="19"/>
      <c r="T10" s="14">
        <f t="shared" si="1"/>
        <v>6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ht="15.75" customHeight="1">
      <c r="A11" s="17" t="s">
        <v>36</v>
      </c>
      <c r="B11" s="17" t="s">
        <v>29</v>
      </c>
      <c r="C11" s="25"/>
      <c r="D11" s="17"/>
      <c r="E11" s="18"/>
      <c r="F11" s="17"/>
      <c r="G11" s="26"/>
      <c r="H11" s="27"/>
      <c r="I11" s="27">
        <v>1.0</v>
      </c>
      <c r="J11" s="27">
        <v>1.0</v>
      </c>
      <c r="K11" s="27">
        <v>2.0</v>
      </c>
      <c r="L11" s="27">
        <v>1.0</v>
      </c>
      <c r="M11" s="27"/>
      <c r="N11" s="27">
        <v>4.0</v>
      </c>
      <c r="O11" s="27"/>
      <c r="P11" s="27"/>
      <c r="Q11" s="17"/>
      <c r="R11" s="27"/>
      <c r="S11" s="27"/>
      <c r="T11" s="14">
        <f t="shared" si="1"/>
        <v>9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ht="15.75" customHeight="1">
      <c r="A12" s="14" t="s">
        <v>37</v>
      </c>
      <c r="B12" s="15" t="s">
        <v>38</v>
      </c>
      <c r="C12" s="16"/>
      <c r="D12" s="17"/>
      <c r="E12" s="18"/>
      <c r="F12" s="19"/>
      <c r="G12" s="20"/>
      <c r="H12" s="21"/>
      <c r="I12" s="14"/>
      <c r="J12" s="14"/>
      <c r="K12" s="14"/>
      <c r="L12" s="14">
        <v>4.0</v>
      </c>
      <c r="M12" s="14"/>
      <c r="N12" s="14">
        <v>1.0</v>
      </c>
      <c r="O12" s="14"/>
      <c r="P12" s="14"/>
      <c r="Q12" s="19"/>
      <c r="R12" s="14"/>
      <c r="S12" s="14"/>
      <c r="T12" s="14">
        <f t="shared" si="1"/>
        <v>5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ht="15.75" customHeight="1">
      <c r="A13" s="17" t="s">
        <v>39</v>
      </c>
      <c r="B13" s="17" t="s">
        <v>34</v>
      </c>
      <c r="C13" s="25"/>
      <c r="D13" s="17"/>
      <c r="E13" s="18"/>
      <c r="F13" s="17"/>
      <c r="G13" s="26" t="s">
        <v>40</v>
      </c>
      <c r="H13" s="29">
        <v>43745.0</v>
      </c>
      <c r="I13" s="27"/>
      <c r="J13" s="27"/>
      <c r="K13" s="27">
        <v>1.0</v>
      </c>
      <c r="L13" s="27">
        <v>2.0</v>
      </c>
      <c r="M13" s="27">
        <v>3.0</v>
      </c>
      <c r="N13" s="27">
        <v>3.0</v>
      </c>
      <c r="O13" s="27">
        <v>1.0</v>
      </c>
      <c r="P13" s="27">
        <v>2.0</v>
      </c>
      <c r="Q13" s="17"/>
      <c r="R13" s="27">
        <v>1.0</v>
      </c>
      <c r="S13" s="27"/>
      <c r="T13" s="14">
        <f t="shared" si="1"/>
        <v>13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ht="15.75" customHeight="1">
      <c r="A14" s="17" t="s">
        <v>41</v>
      </c>
      <c r="B14" s="17" t="s">
        <v>42</v>
      </c>
      <c r="C14" s="30" t="s">
        <v>43</v>
      </c>
      <c r="D14" s="17"/>
      <c r="E14" s="18"/>
      <c r="F14" s="17"/>
      <c r="G14" s="26"/>
      <c r="H14" s="29"/>
      <c r="I14" s="27"/>
      <c r="J14" s="27"/>
      <c r="K14" s="27"/>
      <c r="L14" s="27"/>
      <c r="M14" s="27"/>
      <c r="N14" s="27"/>
      <c r="O14" s="27"/>
      <c r="P14" s="27"/>
      <c r="Q14" s="17"/>
      <c r="R14" s="17">
        <v>2.0</v>
      </c>
      <c r="S14" s="17">
        <v>4.0</v>
      </c>
      <c r="T14" s="14">
        <f t="shared" si="1"/>
        <v>6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ht="15.75" customHeight="1">
      <c r="A15" s="14" t="s">
        <v>44</v>
      </c>
      <c r="B15" s="15" t="s">
        <v>27</v>
      </c>
      <c r="C15" s="16"/>
      <c r="D15" s="17"/>
      <c r="E15" s="18"/>
      <c r="F15" s="19"/>
      <c r="G15" s="20"/>
      <c r="H15" s="21"/>
      <c r="I15" s="14"/>
      <c r="J15" s="14"/>
      <c r="K15" s="14"/>
      <c r="L15" s="14"/>
      <c r="M15" s="14"/>
      <c r="N15" s="14"/>
      <c r="O15" s="14"/>
      <c r="P15" s="14">
        <v>1.0</v>
      </c>
      <c r="Q15" s="19">
        <v>2.0</v>
      </c>
      <c r="R15" s="14"/>
      <c r="S15" s="14"/>
      <c r="T15" s="14">
        <f t="shared" si="1"/>
        <v>3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ht="15.75" customHeight="1">
      <c r="A16" s="17" t="s">
        <v>45</v>
      </c>
      <c r="B16" s="17" t="s">
        <v>46</v>
      </c>
      <c r="C16" s="25"/>
      <c r="D16" s="17"/>
      <c r="E16" s="18"/>
      <c r="F16" s="17"/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17">
        <v>1.0</v>
      </c>
      <c r="R16" s="27"/>
      <c r="S16" s="27"/>
      <c r="T16" s="14">
        <f t="shared" si="1"/>
        <v>1</v>
      </c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ht="15.75" customHeight="1">
      <c r="A17" s="14" t="s">
        <v>47</v>
      </c>
      <c r="B17" s="15" t="s">
        <v>46</v>
      </c>
      <c r="C17" s="16"/>
      <c r="D17" s="17"/>
      <c r="E17" s="18"/>
      <c r="F17" s="19"/>
      <c r="G17" s="20"/>
      <c r="H17" s="21"/>
      <c r="I17" s="14"/>
      <c r="J17" s="14"/>
      <c r="K17" s="14"/>
      <c r="L17" s="14"/>
      <c r="M17" s="14"/>
      <c r="N17" s="14"/>
      <c r="O17" s="14">
        <v>1.0</v>
      </c>
      <c r="P17" s="14">
        <v>1.0</v>
      </c>
      <c r="Q17" s="19">
        <v>1.0</v>
      </c>
      <c r="R17" s="14"/>
      <c r="S17" s="19">
        <v>1.0</v>
      </c>
      <c r="T17" s="14">
        <f t="shared" si="1"/>
        <v>4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ht="15.75" customHeight="1">
      <c r="A18" s="17" t="s">
        <v>48</v>
      </c>
      <c r="B18" s="17" t="s">
        <v>49</v>
      </c>
      <c r="C18" s="25"/>
      <c r="D18" s="17"/>
      <c r="E18" s="18"/>
      <c r="F18" s="17"/>
      <c r="G18" s="26"/>
      <c r="H18" s="27"/>
      <c r="I18" s="27"/>
      <c r="J18" s="27"/>
      <c r="K18" s="27">
        <v>1.0</v>
      </c>
      <c r="L18" s="27">
        <v>2.0</v>
      </c>
      <c r="M18" s="27">
        <v>2.0</v>
      </c>
      <c r="N18" s="27">
        <v>2.0</v>
      </c>
      <c r="O18" s="27"/>
      <c r="P18" s="27"/>
      <c r="Q18" s="17">
        <v>1.0</v>
      </c>
      <c r="R18" s="27"/>
      <c r="S18" s="27"/>
      <c r="T18" s="14">
        <f t="shared" si="1"/>
        <v>8</v>
      </c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ht="15.75" customHeight="1">
      <c r="A19" s="14" t="s">
        <v>50</v>
      </c>
      <c r="B19" s="15" t="s">
        <v>51</v>
      </c>
      <c r="C19" s="16"/>
      <c r="D19" s="17"/>
      <c r="E19" s="18"/>
      <c r="F19" s="19"/>
      <c r="G19" s="20"/>
      <c r="H19" s="21"/>
      <c r="I19" s="14"/>
      <c r="J19" s="14"/>
      <c r="K19" s="14"/>
      <c r="L19" s="14"/>
      <c r="M19" s="14"/>
      <c r="N19" s="14"/>
      <c r="O19" s="14"/>
      <c r="P19" s="14"/>
      <c r="Q19" s="19"/>
      <c r="R19" s="14"/>
      <c r="S19" s="14"/>
      <c r="T19" s="14">
        <f t="shared" si="1"/>
        <v>0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ht="15.75" customHeight="1">
      <c r="A20" s="31" t="s">
        <v>52</v>
      </c>
      <c r="B20" s="17" t="s">
        <v>22</v>
      </c>
      <c r="C20" s="25"/>
      <c r="D20" s="17"/>
      <c r="E20" s="18"/>
      <c r="F20" s="17"/>
      <c r="G20" s="26"/>
      <c r="H20" s="27"/>
      <c r="I20" s="27"/>
      <c r="J20" s="27">
        <v>2.0</v>
      </c>
      <c r="K20" s="27"/>
      <c r="L20" s="27"/>
      <c r="M20" s="27"/>
      <c r="N20" s="27"/>
      <c r="O20" s="27"/>
      <c r="P20" s="27"/>
      <c r="Q20" s="17"/>
      <c r="R20" s="27"/>
      <c r="S20" s="27"/>
      <c r="T20" s="14">
        <f t="shared" si="1"/>
        <v>2</v>
      </c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ht="15.75" customHeight="1">
      <c r="A21" s="23" t="s">
        <v>53</v>
      </c>
      <c r="B21" s="15" t="s">
        <v>22</v>
      </c>
      <c r="C21" s="16"/>
      <c r="D21" s="17"/>
      <c r="E21" s="18"/>
      <c r="F21" s="19"/>
      <c r="G21" s="20"/>
      <c r="H21" s="21"/>
      <c r="I21" s="14"/>
      <c r="J21" s="14"/>
      <c r="K21" s="14"/>
      <c r="L21" s="14"/>
      <c r="M21" s="14"/>
      <c r="N21" s="14"/>
      <c r="O21" s="14"/>
      <c r="P21" s="14"/>
      <c r="Q21" s="19"/>
      <c r="R21" s="14"/>
      <c r="S21" s="14"/>
      <c r="T21" s="14">
        <f t="shared" si="1"/>
        <v>0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ht="15.75" customHeight="1">
      <c r="A22" s="17" t="s">
        <v>54</v>
      </c>
      <c r="B22" s="17" t="s">
        <v>55</v>
      </c>
      <c r="C22" s="25"/>
      <c r="D22" s="17"/>
      <c r="E22" s="18"/>
      <c r="F22" s="17"/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17"/>
      <c r="R22" s="17">
        <v>1.0</v>
      </c>
      <c r="S22" s="17"/>
      <c r="T22" s="14">
        <f t="shared" si="1"/>
        <v>1</v>
      </c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ht="15.75" customHeight="1">
      <c r="A23" s="14" t="s">
        <v>56</v>
      </c>
      <c r="B23" s="15" t="s">
        <v>21</v>
      </c>
      <c r="C23" s="16"/>
      <c r="D23" s="17"/>
      <c r="E23" s="18"/>
      <c r="F23" s="19"/>
      <c r="G23" s="20"/>
      <c r="H23" s="21"/>
      <c r="I23" s="14"/>
      <c r="J23" s="14"/>
      <c r="K23" s="14"/>
      <c r="L23" s="14"/>
      <c r="M23" s="14"/>
      <c r="N23" s="14">
        <v>2.0</v>
      </c>
      <c r="O23" s="14"/>
      <c r="P23" s="14"/>
      <c r="Q23" s="19"/>
      <c r="R23" s="14"/>
      <c r="S23" s="14"/>
      <c r="T23" s="14">
        <f t="shared" si="1"/>
        <v>2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ht="15.75" customHeight="1">
      <c r="A24" s="17" t="s">
        <v>57</v>
      </c>
      <c r="B24" s="17" t="s">
        <v>21</v>
      </c>
      <c r="C24" s="25"/>
      <c r="D24" s="17"/>
      <c r="E24" s="18"/>
      <c r="F24" s="17"/>
      <c r="G24" s="26"/>
      <c r="H24" s="27"/>
      <c r="I24" s="27"/>
      <c r="J24" s="27"/>
      <c r="K24" s="27"/>
      <c r="L24" s="27"/>
      <c r="M24" s="27">
        <v>1.0</v>
      </c>
      <c r="N24" s="27">
        <v>5.0</v>
      </c>
      <c r="O24" s="27">
        <v>1.0</v>
      </c>
      <c r="P24" s="27">
        <v>1.0</v>
      </c>
      <c r="Q24" s="17">
        <v>1.0</v>
      </c>
      <c r="R24" s="17">
        <v>3.0</v>
      </c>
      <c r="S24" s="17"/>
      <c r="T24" s="14">
        <f t="shared" si="1"/>
        <v>12</v>
      </c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ht="15.75" customHeight="1">
      <c r="A25" s="14" t="s">
        <v>58</v>
      </c>
      <c r="B25" s="15" t="s">
        <v>21</v>
      </c>
      <c r="C25" s="16"/>
      <c r="D25" s="17"/>
      <c r="E25" s="18"/>
      <c r="F25" s="19"/>
      <c r="G25" s="20"/>
      <c r="H25" s="21"/>
      <c r="I25" s="14"/>
      <c r="J25" s="14"/>
      <c r="K25" s="14"/>
      <c r="L25" s="14"/>
      <c r="M25" s="14"/>
      <c r="N25" s="14"/>
      <c r="O25" s="14"/>
      <c r="P25" s="14"/>
      <c r="Q25" s="19"/>
      <c r="R25" s="14"/>
      <c r="S25" s="14"/>
      <c r="T25" s="14">
        <f t="shared" si="1"/>
        <v>0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ht="15.75" customHeight="1">
      <c r="A26" s="17" t="s">
        <v>59</v>
      </c>
      <c r="B26" s="17" t="s">
        <v>60</v>
      </c>
      <c r="C26" s="25"/>
      <c r="D26" s="17"/>
      <c r="E26" s="18"/>
      <c r="F26" s="17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17"/>
      <c r="R26" s="27">
        <v>1.0</v>
      </c>
      <c r="S26" s="27"/>
      <c r="T26" s="14">
        <f t="shared" si="1"/>
        <v>1</v>
      </c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ht="15.75" customHeight="1">
      <c r="A27" s="17" t="s">
        <v>61</v>
      </c>
      <c r="B27" s="17" t="s">
        <v>62</v>
      </c>
      <c r="C27" s="25"/>
      <c r="D27" s="17"/>
      <c r="E27" s="18"/>
      <c r="F27" s="17"/>
      <c r="G27" s="26"/>
      <c r="H27" s="27"/>
      <c r="I27" s="27"/>
      <c r="J27" s="27">
        <v>1.0</v>
      </c>
      <c r="K27" s="27"/>
      <c r="L27" s="27"/>
      <c r="M27" s="27"/>
      <c r="N27" s="27"/>
      <c r="O27" s="27"/>
      <c r="P27" s="27"/>
      <c r="Q27" s="17"/>
      <c r="R27" s="17">
        <v>1.0</v>
      </c>
      <c r="S27" s="17"/>
      <c r="T27" s="14">
        <f t="shared" si="1"/>
        <v>2</v>
      </c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ht="15.75" customHeight="1">
      <c r="A28" s="14" t="s">
        <v>63</v>
      </c>
      <c r="B28" s="15" t="s">
        <v>51</v>
      </c>
      <c r="C28" s="16"/>
      <c r="D28" s="17"/>
      <c r="E28" s="18"/>
      <c r="F28" s="19"/>
      <c r="G28" s="20"/>
      <c r="H28" s="21"/>
      <c r="I28" s="14"/>
      <c r="J28" s="14"/>
      <c r="K28" s="14"/>
      <c r="L28" s="14">
        <v>4.0</v>
      </c>
      <c r="M28" s="14"/>
      <c r="N28" s="14"/>
      <c r="O28" s="14">
        <v>1.0</v>
      </c>
      <c r="P28" s="14"/>
      <c r="Q28" s="19"/>
      <c r="R28" s="14"/>
      <c r="S28" s="14"/>
      <c r="T28" s="14">
        <f t="shared" si="1"/>
        <v>5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ht="15.75" customHeight="1">
      <c r="A29" s="17" t="s">
        <v>64</v>
      </c>
      <c r="B29" s="17" t="s">
        <v>65</v>
      </c>
      <c r="C29" s="25"/>
      <c r="D29" s="17"/>
      <c r="E29" s="18"/>
      <c r="F29" s="17"/>
      <c r="G29" s="26" t="s">
        <v>40</v>
      </c>
      <c r="H29" s="27" t="s">
        <v>66</v>
      </c>
      <c r="I29" s="27"/>
      <c r="J29" s="27"/>
      <c r="K29" s="27"/>
      <c r="L29" s="27">
        <v>2.0</v>
      </c>
      <c r="M29" s="27">
        <v>3.0</v>
      </c>
      <c r="N29" s="27">
        <v>4.0</v>
      </c>
      <c r="O29" s="27">
        <v>3.0</v>
      </c>
      <c r="P29" s="27">
        <v>2.0</v>
      </c>
      <c r="Q29" s="17"/>
      <c r="R29" s="17">
        <v>1.0</v>
      </c>
      <c r="S29" s="17"/>
      <c r="T29" s="14">
        <f t="shared" si="1"/>
        <v>15</v>
      </c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ht="15.75" customHeight="1">
      <c r="A30" s="17" t="s">
        <v>67</v>
      </c>
      <c r="B30" s="17" t="s">
        <v>68</v>
      </c>
      <c r="C30" s="25"/>
      <c r="D30" s="17"/>
      <c r="E30" s="18"/>
      <c r="F30" s="17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17"/>
      <c r="R30" s="27"/>
      <c r="S30" s="27"/>
      <c r="T30" s="14">
        <f t="shared" si="1"/>
        <v>0</v>
      </c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ht="15.75" customHeight="1">
      <c r="A31" s="14" t="s">
        <v>69</v>
      </c>
      <c r="B31" s="15" t="s">
        <v>70</v>
      </c>
      <c r="C31" s="16"/>
      <c r="D31" s="17"/>
      <c r="E31" s="18"/>
      <c r="F31" s="19"/>
      <c r="G31" s="20"/>
      <c r="H31" s="21"/>
      <c r="I31" s="14"/>
      <c r="J31" s="14"/>
      <c r="K31" s="14"/>
      <c r="L31" s="14"/>
      <c r="M31" s="14"/>
      <c r="N31" s="14"/>
      <c r="O31" s="14"/>
      <c r="P31" s="14"/>
      <c r="Q31" s="19">
        <v>1.0</v>
      </c>
      <c r="R31" s="19">
        <v>1.0</v>
      </c>
      <c r="S31" s="19">
        <v>1.0</v>
      </c>
      <c r="T31" s="14">
        <f t="shared" si="1"/>
        <v>3</v>
      </c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ht="15.75" customHeight="1">
      <c r="A32" s="17" t="s">
        <v>71</v>
      </c>
      <c r="B32" s="17" t="s">
        <v>62</v>
      </c>
      <c r="C32" s="25"/>
      <c r="D32" s="17"/>
      <c r="E32" s="18"/>
      <c r="F32" s="17"/>
      <c r="G32" s="26"/>
      <c r="H32" s="27"/>
      <c r="I32" s="27"/>
      <c r="J32" s="27"/>
      <c r="K32" s="27"/>
      <c r="L32" s="27"/>
      <c r="M32" s="27"/>
      <c r="N32" s="27"/>
      <c r="O32" s="27">
        <v>2.0</v>
      </c>
      <c r="P32" s="27"/>
      <c r="Q32" s="17"/>
      <c r="R32" s="27"/>
      <c r="S32" s="27"/>
      <c r="T32" s="14">
        <f t="shared" si="1"/>
        <v>2</v>
      </c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ht="15.75" customHeight="1">
      <c r="A33" s="17" t="s">
        <v>72</v>
      </c>
      <c r="B33" s="17" t="s">
        <v>73</v>
      </c>
      <c r="C33" s="30" t="s">
        <v>32</v>
      </c>
      <c r="D33" s="17"/>
      <c r="E33" s="18"/>
      <c r="F33" s="17" t="s">
        <v>74</v>
      </c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17"/>
      <c r="R33" s="27"/>
      <c r="S33" s="27"/>
      <c r="T33" s="14">
        <f t="shared" si="1"/>
        <v>0</v>
      </c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ht="15.75" customHeight="1">
      <c r="A34" s="14" t="s">
        <v>75</v>
      </c>
      <c r="B34" s="15" t="s">
        <v>46</v>
      </c>
      <c r="C34" s="16"/>
      <c r="D34" s="17"/>
      <c r="E34" s="18"/>
      <c r="F34" s="19"/>
      <c r="G34" s="20"/>
      <c r="H34" s="21"/>
      <c r="I34" s="14"/>
      <c r="J34" s="14"/>
      <c r="K34" s="14"/>
      <c r="L34" s="14"/>
      <c r="M34" s="14"/>
      <c r="N34" s="14"/>
      <c r="O34" s="14">
        <v>1.0</v>
      </c>
      <c r="P34" s="14"/>
      <c r="Q34" s="19"/>
      <c r="R34" s="14"/>
      <c r="S34" s="14"/>
      <c r="T34" s="14">
        <f t="shared" si="1"/>
        <v>1</v>
      </c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 ht="15.75" customHeight="1">
      <c r="A35" s="17" t="s">
        <v>76</v>
      </c>
      <c r="B35" s="17" t="s">
        <v>25</v>
      </c>
      <c r="C35" s="25"/>
      <c r="D35" s="17"/>
      <c r="E35" s="18"/>
      <c r="F35" s="17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17">
        <v>1.0</v>
      </c>
      <c r="R35" s="27"/>
      <c r="S35" s="27"/>
      <c r="T35" s="14">
        <f t="shared" si="1"/>
        <v>1</v>
      </c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ht="15.75" customHeight="1">
      <c r="A36" s="14" t="s">
        <v>77</v>
      </c>
      <c r="B36" s="15" t="s">
        <v>25</v>
      </c>
      <c r="C36" s="16"/>
      <c r="D36" s="17"/>
      <c r="E36" s="18"/>
      <c r="F36" s="19"/>
      <c r="G36" s="20"/>
      <c r="H36" s="21"/>
      <c r="I36" s="14"/>
      <c r="J36" s="14"/>
      <c r="K36" s="14"/>
      <c r="L36" s="14">
        <v>2.0</v>
      </c>
      <c r="M36" s="14"/>
      <c r="N36" s="14">
        <v>1.0</v>
      </c>
      <c r="O36" s="14"/>
      <c r="P36" s="14"/>
      <c r="Q36" s="19"/>
      <c r="R36" s="14"/>
      <c r="S36" s="14"/>
      <c r="T36" s="14">
        <f t="shared" si="1"/>
        <v>3</v>
      </c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 ht="15.75" customHeight="1">
      <c r="A37" s="17" t="s">
        <v>78</v>
      </c>
      <c r="B37" s="17" t="s">
        <v>65</v>
      </c>
      <c r="C37" s="25"/>
      <c r="D37" s="17"/>
      <c r="E37" s="18"/>
      <c r="F37" s="17"/>
      <c r="G37" s="26"/>
      <c r="H37" s="27"/>
      <c r="I37" s="27"/>
      <c r="J37" s="27"/>
      <c r="K37" s="27"/>
      <c r="L37" s="27"/>
      <c r="M37" s="27"/>
      <c r="N37" s="27">
        <v>2.0</v>
      </c>
      <c r="O37" s="27"/>
      <c r="P37" s="27"/>
      <c r="Q37" s="17"/>
      <c r="R37" s="17">
        <v>1.0</v>
      </c>
      <c r="S37" s="17"/>
      <c r="T37" s="14">
        <f t="shared" si="1"/>
        <v>3</v>
      </c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ht="15.75" customHeight="1">
      <c r="A38" s="17" t="s">
        <v>79</v>
      </c>
      <c r="B38" s="17" t="s">
        <v>73</v>
      </c>
      <c r="C38" s="30" t="s">
        <v>80</v>
      </c>
      <c r="D38" s="17"/>
      <c r="E38" s="18"/>
      <c r="F38" s="17" t="s">
        <v>74</v>
      </c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17"/>
      <c r="R38" s="17"/>
      <c r="S38" s="17"/>
      <c r="T38" s="14">
        <f t="shared" si="1"/>
        <v>0</v>
      </c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ht="15.75" customHeight="1">
      <c r="A39" s="14" t="s">
        <v>81</v>
      </c>
      <c r="B39" s="15" t="s">
        <v>46</v>
      </c>
      <c r="C39" s="16"/>
      <c r="D39" s="17"/>
      <c r="E39" s="18"/>
      <c r="F39" s="19"/>
      <c r="G39" s="20"/>
      <c r="H39" s="21"/>
      <c r="I39" s="14"/>
      <c r="J39" s="14"/>
      <c r="K39" s="14"/>
      <c r="L39" s="14"/>
      <c r="M39" s="14"/>
      <c r="N39" s="14"/>
      <c r="O39" s="14"/>
      <c r="P39" s="14"/>
      <c r="Q39" s="19"/>
      <c r="R39" s="14"/>
      <c r="S39" s="14"/>
      <c r="T39" s="14">
        <f t="shared" si="1"/>
        <v>0</v>
      </c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ht="15.75" customHeight="1">
      <c r="A40" s="17" t="s">
        <v>82</v>
      </c>
      <c r="B40" s="17" t="s">
        <v>83</v>
      </c>
      <c r="C40" s="25"/>
      <c r="D40" s="17"/>
      <c r="E40" s="18"/>
      <c r="F40" s="17"/>
      <c r="G40" s="26"/>
      <c r="H40" s="27"/>
      <c r="I40" s="27"/>
      <c r="J40" s="27">
        <v>2.0</v>
      </c>
      <c r="K40" s="27"/>
      <c r="L40" s="27"/>
      <c r="M40" s="27"/>
      <c r="N40" s="27"/>
      <c r="O40" s="27"/>
      <c r="P40" s="27"/>
      <c r="Q40" s="17"/>
      <c r="R40" s="27"/>
      <c r="S40" s="27"/>
      <c r="T40" s="14">
        <f t="shared" si="1"/>
        <v>2</v>
      </c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ht="15.75" customHeight="1">
      <c r="A41" s="14" t="s">
        <v>84</v>
      </c>
      <c r="B41" s="15" t="s">
        <v>85</v>
      </c>
      <c r="C41" s="16"/>
      <c r="D41" s="17"/>
      <c r="E41" s="18"/>
      <c r="F41" s="19"/>
      <c r="G41" s="20"/>
      <c r="H41" s="21"/>
      <c r="I41" s="14"/>
      <c r="J41" s="14"/>
      <c r="K41" s="14"/>
      <c r="L41" s="14"/>
      <c r="M41" s="14"/>
      <c r="N41" s="14"/>
      <c r="O41" s="14">
        <v>1.0</v>
      </c>
      <c r="P41" s="14">
        <v>1.0</v>
      </c>
      <c r="Q41" s="19"/>
      <c r="R41" s="14"/>
      <c r="S41" s="14"/>
      <c r="T41" s="14">
        <f t="shared" si="1"/>
        <v>2</v>
      </c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ht="15.75" customHeight="1">
      <c r="A42" s="17" t="s">
        <v>86</v>
      </c>
      <c r="B42" s="17" t="s">
        <v>87</v>
      </c>
      <c r="C42" s="25"/>
      <c r="D42" s="17"/>
      <c r="E42" s="18"/>
      <c r="F42" s="17"/>
      <c r="G42" s="26"/>
      <c r="H42" s="27"/>
      <c r="I42" s="27"/>
      <c r="J42" s="27"/>
      <c r="K42" s="27"/>
      <c r="L42" s="27">
        <v>4.0</v>
      </c>
      <c r="M42" s="27"/>
      <c r="N42" s="27">
        <v>1.0</v>
      </c>
      <c r="O42" s="27">
        <v>1.0</v>
      </c>
      <c r="P42" s="27"/>
      <c r="Q42" s="17"/>
      <c r="R42" s="27"/>
      <c r="S42" s="27"/>
      <c r="T42" s="14">
        <f t="shared" si="1"/>
        <v>6</v>
      </c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ht="15.75" customHeight="1">
      <c r="A43" s="14" t="s">
        <v>88</v>
      </c>
      <c r="B43" s="15" t="s">
        <v>62</v>
      </c>
      <c r="C43" s="16"/>
      <c r="D43" s="17"/>
      <c r="E43" s="18"/>
      <c r="F43" s="19"/>
      <c r="G43" s="20"/>
      <c r="H43" s="21"/>
      <c r="I43" s="14"/>
      <c r="J43" s="14">
        <v>2.0</v>
      </c>
      <c r="K43" s="14"/>
      <c r="L43" s="14"/>
      <c r="M43" s="14"/>
      <c r="N43" s="14"/>
      <c r="O43" s="14"/>
      <c r="P43" s="14"/>
      <c r="Q43" s="19"/>
      <c r="R43" s="14"/>
      <c r="S43" s="14"/>
      <c r="T43" s="14">
        <f t="shared" si="1"/>
        <v>2</v>
      </c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ht="15.75" customHeight="1">
      <c r="A44" s="17" t="s">
        <v>89</v>
      </c>
      <c r="B44" s="17" t="s">
        <v>90</v>
      </c>
      <c r="C44" s="25"/>
      <c r="D44" s="17"/>
      <c r="E44" s="18"/>
      <c r="F44" s="17"/>
      <c r="G44" s="26" t="s">
        <v>40</v>
      </c>
      <c r="H44" s="27" t="s">
        <v>91</v>
      </c>
      <c r="I44" s="27">
        <v>1.0</v>
      </c>
      <c r="J44" s="27">
        <v>2.0</v>
      </c>
      <c r="K44" s="27">
        <v>1.0</v>
      </c>
      <c r="L44" s="27"/>
      <c r="M44" s="27"/>
      <c r="N44" s="27"/>
      <c r="O44" s="27"/>
      <c r="P44" s="27"/>
      <c r="Q44" s="17"/>
      <c r="R44" s="27"/>
      <c r="S44" s="27"/>
      <c r="T44" s="14">
        <f t="shared" si="1"/>
        <v>4</v>
      </c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ht="15.75" customHeight="1">
      <c r="A45" s="17" t="s">
        <v>92</v>
      </c>
      <c r="B45" s="17" t="s">
        <v>42</v>
      </c>
      <c r="C45" s="30" t="s">
        <v>23</v>
      </c>
      <c r="D45" s="17"/>
      <c r="E45" s="18"/>
      <c r="F45" s="17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17"/>
      <c r="R45" s="27"/>
      <c r="S45" s="17">
        <v>1.0</v>
      </c>
      <c r="T45" s="14">
        <f t="shared" si="1"/>
        <v>1</v>
      </c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ht="15.75" customHeight="1">
      <c r="A46" s="14" t="s">
        <v>93</v>
      </c>
      <c r="B46" s="15" t="s">
        <v>42</v>
      </c>
      <c r="C46" s="16"/>
      <c r="D46" s="17"/>
      <c r="E46" s="18"/>
      <c r="F46" s="19"/>
      <c r="G46" s="20"/>
      <c r="H46" s="21"/>
      <c r="I46" s="14"/>
      <c r="J46" s="14"/>
      <c r="K46" s="14"/>
      <c r="L46" s="14"/>
      <c r="M46" s="14"/>
      <c r="N46" s="14">
        <v>2.0</v>
      </c>
      <c r="O46" s="14">
        <v>2.0</v>
      </c>
      <c r="P46" s="14">
        <v>1.0</v>
      </c>
      <c r="Q46" s="19"/>
      <c r="R46" s="14"/>
      <c r="S46" s="14"/>
      <c r="T46" s="14">
        <f t="shared" si="1"/>
        <v>5</v>
      </c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ht="15.75" customHeight="1">
      <c r="A47" s="17" t="s">
        <v>94</v>
      </c>
      <c r="B47" s="17" t="s">
        <v>42</v>
      </c>
      <c r="C47" s="25"/>
      <c r="D47" s="17"/>
      <c r="E47" s="18"/>
      <c r="F47" s="17"/>
      <c r="G47" s="26"/>
      <c r="H47" s="27"/>
      <c r="I47" s="27"/>
      <c r="J47" s="27"/>
      <c r="K47" s="27"/>
      <c r="L47" s="27">
        <v>3.0</v>
      </c>
      <c r="M47" s="27"/>
      <c r="N47" s="27">
        <v>1.0</v>
      </c>
      <c r="O47" s="27"/>
      <c r="P47" s="27"/>
      <c r="Q47" s="17">
        <v>1.0</v>
      </c>
      <c r="R47" s="17">
        <v>1.0</v>
      </c>
      <c r="S47" s="17"/>
      <c r="T47" s="14">
        <f t="shared" si="1"/>
        <v>6</v>
      </c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ht="15.75" customHeight="1">
      <c r="A48" s="14" t="s">
        <v>95</v>
      </c>
      <c r="B48" s="15" t="s">
        <v>42</v>
      </c>
      <c r="C48" s="16"/>
      <c r="D48" s="17"/>
      <c r="E48" s="18"/>
      <c r="F48" s="19"/>
      <c r="G48" s="20"/>
      <c r="H48" s="21"/>
      <c r="I48" s="14"/>
      <c r="J48" s="14"/>
      <c r="K48" s="14"/>
      <c r="L48" s="14"/>
      <c r="M48" s="14"/>
      <c r="N48" s="14">
        <v>2.0</v>
      </c>
      <c r="O48" s="14"/>
      <c r="P48" s="14"/>
      <c r="Q48" s="19"/>
      <c r="R48" s="14"/>
      <c r="S48" s="14"/>
      <c r="T48" s="14">
        <f t="shared" si="1"/>
        <v>2</v>
      </c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ht="15.75" customHeight="1">
      <c r="A49" s="17" t="s">
        <v>96</v>
      </c>
      <c r="B49" s="17" t="s">
        <v>42</v>
      </c>
      <c r="C49" s="25"/>
      <c r="D49" s="17"/>
      <c r="E49" s="18"/>
      <c r="F49" s="17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17"/>
      <c r="R49" s="27"/>
      <c r="S49" s="17">
        <v>1.0</v>
      </c>
      <c r="T49" s="14">
        <f t="shared" si="1"/>
        <v>1</v>
      </c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ht="15.75" customHeight="1">
      <c r="A50" s="14" t="s">
        <v>97</v>
      </c>
      <c r="B50" s="15" t="s">
        <v>87</v>
      </c>
      <c r="C50" s="16"/>
      <c r="D50" s="17"/>
      <c r="E50" s="18"/>
      <c r="F50" s="19"/>
      <c r="G50" s="20"/>
      <c r="H50" s="21"/>
      <c r="I50" s="14"/>
      <c r="J50" s="14"/>
      <c r="K50" s="14">
        <v>1.0</v>
      </c>
      <c r="L50" s="14"/>
      <c r="M50" s="14"/>
      <c r="N50" s="14"/>
      <c r="O50" s="14"/>
      <c r="P50" s="14"/>
      <c r="Q50" s="19"/>
      <c r="R50" s="14"/>
      <c r="S50" s="14"/>
      <c r="T50" s="14">
        <f t="shared" si="1"/>
        <v>1</v>
      </c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ht="15.75" customHeight="1">
      <c r="A51" s="19" t="s">
        <v>98</v>
      </c>
      <c r="B51" s="15" t="s">
        <v>42</v>
      </c>
      <c r="C51" s="24" t="s">
        <v>23</v>
      </c>
      <c r="D51" s="17"/>
      <c r="E51" s="18"/>
      <c r="F51" s="19"/>
      <c r="G51" s="17" t="s">
        <v>40</v>
      </c>
      <c r="H51" s="29">
        <v>45837.0</v>
      </c>
      <c r="I51" s="14"/>
      <c r="J51" s="14"/>
      <c r="K51" s="14"/>
      <c r="L51" s="14"/>
      <c r="M51" s="14"/>
      <c r="N51" s="14"/>
      <c r="O51" s="14"/>
      <c r="P51" s="14"/>
      <c r="Q51" s="19"/>
      <c r="R51" s="14"/>
      <c r="S51" s="19">
        <v>3.0</v>
      </c>
      <c r="T51" s="14">
        <f t="shared" si="1"/>
        <v>3</v>
      </c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ht="15.75" customHeight="1">
      <c r="A52" s="17" t="s">
        <v>99</v>
      </c>
      <c r="B52" s="17" t="s">
        <v>100</v>
      </c>
      <c r="C52" s="25"/>
      <c r="D52" s="17"/>
      <c r="E52" s="18"/>
      <c r="F52" s="17"/>
      <c r="G52" s="26"/>
      <c r="H52" s="27"/>
      <c r="I52" s="27"/>
      <c r="J52" s="27">
        <v>1.0</v>
      </c>
      <c r="K52" s="27"/>
      <c r="L52" s="27"/>
      <c r="M52" s="27"/>
      <c r="N52" s="27"/>
      <c r="O52" s="27"/>
      <c r="P52" s="27"/>
      <c r="Q52" s="17"/>
      <c r="R52" s="27"/>
      <c r="S52" s="27"/>
      <c r="T52" s="14">
        <f t="shared" si="1"/>
        <v>1</v>
      </c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ht="15.75" customHeight="1">
      <c r="A53" s="14" t="s">
        <v>101</v>
      </c>
      <c r="B53" s="15" t="s">
        <v>102</v>
      </c>
      <c r="C53" s="16"/>
      <c r="D53" s="17"/>
      <c r="E53" s="18"/>
      <c r="F53" s="19"/>
      <c r="G53" s="20"/>
      <c r="H53" s="21"/>
      <c r="I53" s="14"/>
      <c r="J53" s="14"/>
      <c r="K53" s="14"/>
      <c r="L53" s="14"/>
      <c r="M53" s="14"/>
      <c r="N53" s="14"/>
      <c r="O53" s="14"/>
      <c r="P53" s="14"/>
      <c r="Q53" s="19"/>
      <c r="R53" s="14"/>
      <c r="S53" s="14"/>
      <c r="T53" s="14">
        <f t="shared" si="1"/>
        <v>0</v>
      </c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ht="15.75" customHeight="1">
      <c r="A54" s="17" t="s">
        <v>103</v>
      </c>
      <c r="B54" s="17" t="s">
        <v>68</v>
      </c>
      <c r="C54" s="25"/>
      <c r="D54" s="17"/>
      <c r="E54" s="18"/>
      <c r="F54" s="17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17"/>
      <c r="R54" s="27"/>
      <c r="S54" s="27"/>
      <c r="T54" s="14">
        <f t="shared" si="1"/>
        <v>0</v>
      </c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ht="15.75" customHeight="1">
      <c r="A55" s="14" t="s">
        <v>104</v>
      </c>
      <c r="B55" s="15" t="s">
        <v>90</v>
      </c>
      <c r="C55" s="16"/>
      <c r="D55" s="17"/>
      <c r="E55" s="18"/>
      <c r="F55" s="19"/>
      <c r="G55" s="20"/>
      <c r="H55" s="21"/>
      <c r="I55" s="14"/>
      <c r="J55" s="14"/>
      <c r="K55" s="14"/>
      <c r="L55" s="14"/>
      <c r="M55" s="14"/>
      <c r="N55" s="14"/>
      <c r="O55" s="14"/>
      <c r="P55" s="14"/>
      <c r="Q55" s="19"/>
      <c r="R55" s="14"/>
      <c r="S55" s="14"/>
      <c r="T55" s="14">
        <f t="shared" si="1"/>
        <v>0</v>
      </c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ht="15.75" customHeight="1">
      <c r="A56" s="17" t="s">
        <v>105</v>
      </c>
      <c r="B56" s="17" t="s">
        <v>90</v>
      </c>
      <c r="C56" s="25"/>
      <c r="D56" s="17"/>
      <c r="E56" s="18"/>
      <c r="F56" s="17"/>
      <c r="G56" s="26" t="s">
        <v>40</v>
      </c>
      <c r="H56" s="27"/>
      <c r="I56" s="27"/>
      <c r="J56" s="27"/>
      <c r="K56" s="27">
        <v>1.0</v>
      </c>
      <c r="L56" s="27">
        <v>2.0</v>
      </c>
      <c r="M56" s="27"/>
      <c r="N56" s="27">
        <v>1.0</v>
      </c>
      <c r="O56" s="27"/>
      <c r="P56" s="27"/>
      <c r="Q56" s="17"/>
      <c r="R56" s="27"/>
      <c r="S56" s="27"/>
      <c r="T56" s="14">
        <f t="shared" si="1"/>
        <v>4</v>
      </c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ht="15.75" customHeight="1">
      <c r="A57" s="17" t="s">
        <v>106</v>
      </c>
      <c r="B57" s="17" t="s">
        <v>107</v>
      </c>
      <c r="C57" s="30" t="s">
        <v>108</v>
      </c>
      <c r="D57" s="17"/>
      <c r="E57" s="18"/>
      <c r="F57" s="17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17"/>
      <c r="R57" s="27"/>
      <c r="S57" s="17">
        <v>6.0</v>
      </c>
      <c r="T57" s="14">
        <f t="shared" si="1"/>
        <v>6</v>
      </c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ht="15.75" customHeight="1">
      <c r="A58" s="17" t="s">
        <v>109</v>
      </c>
      <c r="B58" s="17" t="s">
        <v>73</v>
      </c>
      <c r="C58" s="30" t="s">
        <v>110</v>
      </c>
      <c r="D58" s="17"/>
      <c r="E58" s="18"/>
      <c r="F58" s="17" t="s">
        <v>74</v>
      </c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17"/>
      <c r="R58" s="27"/>
      <c r="S58" s="17"/>
      <c r="T58" s="14">
        <f t="shared" si="1"/>
        <v>0</v>
      </c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ht="15.75" customHeight="1">
      <c r="A59" s="23" t="s">
        <v>111</v>
      </c>
      <c r="B59" s="15" t="s">
        <v>22</v>
      </c>
      <c r="C59" s="16"/>
      <c r="D59" s="17"/>
      <c r="E59" s="18"/>
      <c r="F59" s="19"/>
      <c r="G59" s="20"/>
      <c r="H59" s="21"/>
      <c r="I59" s="14"/>
      <c r="J59" s="14"/>
      <c r="K59" s="14"/>
      <c r="L59" s="14"/>
      <c r="M59" s="14"/>
      <c r="N59" s="14"/>
      <c r="O59" s="14"/>
      <c r="P59" s="14"/>
      <c r="Q59" s="19"/>
      <c r="R59" s="14"/>
      <c r="S59" s="14"/>
      <c r="T59" s="14">
        <f t="shared" si="1"/>
        <v>0</v>
      </c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ht="15.75" customHeight="1">
      <c r="A60" s="17" t="s">
        <v>112</v>
      </c>
      <c r="B60" s="17" t="s">
        <v>27</v>
      </c>
      <c r="C60" s="25"/>
      <c r="D60" s="17"/>
      <c r="E60" s="18"/>
      <c r="F60" s="17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17">
        <v>2.0</v>
      </c>
      <c r="R60" s="27"/>
      <c r="S60" s="27"/>
      <c r="T60" s="14">
        <f t="shared" si="1"/>
        <v>2</v>
      </c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ht="15.75" customHeight="1">
      <c r="A61" s="23" t="s">
        <v>113</v>
      </c>
      <c r="B61" s="15" t="s">
        <v>22</v>
      </c>
      <c r="C61" s="16"/>
      <c r="D61" s="17"/>
      <c r="E61" s="18"/>
      <c r="F61" s="19"/>
      <c r="G61" s="20"/>
      <c r="H61" s="21"/>
      <c r="I61" s="14"/>
      <c r="J61" s="14"/>
      <c r="K61" s="14"/>
      <c r="L61" s="14"/>
      <c r="M61" s="14"/>
      <c r="N61" s="14">
        <v>2.0</v>
      </c>
      <c r="O61" s="14">
        <v>1.0</v>
      </c>
      <c r="P61" s="14"/>
      <c r="Q61" s="19"/>
      <c r="R61" s="14"/>
      <c r="S61" s="14"/>
      <c r="T61" s="14">
        <f t="shared" si="1"/>
        <v>3</v>
      </c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ht="15.75" customHeight="1">
      <c r="A62" s="17" t="s">
        <v>114</v>
      </c>
      <c r="B62" s="17" t="s">
        <v>73</v>
      </c>
      <c r="C62" s="30" t="s">
        <v>32</v>
      </c>
      <c r="D62" s="17"/>
      <c r="E62" s="18"/>
      <c r="F62" s="17" t="s">
        <v>74</v>
      </c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17"/>
      <c r="R62" s="17"/>
      <c r="S62" s="17"/>
      <c r="T62" s="14">
        <f t="shared" si="1"/>
        <v>0</v>
      </c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ht="15.75" customHeight="1">
      <c r="A63" s="17" t="s">
        <v>115</v>
      </c>
      <c r="B63" s="17" t="s">
        <v>21</v>
      </c>
      <c r="C63" s="25"/>
      <c r="D63" s="17"/>
      <c r="E63" s="18"/>
      <c r="F63" s="17"/>
      <c r="G63" s="26" t="s">
        <v>40</v>
      </c>
      <c r="H63" s="27" t="s">
        <v>116</v>
      </c>
      <c r="I63" s="27"/>
      <c r="J63" s="27"/>
      <c r="K63" s="27">
        <v>1.0</v>
      </c>
      <c r="L63" s="27">
        <v>2.0</v>
      </c>
      <c r="M63" s="27">
        <v>2.0</v>
      </c>
      <c r="N63" s="27">
        <v>2.0</v>
      </c>
      <c r="O63" s="27">
        <v>1.0</v>
      </c>
      <c r="P63" s="27"/>
      <c r="Q63" s="17"/>
      <c r="R63" s="17">
        <v>1.0</v>
      </c>
      <c r="S63" s="17"/>
      <c r="T63" s="14">
        <f t="shared" si="1"/>
        <v>9</v>
      </c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ht="15.75" customHeight="1">
      <c r="A64" s="14" t="s">
        <v>117</v>
      </c>
      <c r="B64" s="15" t="s">
        <v>42</v>
      </c>
      <c r="C64" s="16"/>
      <c r="D64" s="17"/>
      <c r="E64" s="18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>
        <f t="shared" si="1"/>
        <v>0</v>
      </c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ht="15.75" customHeight="1">
      <c r="A65" s="27" t="s">
        <v>118</v>
      </c>
      <c r="B65" s="32" t="s">
        <v>119</v>
      </c>
      <c r="C65" s="25"/>
      <c r="D65" s="17"/>
      <c r="E65" s="18"/>
      <c r="F65" s="27"/>
      <c r="G65" s="23" t="s">
        <v>120</v>
      </c>
      <c r="H65" s="27" t="s">
        <v>121</v>
      </c>
      <c r="I65" s="27"/>
      <c r="J65" s="27">
        <v>3.0</v>
      </c>
      <c r="K65" s="27">
        <v>1.0</v>
      </c>
      <c r="L65" s="27"/>
      <c r="M65" s="27"/>
      <c r="N65" s="27"/>
      <c r="O65" s="27">
        <v>1.0</v>
      </c>
      <c r="P65" s="27"/>
      <c r="Q65" s="33"/>
      <c r="R65" s="33"/>
      <c r="S65" s="33"/>
      <c r="T65" s="34">
        <f t="shared" si="1"/>
        <v>5</v>
      </c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ht="15.75" customHeight="1">
      <c r="A66" s="27" t="s">
        <v>122</v>
      </c>
      <c r="B66" s="35"/>
      <c r="C66" s="25"/>
      <c r="D66" s="17"/>
      <c r="E66" s="18"/>
      <c r="F66" s="36"/>
      <c r="G66" s="27" t="s">
        <v>40</v>
      </c>
      <c r="H66" s="27" t="s">
        <v>123</v>
      </c>
      <c r="I66" s="27"/>
      <c r="J66" s="27"/>
      <c r="K66" s="27"/>
      <c r="L66" s="27"/>
      <c r="M66" s="27"/>
      <c r="N66" s="27"/>
      <c r="O66" s="27"/>
      <c r="P66" s="27"/>
      <c r="Q66" s="35"/>
      <c r="R66" s="35"/>
      <c r="S66" s="35"/>
      <c r="T66" s="35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ht="15.75" customHeight="1">
      <c r="A67" s="14" t="s">
        <v>124</v>
      </c>
      <c r="B67" s="15" t="s">
        <v>125</v>
      </c>
      <c r="C67" s="16"/>
      <c r="D67" s="17"/>
      <c r="E67" s="18"/>
      <c r="F67" s="19"/>
      <c r="G67" s="20" t="s">
        <v>40</v>
      </c>
      <c r="H67" s="21" t="s">
        <v>126</v>
      </c>
      <c r="I67" s="14"/>
      <c r="J67" s="14"/>
      <c r="K67" s="14">
        <v>3.0</v>
      </c>
      <c r="L67" s="14"/>
      <c r="M67" s="14">
        <v>2.0</v>
      </c>
      <c r="N67" s="14">
        <v>2.0</v>
      </c>
      <c r="O67" s="14">
        <v>5.0</v>
      </c>
      <c r="P67" s="14">
        <v>3.0</v>
      </c>
      <c r="Q67" s="19">
        <v>2.0</v>
      </c>
      <c r="R67" s="19">
        <v>2.0</v>
      </c>
      <c r="S67" s="19">
        <v>2.0</v>
      </c>
      <c r="T67" s="14">
        <f t="shared" ref="T67:T90" si="2">SUM(I67:S67)</f>
        <v>21</v>
      </c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ht="15.75" customHeight="1">
      <c r="A68" s="17" t="s">
        <v>127</v>
      </c>
      <c r="B68" s="17" t="s">
        <v>62</v>
      </c>
      <c r="C68" s="25"/>
      <c r="D68" s="17"/>
      <c r="E68" s="18"/>
      <c r="F68" s="17"/>
      <c r="G68" s="26"/>
      <c r="H68" s="27"/>
      <c r="I68" s="27"/>
      <c r="J68" s="27"/>
      <c r="K68" s="27"/>
      <c r="L68" s="27"/>
      <c r="M68" s="27"/>
      <c r="N68" s="27">
        <v>3.0</v>
      </c>
      <c r="O68" s="27"/>
      <c r="P68" s="27"/>
      <c r="Q68" s="17">
        <v>1.0</v>
      </c>
      <c r="R68" s="27"/>
      <c r="S68" s="27"/>
      <c r="T68" s="14">
        <f t="shared" si="2"/>
        <v>4</v>
      </c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ht="15.75" customHeight="1">
      <c r="A69" s="14" t="s">
        <v>128</v>
      </c>
      <c r="B69" s="15" t="s">
        <v>129</v>
      </c>
      <c r="C69" s="16"/>
      <c r="D69" s="17"/>
      <c r="E69" s="18"/>
      <c r="F69" s="19"/>
      <c r="G69" s="20"/>
      <c r="H69" s="21"/>
      <c r="I69" s="14"/>
      <c r="J69" s="14"/>
      <c r="K69" s="14">
        <v>3.0</v>
      </c>
      <c r="L69" s="14">
        <v>1.0</v>
      </c>
      <c r="M69" s="14"/>
      <c r="N69" s="14">
        <v>1.0</v>
      </c>
      <c r="O69" s="14"/>
      <c r="P69" s="14"/>
      <c r="Q69" s="19"/>
      <c r="R69" s="14">
        <v>1.0</v>
      </c>
      <c r="S69" s="14"/>
      <c r="T69" s="14">
        <f t="shared" si="2"/>
        <v>6</v>
      </c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ht="15.75" customHeight="1">
      <c r="A70" s="17" t="s">
        <v>130</v>
      </c>
      <c r="B70" s="17" t="s">
        <v>25</v>
      </c>
      <c r="C70" s="25"/>
      <c r="D70" s="17"/>
      <c r="E70" s="18"/>
      <c r="F70" s="17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17"/>
      <c r="R70" s="17">
        <v>1.0</v>
      </c>
      <c r="S70" s="17"/>
      <c r="T70" s="14">
        <f t="shared" si="2"/>
        <v>1</v>
      </c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ht="15.75" customHeight="1">
      <c r="A71" s="14" t="s">
        <v>131</v>
      </c>
      <c r="B71" s="15" t="s">
        <v>68</v>
      </c>
      <c r="C71" s="16"/>
      <c r="D71" s="17"/>
      <c r="E71" s="18"/>
      <c r="F71" s="19"/>
      <c r="G71" s="20"/>
      <c r="H71" s="21"/>
      <c r="I71" s="14"/>
      <c r="J71" s="14">
        <v>2.0</v>
      </c>
      <c r="K71" s="14">
        <v>1.0</v>
      </c>
      <c r="L71" s="14">
        <v>1.0</v>
      </c>
      <c r="M71" s="14"/>
      <c r="N71" s="14"/>
      <c r="O71" s="14">
        <v>1.0</v>
      </c>
      <c r="P71" s="14"/>
      <c r="Q71" s="19"/>
      <c r="R71" s="14"/>
      <c r="S71" s="19">
        <v>1.0</v>
      </c>
      <c r="T71" s="14">
        <f t="shared" si="2"/>
        <v>6</v>
      </c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ht="15.75" customHeight="1">
      <c r="A72" s="17" t="s">
        <v>132</v>
      </c>
      <c r="B72" s="17" t="s">
        <v>133</v>
      </c>
      <c r="C72" s="25"/>
      <c r="D72" s="17"/>
      <c r="E72" s="18"/>
      <c r="F72" s="17"/>
      <c r="G72" s="26"/>
      <c r="H72" s="27"/>
      <c r="I72" s="27"/>
      <c r="J72" s="27">
        <v>3.0</v>
      </c>
      <c r="K72" s="27"/>
      <c r="L72" s="27"/>
      <c r="M72" s="27"/>
      <c r="N72" s="27"/>
      <c r="O72" s="27"/>
      <c r="P72" s="27">
        <v>1.0</v>
      </c>
      <c r="Q72" s="17"/>
      <c r="R72" s="27"/>
      <c r="S72" s="27"/>
      <c r="T72" s="14">
        <f t="shared" si="2"/>
        <v>4</v>
      </c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ht="15.75" customHeight="1">
      <c r="A73" s="14" t="s">
        <v>134</v>
      </c>
      <c r="B73" s="15" t="s">
        <v>51</v>
      </c>
      <c r="C73" s="16"/>
      <c r="D73" s="17"/>
      <c r="E73" s="18"/>
      <c r="F73" s="19"/>
      <c r="G73" s="20"/>
      <c r="H73" s="21"/>
      <c r="I73" s="14"/>
      <c r="J73" s="14"/>
      <c r="K73" s="14"/>
      <c r="L73" s="14"/>
      <c r="M73" s="14"/>
      <c r="N73" s="14">
        <v>5.0</v>
      </c>
      <c r="O73" s="14">
        <v>3.0</v>
      </c>
      <c r="P73" s="14">
        <v>2.0</v>
      </c>
      <c r="Q73" s="19"/>
      <c r="R73" s="14"/>
      <c r="S73" s="14"/>
      <c r="T73" s="14">
        <f t="shared" si="2"/>
        <v>10</v>
      </c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ht="15.75" customHeight="1">
      <c r="A74" s="17" t="s">
        <v>135</v>
      </c>
      <c r="B74" s="17" t="s">
        <v>136</v>
      </c>
      <c r="C74" s="25"/>
      <c r="D74" s="17"/>
      <c r="E74" s="18"/>
      <c r="F74" s="17"/>
      <c r="G74" s="26"/>
      <c r="H74" s="27"/>
      <c r="I74" s="27"/>
      <c r="J74" s="27"/>
      <c r="K74" s="27"/>
      <c r="L74" s="27"/>
      <c r="M74" s="27"/>
      <c r="N74" s="27">
        <v>3.0</v>
      </c>
      <c r="O74" s="27"/>
      <c r="P74" s="27">
        <v>1.0</v>
      </c>
      <c r="Q74" s="17"/>
      <c r="R74" s="17">
        <v>2.0</v>
      </c>
      <c r="S74" s="17"/>
      <c r="T74" s="14">
        <f t="shared" si="2"/>
        <v>6</v>
      </c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ht="15.75" customHeight="1">
      <c r="A75" s="14" t="s">
        <v>137</v>
      </c>
      <c r="B75" s="15" t="s">
        <v>129</v>
      </c>
      <c r="C75" s="16"/>
      <c r="D75" s="17"/>
      <c r="E75" s="18"/>
      <c r="F75" s="19"/>
      <c r="G75" s="20" t="s">
        <v>40</v>
      </c>
      <c r="H75" s="21" t="s">
        <v>138</v>
      </c>
      <c r="I75" s="14"/>
      <c r="J75" s="14">
        <v>1.0</v>
      </c>
      <c r="K75" s="14">
        <v>2.0</v>
      </c>
      <c r="L75" s="14"/>
      <c r="M75" s="14"/>
      <c r="N75" s="14"/>
      <c r="O75" s="14"/>
      <c r="P75" s="14"/>
      <c r="Q75" s="19"/>
      <c r="R75" s="14"/>
      <c r="S75" s="19">
        <v>1.0</v>
      </c>
      <c r="T75" s="14">
        <f t="shared" si="2"/>
        <v>4</v>
      </c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ht="15.75" customHeight="1">
      <c r="A76" s="17" t="s">
        <v>139</v>
      </c>
      <c r="B76" s="17" t="s">
        <v>21</v>
      </c>
      <c r="C76" s="25"/>
      <c r="D76" s="17"/>
      <c r="E76" s="18"/>
      <c r="F76" s="17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17">
        <v>1.0</v>
      </c>
      <c r="R76" s="17">
        <v>1.0</v>
      </c>
      <c r="S76" s="17"/>
      <c r="T76" s="14">
        <f t="shared" si="2"/>
        <v>2</v>
      </c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ht="15.75" customHeight="1">
      <c r="A77" s="14" t="s">
        <v>140</v>
      </c>
      <c r="B77" s="15" t="s">
        <v>42</v>
      </c>
      <c r="C77" s="16" t="s">
        <v>141</v>
      </c>
      <c r="D77" s="17"/>
      <c r="E77" s="18"/>
      <c r="F77" s="19"/>
      <c r="G77" s="20"/>
      <c r="H77" s="21"/>
      <c r="I77" s="14"/>
      <c r="J77" s="14"/>
      <c r="K77" s="14"/>
      <c r="L77" s="14"/>
      <c r="M77" s="14"/>
      <c r="N77" s="14"/>
      <c r="O77" s="14"/>
      <c r="P77" s="14"/>
      <c r="Q77" s="19"/>
      <c r="R77" s="14"/>
      <c r="S77" s="14"/>
      <c r="T77" s="14">
        <f t="shared" si="2"/>
        <v>0</v>
      </c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ht="15.75" customHeight="1">
      <c r="A78" s="17" t="s">
        <v>142</v>
      </c>
      <c r="B78" s="17" t="s">
        <v>143</v>
      </c>
      <c r="C78" s="25"/>
      <c r="D78" s="17"/>
      <c r="E78" s="18"/>
      <c r="F78" s="17"/>
      <c r="G78" s="26"/>
      <c r="H78" s="27"/>
      <c r="I78" s="27"/>
      <c r="J78" s="27">
        <v>1.0</v>
      </c>
      <c r="K78" s="27"/>
      <c r="L78" s="27">
        <v>2.0</v>
      </c>
      <c r="M78" s="27">
        <v>2.0</v>
      </c>
      <c r="N78" s="27">
        <v>1.0</v>
      </c>
      <c r="O78" s="27"/>
      <c r="P78" s="27"/>
      <c r="Q78" s="17"/>
      <c r="R78" s="27"/>
      <c r="S78" s="27"/>
      <c r="T78" s="14">
        <f t="shared" si="2"/>
        <v>6</v>
      </c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ht="15.75" customHeight="1">
      <c r="A79" s="14" t="s">
        <v>144</v>
      </c>
      <c r="B79" s="15" t="s">
        <v>145</v>
      </c>
      <c r="C79" s="16"/>
      <c r="D79" s="17"/>
      <c r="E79" s="18"/>
      <c r="F79" s="19"/>
      <c r="G79" s="20"/>
      <c r="H79" s="21"/>
      <c r="I79" s="14"/>
      <c r="J79" s="14"/>
      <c r="K79" s="14"/>
      <c r="L79" s="14"/>
      <c r="M79" s="14">
        <v>1.0</v>
      </c>
      <c r="N79" s="14"/>
      <c r="O79" s="14"/>
      <c r="P79" s="14"/>
      <c r="Q79" s="19"/>
      <c r="R79" s="14"/>
      <c r="S79" s="14"/>
      <c r="T79" s="14">
        <f t="shared" si="2"/>
        <v>1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ht="15.75" customHeight="1">
      <c r="A80" s="17" t="s">
        <v>146</v>
      </c>
      <c r="B80" s="17" t="s">
        <v>136</v>
      </c>
      <c r="C80" s="25"/>
      <c r="D80" s="17"/>
      <c r="E80" s="18"/>
      <c r="F80" s="17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17"/>
      <c r="R80" s="17">
        <v>2.0</v>
      </c>
      <c r="S80" s="17">
        <v>2.0</v>
      </c>
      <c r="T80" s="14">
        <f t="shared" si="2"/>
        <v>4</v>
      </c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ht="15.75" customHeight="1">
      <c r="A81" s="14" t="s">
        <v>147</v>
      </c>
      <c r="B81" s="15" t="s">
        <v>136</v>
      </c>
      <c r="C81" s="16"/>
      <c r="D81" s="17"/>
      <c r="E81" s="18"/>
      <c r="F81" s="19"/>
      <c r="G81" s="20"/>
      <c r="H81" s="21"/>
      <c r="I81" s="14"/>
      <c r="J81" s="14"/>
      <c r="K81" s="14"/>
      <c r="L81" s="14"/>
      <c r="M81" s="14"/>
      <c r="N81" s="14"/>
      <c r="O81" s="14">
        <v>3.0</v>
      </c>
      <c r="P81" s="14">
        <v>2.0</v>
      </c>
      <c r="Q81" s="19"/>
      <c r="R81" s="19">
        <v>1.0</v>
      </c>
      <c r="S81" s="19">
        <v>2.0</v>
      </c>
      <c r="T81" s="14">
        <f t="shared" si="2"/>
        <v>8</v>
      </c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ht="15.75" customHeight="1">
      <c r="A82" s="19" t="s">
        <v>148</v>
      </c>
      <c r="B82" s="15" t="s">
        <v>149</v>
      </c>
      <c r="C82" s="24" t="s">
        <v>150</v>
      </c>
      <c r="D82" s="17"/>
      <c r="E82" s="18"/>
      <c r="F82" s="19"/>
      <c r="G82" s="20"/>
      <c r="H82" s="21"/>
      <c r="I82" s="14"/>
      <c r="J82" s="14"/>
      <c r="K82" s="14"/>
      <c r="L82" s="14"/>
      <c r="M82" s="14"/>
      <c r="N82" s="14"/>
      <c r="O82" s="14"/>
      <c r="P82" s="14"/>
      <c r="Q82" s="19"/>
      <c r="R82" s="19"/>
      <c r="S82" s="19">
        <v>2.0</v>
      </c>
      <c r="T82" s="14">
        <f t="shared" si="2"/>
        <v>2</v>
      </c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ht="15.75" customHeight="1">
      <c r="A83" s="19" t="s">
        <v>151</v>
      </c>
      <c r="B83" s="15" t="s">
        <v>152</v>
      </c>
      <c r="C83" s="24" t="s">
        <v>153</v>
      </c>
      <c r="D83" s="17"/>
      <c r="E83" s="18"/>
      <c r="F83" s="19"/>
      <c r="G83" s="20"/>
      <c r="H83" s="21"/>
      <c r="I83" s="14"/>
      <c r="J83" s="14"/>
      <c r="K83" s="14"/>
      <c r="L83" s="14"/>
      <c r="M83" s="14"/>
      <c r="N83" s="14"/>
      <c r="O83" s="14"/>
      <c r="P83" s="14"/>
      <c r="Q83" s="19"/>
      <c r="R83" s="19"/>
      <c r="S83" s="19">
        <v>3.0</v>
      </c>
      <c r="T83" s="14">
        <f t="shared" si="2"/>
        <v>3</v>
      </c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ht="15.75" customHeight="1">
      <c r="A84" s="17" t="s">
        <v>154</v>
      </c>
      <c r="B84" s="17" t="s">
        <v>155</v>
      </c>
      <c r="C84" s="25"/>
      <c r="D84" s="17"/>
      <c r="E84" s="18"/>
      <c r="F84" s="17"/>
      <c r="G84" s="26"/>
      <c r="H84" s="27"/>
      <c r="I84" s="27"/>
      <c r="J84" s="27">
        <v>1.0</v>
      </c>
      <c r="K84" s="27"/>
      <c r="L84" s="27"/>
      <c r="M84" s="27"/>
      <c r="N84" s="27">
        <v>3.0</v>
      </c>
      <c r="O84" s="27"/>
      <c r="P84" s="27"/>
      <c r="Q84" s="17"/>
      <c r="R84" s="27"/>
      <c r="S84" s="17">
        <v>1.0</v>
      </c>
      <c r="T84" s="14">
        <f t="shared" si="2"/>
        <v>5</v>
      </c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ht="15.75" customHeight="1">
      <c r="A85" s="14" t="s">
        <v>156</v>
      </c>
      <c r="B85" s="15" t="s">
        <v>157</v>
      </c>
      <c r="C85" s="16" t="s">
        <v>158</v>
      </c>
      <c r="D85" s="17"/>
      <c r="E85" s="18"/>
      <c r="F85" s="19"/>
      <c r="G85" s="20"/>
      <c r="H85" s="21"/>
      <c r="I85" s="14"/>
      <c r="J85" s="14"/>
      <c r="K85" s="14"/>
      <c r="L85" s="14"/>
      <c r="M85" s="14"/>
      <c r="N85" s="14"/>
      <c r="O85" s="14"/>
      <c r="P85" s="14"/>
      <c r="Q85" s="19"/>
      <c r="R85" s="19">
        <v>1.0</v>
      </c>
      <c r="S85" s="19">
        <v>1.0</v>
      </c>
      <c r="T85" s="14">
        <f t="shared" si="2"/>
        <v>2</v>
      </c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 ht="15.75" customHeight="1">
      <c r="A86" s="17" t="s">
        <v>159</v>
      </c>
      <c r="B86" s="37" t="s">
        <v>160</v>
      </c>
      <c r="C86" s="25"/>
      <c r="D86" s="17"/>
      <c r="E86" s="18"/>
      <c r="F86" s="27"/>
      <c r="G86" s="23" t="s">
        <v>161</v>
      </c>
      <c r="H86" s="27"/>
      <c r="I86" s="27"/>
      <c r="J86" s="27"/>
      <c r="K86" s="27"/>
      <c r="L86" s="27"/>
      <c r="M86" s="27"/>
      <c r="N86" s="27">
        <v>3.0</v>
      </c>
      <c r="O86" s="27"/>
      <c r="P86" s="27"/>
      <c r="Q86" s="27"/>
      <c r="R86" s="27"/>
      <c r="S86" s="27"/>
      <c r="T86" s="14">
        <f t="shared" si="2"/>
        <v>3</v>
      </c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 ht="15.75" customHeight="1">
      <c r="A87" s="14" t="s">
        <v>162</v>
      </c>
      <c r="B87" s="15" t="s">
        <v>46</v>
      </c>
      <c r="C87" s="16"/>
      <c r="D87" s="17"/>
      <c r="E87" s="18"/>
      <c r="F87" s="19"/>
      <c r="G87" s="20"/>
      <c r="H87" s="21"/>
      <c r="I87" s="14"/>
      <c r="J87" s="14">
        <v>3.0</v>
      </c>
      <c r="K87" s="14">
        <v>2.0</v>
      </c>
      <c r="L87" s="14"/>
      <c r="M87" s="14">
        <v>1.0</v>
      </c>
      <c r="N87" s="14"/>
      <c r="O87" s="14"/>
      <c r="P87" s="14">
        <v>2.0</v>
      </c>
      <c r="Q87" s="19"/>
      <c r="R87" s="14"/>
      <c r="S87" s="14"/>
      <c r="T87" s="14">
        <f t="shared" si="2"/>
        <v>8</v>
      </c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 ht="15.75" customHeight="1">
      <c r="A88" s="19" t="s">
        <v>163</v>
      </c>
      <c r="B88" s="15" t="s">
        <v>73</v>
      </c>
      <c r="C88" s="24" t="s">
        <v>32</v>
      </c>
      <c r="D88" s="17"/>
      <c r="E88" s="18"/>
      <c r="F88" s="19" t="s">
        <v>74</v>
      </c>
      <c r="G88" s="20"/>
      <c r="H88" s="21"/>
      <c r="I88" s="14"/>
      <c r="J88" s="14"/>
      <c r="K88" s="14"/>
      <c r="L88" s="14"/>
      <c r="M88" s="14"/>
      <c r="N88" s="14"/>
      <c r="O88" s="14"/>
      <c r="P88" s="14"/>
      <c r="Q88" s="19"/>
      <c r="R88" s="14"/>
      <c r="S88" s="14"/>
      <c r="T88" s="14">
        <f t="shared" si="2"/>
        <v>0</v>
      </c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ht="15.75" customHeight="1">
      <c r="A89" s="31" t="s">
        <v>164</v>
      </c>
      <c r="B89" s="17" t="s">
        <v>22</v>
      </c>
      <c r="C89" s="25"/>
      <c r="D89" s="17"/>
      <c r="E89" s="18"/>
      <c r="F89" s="17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17"/>
      <c r="R89" s="27"/>
      <c r="S89" s="27"/>
      <c r="T89" s="14">
        <f t="shared" si="2"/>
        <v>0</v>
      </c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ht="15.75" customHeight="1">
      <c r="A90" s="14" t="s">
        <v>165</v>
      </c>
      <c r="B90" s="38" t="s">
        <v>166</v>
      </c>
      <c r="C90" s="16"/>
      <c r="D90" s="17"/>
      <c r="E90" s="39"/>
      <c r="F90" s="14"/>
      <c r="G90" s="14"/>
      <c r="H90" s="14"/>
      <c r="I90" s="14"/>
      <c r="J90" s="14"/>
      <c r="K90" s="14"/>
      <c r="L90" s="14"/>
      <c r="M90" s="14"/>
      <c r="N90" s="14"/>
      <c r="O90" s="34">
        <v>1.0</v>
      </c>
      <c r="P90" s="34"/>
      <c r="Q90" s="40">
        <v>1.0</v>
      </c>
      <c r="R90" s="40"/>
      <c r="S90" s="40"/>
      <c r="T90" s="34">
        <f t="shared" si="2"/>
        <v>2</v>
      </c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ht="15.75" customHeight="1">
      <c r="A91" s="14" t="s">
        <v>167</v>
      </c>
      <c r="B91" s="35"/>
      <c r="C91" s="16"/>
      <c r="D91" s="17"/>
      <c r="E91" s="18"/>
      <c r="F91" s="14"/>
      <c r="G91" s="14"/>
      <c r="H91" s="14"/>
      <c r="I91" s="14"/>
      <c r="J91" s="14"/>
      <c r="K91" s="14"/>
      <c r="L91" s="14"/>
      <c r="M91" s="14"/>
      <c r="N91" s="14"/>
      <c r="O91" s="35"/>
      <c r="P91" s="35"/>
      <c r="Q91" s="41"/>
      <c r="R91" s="41"/>
      <c r="S91" s="41"/>
      <c r="T91" s="35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ht="15.75" customHeight="1">
      <c r="A92" s="27" t="s">
        <v>168</v>
      </c>
      <c r="B92" s="32" t="s">
        <v>169</v>
      </c>
      <c r="C92" s="25"/>
      <c r="D92" s="17"/>
      <c r="E92" s="18"/>
      <c r="F92" s="27"/>
      <c r="G92" s="23" t="s">
        <v>170</v>
      </c>
      <c r="H92" s="27"/>
      <c r="I92" s="27"/>
      <c r="J92" s="33">
        <v>2.0</v>
      </c>
      <c r="K92" s="33">
        <v>3.0</v>
      </c>
      <c r="L92" s="33">
        <v>1.0</v>
      </c>
      <c r="M92" s="33"/>
      <c r="N92" s="33">
        <v>3.0</v>
      </c>
      <c r="O92" s="33"/>
      <c r="P92" s="33">
        <v>1.0</v>
      </c>
      <c r="Q92" s="33"/>
      <c r="R92" s="33"/>
      <c r="S92" s="33"/>
      <c r="T92" s="34">
        <f>SUM(I92:S92)</f>
        <v>10</v>
      </c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ht="15.75" customHeight="1">
      <c r="A93" s="17" t="s">
        <v>171</v>
      </c>
      <c r="B93" s="35"/>
      <c r="C93" s="25"/>
      <c r="D93" s="17"/>
      <c r="E93" s="18"/>
      <c r="F93" s="27"/>
      <c r="G93" s="27" t="s">
        <v>40</v>
      </c>
      <c r="H93" s="27"/>
      <c r="I93" s="27"/>
      <c r="J93" s="35"/>
      <c r="K93" s="35"/>
      <c r="L93" s="35"/>
      <c r="M93" s="35"/>
      <c r="N93" s="35"/>
      <c r="O93" s="35"/>
      <c r="P93" s="35"/>
      <c r="Q93" s="41"/>
      <c r="R93" s="41"/>
      <c r="S93" s="41"/>
      <c r="T93" s="35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ht="15.75" customHeight="1">
      <c r="A94" s="14" t="s">
        <v>172</v>
      </c>
      <c r="B94" s="15" t="s">
        <v>173</v>
      </c>
      <c r="C94" s="16"/>
      <c r="D94" s="17"/>
      <c r="E94" s="18"/>
      <c r="F94" s="19"/>
      <c r="G94" s="20"/>
      <c r="H94" s="21"/>
      <c r="I94" s="14"/>
      <c r="J94" s="14"/>
      <c r="K94" s="14"/>
      <c r="L94" s="14">
        <v>1.0</v>
      </c>
      <c r="M94" s="14">
        <v>2.0</v>
      </c>
      <c r="N94" s="14">
        <v>1.0</v>
      </c>
      <c r="O94" s="14"/>
      <c r="P94" s="14">
        <v>2.0</v>
      </c>
      <c r="Q94" s="19"/>
      <c r="R94" s="19">
        <v>1.0</v>
      </c>
      <c r="S94" s="19">
        <v>1.0</v>
      </c>
      <c r="T94" s="14">
        <f t="shared" ref="T94:T107" si="3">SUM(I94:S94)</f>
        <v>8</v>
      </c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 ht="15.75" customHeight="1">
      <c r="A95" s="17" t="s">
        <v>174</v>
      </c>
      <c r="B95" s="17" t="s">
        <v>70</v>
      </c>
      <c r="C95" s="25"/>
      <c r="D95" s="17"/>
      <c r="E95" s="18"/>
      <c r="F95" s="17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17"/>
      <c r="R95" s="27"/>
      <c r="S95" s="17">
        <v>1.0</v>
      </c>
      <c r="T95" s="14">
        <f t="shared" si="3"/>
        <v>1</v>
      </c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ht="15.75" customHeight="1">
      <c r="A96" s="17" t="s">
        <v>175</v>
      </c>
      <c r="B96" s="17" t="s">
        <v>176</v>
      </c>
      <c r="C96" s="30" t="s">
        <v>177</v>
      </c>
      <c r="D96" s="17"/>
      <c r="E96" s="18"/>
      <c r="F96" s="17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17"/>
      <c r="R96" s="27"/>
      <c r="S96" s="27"/>
      <c r="T96" s="14">
        <f t="shared" si="3"/>
        <v>0</v>
      </c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ht="15.75" customHeight="1">
      <c r="A97" s="14" t="s">
        <v>178</v>
      </c>
      <c r="B97" s="15" t="s">
        <v>62</v>
      </c>
      <c r="C97" s="16"/>
      <c r="D97" s="17"/>
      <c r="E97" s="18"/>
      <c r="F97" s="19"/>
      <c r="G97" s="20"/>
      <c r="H97" s="21"/>
      <c r="I97" s="14"/>
      <c r="J97" s="14"/>
      <c r="K97" s="14"/>
      <c r="L97" s="14"/>
      <c r="M97" s="14"/>
      <c r="N97" s="14"/>
      <c r="O97" s="14"/>
      <c r="P97" s="14"/>
      <c r="Q97" s="19"/>
      <c r="R97" s="14"/>
      <c r="S97" s="14"/>
      <c r="T97" s="14">
        <f t="shared" si="3"/>
        <v>0</v>
      </c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 ht="15.75" customHeight="1">
      <c r="A98" s="19" t="s">
        <v>179</v>
      </c>
      <c r="B98" s="15" t="s">
        <v>73</v>
      </c>
      <c r="C98" s="24" t="s">
        <v>150</v>
      </c>
      <c r="D98" s="17" t="s">
        <v>180</v>
      </c>
      <c r="E98" s="18">
        <v>45933.0</v>
      </c>
      <c r="F98" s="19" t="s">
        <v>74</v>
      </c>
      <c r="G98" s="42" t="s">
        <v>40</v>
      </c>
      <c r="H98" s="43">
        <v>45900.0</v>
      </c>
      <c r="I98" s="14"/>
      <c r="J98" s="14"/>
      <c r="K98" s="14"/>
      <c r="L98" s="14"/>
      <c r="M98" s="14"/>
      <c r="N98" s="14"/>
      <c r="O98" s="14"/>
      <c r="P98" s="14"/>
      <c r="Q98" s="19"/>
      <c r="R98" s="14"/>
      <c r="S98" s="19">
        <v>5.0</v>
      </c>
      <c r="T98" s="14">
        <f t="shared" si="3"/>
        <v>5</v>
      </c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 ht="15.75" customHeight="1">
      <c r="A99" s="17" t="s">
        <v>181</v>
      </c>
      <c r="B99" s="17" t="s">
        <v>182</v>
      </c>
      <c r="C99" s="25"/>
      <c r="D99" s="17"/>
      <c r="E99" s="18"/>
      <c r="F99" s="17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17"/>
      <c r="R99" s="27">
        <v>1.0</v>
      </c>
      <c r="S99" s="27"/>
      <c r="T99" s="14">
        <f t="shared" si="3"/>
        <v>1</v>
      </c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ht="15.75" customHeight="1">
      <c r="A100" s="14" t="s">
        <v>183</v>
      </c>
      <c r="B100" s="15" t="s">
        <v>25</v>
      </c>
      <c r="C100" s="16"/>
      <c r="D100" s="17"/>
      <c r="E100" s="18"/>
      <c r="F100" s="19"/>
      <c r="G100" s="20"/>
      <c r="H100" s="21"/>
      <c r="I100" s="14"/>
      <c r="J100" s="14"/>
      <c r="K100" s="14"/>
      <c r="L100" s="14"/>
      <c r="M100" s="14"/>
      <c r="N100" s="14"/>
      <c r="O100" s="14"/>
      <c r="P100" s="14"/>
      <c r="Q100" s="19"/>
      <c r="R100" s="14">
        <v>1.0</v>
      </c>
      <c r="S100" s="14"/>
      <c r="T100" s="14">
        <f t="shared" si="3"/>
        <v>1</v>
      </c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 ht="15.75" customHeight="1">
      <c r="A101" s="17" t="s">
        <v>184</v>
      </c>
      <c r="B101" s="17" t="s">
        <v>85</v>
      </c>
      <c r="C101" s="25"/>
      <c r="D101" s="17"/>
      <c r="E101" s="18"/>
      <c r="F101" s="17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17"/>
      <c r="R101" s="27"/>
      <c r="S101" s="27"/>
      <c r="T101" s="14">
        <f t="shared" si="3"/>
        <v>0</v>
      </c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ht="15.75" customHeight="1">
      <c r="A102" s="14" t="s">
        <v>185</v>
      </c>
      <c r="B102" s="15" t="s">
        <v>62</v>
      </c>
      <c r="C102" s="16"/>
      <c r="D102" s="17"/>
      <c r="E102" s="18"/>
      <c r="F102" s="19"/>
      <c r="G102" s="20"/>
      <c r="H102" s="21"/>
      <c r="I102" s="14"/>
      <c r="J102" s="14"/>
      <c r="K102" s="14"/>
      <c r="L102" s="14"/>
      <c r="M102" s="14">
        <v>4.0</v>
      </c>
      <c r="N102" s="14">
        <v>2.0</v>
      </c>
      <c r="O102" s="14">
        <v>1.0</v>
      </c>
      <c r="P102" s="14"/>
      <c r="Q102" s="19"/>
      <c r="R102" s="14"/>
      <c r="S102" s="14"/>
      <c r="T102" s="14">
        <f t="shared" si="3"/>
        <v>7</v>
      </c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 ht="15.75" customHeight="1">
      <c r="A103" s="17" t="s">
        <v>186</v>
      </c>
      <c r="B103" s="17" t="s">
        <v>187</v>
      </c>
      <c r="C103" s="25"/>
      <c r="D103" s="17"/>
      <c r="E103" s="18"/>
      <c r="F103" s="17"/>
      <c r="G103" s="26"/>
      <c r="H103" s="27"/>
      <c r="I103" s="27"/>
      <c r="J103" s="27">
        <v>3.0</v>
      </c>
      <c r="K103" s="27">
        <v>1.0</v>
      </c>
      <c r="L103" s="27">
        <v>1.0</v>
      </c>
      <c r="M103" s="27">
        <v>5.0</v>
      </c>
      <c r="N103" s="27">
        <v>9.0</v>
      </c>
      <c r="O103" s="27">
        <v>1.0</v>
      </c>
      <c r="P103" s="27"/>
      <c r="Q103" s="17"/>
      <c r="R103" s="27"/>
      <c r="S103" s="17">
        <v>2.0</v>
      </c>
      <c r="T103" s="14">
        <f t="shared" si="3"/>
        <v>22</v>
      </c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ht="15.75" customHeight="1">
      <c r="A104" s="14" t="s">
        <v>188</v>
      </c>
      <c r="B104" s="15" t="s">
        <v>189</v>
      </c>
      <c r="C104" s="16"/>
      <c r="D104" s="17"/>
      <c r="E104" s="18"/>
      <c r="F104" s="19"/>
      <c r="G104" s="20"/>
      <c r="H104" s="21"/>
      <c r="I104" s="14"/>
      <c r="J104" s="14"/>
      <c r="K104" s="14"/>
      <c r="L104" s="14"/>
      <c r="M104" s="14"/>
      <c r="N104" s="14"/>
      <c r="O104" s="14"/>
      <c r="P104" s="14"/>
      <c r="Q104" s="19"/>
      <c r="R104" s="14"/>
      <c r="S104" s="14"/>
      <c r="T104" s="14">
        <f t="shared" si="3"/>
        <v>0</v>
      </c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 ht="15.75" customHeight="1">
      <c r="A105" s="17" t="s">
        <v>190</v>
      </c>
      <c r="B105" s="17" t="s">
        <v>42</v>
      </c>
      <c r="C105" s="25"/>
      <c r="D105" s="17"/>
      <c r="E105" s="18"/>
      <c r="F105" s="17"/>
      <c r="G105" s="26"/>
      <c r="H105" s="27"/>
      <c r="I105" s="27"/>
      <c r="J105" s="27"/>
      <c r="K105" s="27"/>
      <c r="L105" s="27">
        <v>2.0</v>
      </c>
      <c r="M105" s="27"/>
      <c r="N105" s="27"/>
      <c r="O105" s="27"/>
      <c r="P105" s="27"/>
      <c r="Q105" s="17"/>
      <c r="R105" s="27"/>
      <c r="S105" s="17">
        <v>1.0</v>
      </c>
      <c r="T105" s="14">
        <f t="shared" si="3"/>
        <v>3</v>
      </c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ht="15.75" customHeight="1">
      <c r="A106" s="14" t="s">
        <v>191</v>
      </c>
      <c r="B106" s="14" t="s">
        <v>192</v>
      </c>
      <c r="C106" s="16"/>
      <c r="D106" s="17"/>
      <c r="E106" s="18"/>
      <c r="F106" s="14"/>
      <c r="G106" s="20"/>
      <c r="H106" s="14"/>
      <c r="I106" s="14"/>
      <c r="J106" s="14">
        <v>1.0</v>
      </c>
      <c r="K106" s="14">
        <v>1.0</v>
      </c>
      <c r="L106" s="14">
        <v>1.0</v>
      </c>
      <c r="M106" s="14"/>
      <c r="N106" s="14"/>
      <c r="O106" s="14"/>
      <c r="P106" s="14"/>
      <c r="Q106" s="14"/>
      <c r="R106" s="14"/>
      <c r="S106" s="14"/>
      <c r="T106" s="14">
        <f t="shared" si="3"/>
        <v>3</v>
      </c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 ht="15.75" customHeight="1">
      <c r="A107" s="17" t="s">
        <v>193</v>
      </c>
      <c r="B107" s="44" t="s">
        <v>194</v>
      </c>
      <c r="C107" s="25"/>
      <c r="D107" s="17"/>
      <c r="E107" s="18"/>
      <c r="F107" s="27"/>
      <c r="G107" s="27"/>
      <c r="H107" s="27"/>
      <c r="I107" s="27"/>
      <c r="J107" s="27"/>
      <c r="K107" s="27"/>
      <c r="L107" s="27"/>
      <c r="M107" s="27"/>
      <c r="N107" s="33">
        <v>1.0</v>
      </c>
      <c r="O107" s="33"/>
      <c r="P107" s="33"/>
      <c r="Q107" s="33"/>
      <c r="R107" s="33"/>
      <c r="S107" s="33"/>
      <c r="T107" s="34">
        <f t="shared" si="3"/>
        <v>1</v>
      </c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ht="15.75" customHeight="1">
      <c r="A108" s="17" t="s">
        <v>195</v>
      </c>
      <c r="B108" s="41"/>
      <c r="C108" s="25"/>
      <c r="D108" s="17"/>
      <c r="E108" s="18"/>
      <c r="F108" s="27"/>
      <c r="G108" s="27"/>
      <c r="H108" s="27"/>
      <c r="I108" s="27"/>
      <c r="J108" s="27"/>
      <c r="K108" s="27"/>
      <c r="L108" s="27"/>
      <c r="M108" s="27"/>
      <c r="N108" s="41"/>
      <c r="O108" s="41"/>
      <c r="P108" s="41"/>
      <c r="Q108" s="41"/>
      <c r="R108" s="41"/>
      <c r="S108" s="41"/>
      <c r="T108" s="41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 ht="15.75" customHeight="1">
      <c r="A109" s="17" t="s">
        <v>196</v>
      </c>
      <c r="B109" s="35"/>
      <c r="C109" s="25"/>
      <c r="D109" s="17"/>
      <c r="E109" s="18"/>
      <c r="F109" s="27"/>
      <c r="G109" s="17"/>
      <c r="H109" s="27"/>
      <c r="I109" s="27"/>
      <c r="J109" s="27"/>
      <c r="K109" s="27"/>
      <c r="L109" s="27"/>
      <c r="M109" s="27"/>
      <c r="N109" s="35"/>
      <c r="O109" s="35"/>
      <c r="P109" s="35"/>
      <c r="Q109" s="41"/>
      <c r="R109" s="41"/>
      <c r="S109" s="41"/>
      <c r="T109" s="35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ht="15.75" customHeight="1">
      <c r="A110" s="14" t="s">
        <v>197</v>
      </c>
      <c r="B110" s="19" t="s">
        <v>198</v>
      </c>
      <c r="C110" s="16"/>
      <c r="D110" s="17"/>
      <c r="E110" s="18"/>
      <c r="F110" s="14"/>
      <c r="G110" s="31" t="s">
        <v>199</v>
      </c>
      <c r="H110" s="14"/>
      <c r="I110" s="14"/>
      <c r="J110" s="14"/>
      <c r="K110" s="14"/>
      <c r="L110" s="14"/>
      <c r="M110" s="14">
        <v>5.0</v>
      </c>
      <c r="N110" s="14"/>
      <c r="O110" s="14">
        <v>1.0</v>
      </c>
      <c r="P110" s="14">
        <v>1.0</v>
      </c>
      <c r="Q110" s="14"/>
      <c r="R110" s="19">
        <v>1.0</v>
      </c>
      <c r="S110" s="19"/>
      <c r="T110" s="14">
        <f t="shared" ref="T110:T114" si="4">SUM(I110:S110)</f>
        <v>8</v>
      </c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 ht="15.75" customHeight="1">
      <c r="A111" s="17" t="s">
        <v>200</v>
      </c>
      <c r="B111" s="17" t="s">
        <v>125</v>
      </c>
      <c r="C111" s="30" t="s">
        <v>141</v>
      </c>
      <c r="D111" s="17"/>
      <c r="E111" s="18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17">
        <v>1.0</v>
      </c>
      <c r="R111" s="17">
        <v>1.0</v>
      </c>
      <c r="S111" s="17">
        <v>2.0</v>
      </c>
      <c r="T111" s="14">
        <f t="shared" si="4"/>
        <v>4</v>
      </c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ht="15.75" customHeight="1">
      <c r="A112" s="27" t="s">
        <v>201</v>
      </c>
      <c r="B112" s="27" t="s">
        <v>202</v>
      </c>
      <c r="C112" s="25"/>
      <c r="D112" s="17"/>
      <c r="E112" s="18"/>
      <c r="F112" s="27"/>
      <c r="G112" s="27"/>
      <c r="H112" s="27"/>
      <c r="I112" s="27"/>
      <c r="J112" s="27"/>
      <c r="K112" s="27"/>
      <c r="L112" s="27">
        <v>1.0</v>
      </c>
      <c r="M112" s="27">
        <v>1.0</v>
      </c>
      <c r="N112" s="27"/>
      <c r="O112" s="27"/>
      <c r="P112" s="27">
        <v>1.0</v>
      </c>
      <c r="Q112" s="27"/>
      <c r="R112" s="27"/>
      <c r="S112" s="27"/>
      <c r="T112" s="14">
        <f t="shared" si="4"/>
        <v>3</v>
      </c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ht="15.75" customHeight="1">
      <c r="A113" s="45" t="s">
        <v>203</v>
      </c>
      <c r="B113" s="19" t="s">
        <v>204</v>
      </c>
      <c r="C113" s="16"/>
      <c r="D113" s="17"/>
      <c r="E113" s="18"/>
      <c r="F113" s="14"/>
      <c r="G113" s="20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>
        <f t="shared" si="4"/>
        <v>0</v>
      </c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 ht="15.75" customHeight="1">
      <c r="A114" s="37" t="s">
        <v>205</v>
      </c>
      <c r="B114" s="46" t="s">
        <v>206</v>
      </c>
      <c r="C114" s="25"/>
      <c r="D114" s="47"/>
      <c r="E114" s="48"/>
      <c r="F114" s="27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46">
        <v>1.0</v>
      </c>
      <c r="R114" s="46">
        <v>1.0</v>
      </c>
      <c r="S114" s="46"/>
      <c r="T114" s="34">
        <f t="shared" si="4"/>
        <v>2</v>
      </c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ht="15.75" customHeight="1">
      <c r="A115" s="37" t="s">
        <v>207</v>
      </c>
      <c r="B115" s="35"/>
      <c r="C115" s="25"/>
      <c r="D115" s="17"/>
      <c r="E115" s="18"/>
      <c r="F115" s="27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35"/>
      <c r="R115" s="35"/>
      <c r="S115" s="35"/>
      <c r="T115" s="35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ht="15.75" customHeight="1">
      <c r="A116" s="49" t="s">
        <v>208</v>
      </c>
      <c r="B116" s="17" t="s">
        <v>209</v>
      </c>
      <c r="C116" s="25"/>
      <c r="D116" s="17"/>
      <c r="E116" s="18"/>
      <c r="F116" s="27"/>
      <c r="G116" s="26"/>
      <c r="H116" s="27"/>
      <c r="I116" s="27"/>
      <c r="J116" s="27"/>
      <c r="K116" s="27"/>
      <c r="L116" s="27"/>
      <c r="M116" s="27"/>
      <c r="N116" s="27"/>
      <c r="O116" s="27"/>
      <c r="P116" s="27">
        <v>1.0</v>
      </c>
      <c r="Q116" s="27"/>
      <c r="R116" s="27"/>
      <c r="S116" s="27"/>
      <c r="T116" s="14">
        <f t="shared" ref="T116:T137" si="5">SUM(I116:S116)</f>
        <v>1</v>
      </c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ht="15.75" customHeight="1">
      <c r="A117" s="15" t="s">
        <v>210</v>
      </c>
      <c r="B117" s="19" t="s">
        <v>211</v>
      </c>
      <c r="C117" s="24" t="s">
        <v>150</v>
      </c>
      <c r="D117" s="17"/>
      <c r="E117" s="18"/>
      <c r="F117" s="19"/>
      <c r="G117" s="20"/>
      <c r="H117" s="14"/>
      <c r="I117" s="14"/>
      <c r="J117" s="14"/>
      <c r="K117" s="14"/>
      <c r="L117" s="14"/>
      <c r="M117" s="14"/>
      <c r="N117" s="14"/>
      <c r="O117" s="14"/>
      <c r="P117" s="14"/>
      <c r="Q117" s="19"/>
      <c r="R117" s="14"/>
      <c r="S117" s="19">
        <v>1.0</v>
      </c>
      <c r="T117" s="14">
        <f t="shared" si="5"/>
        <v>1</v>
      </c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</row>
    <row r="118" ht="15.75" customHeight="1">
      <c r="A118" s="45" t="s">
        <v>212</v>
      </c>
      <c r="B118" s="19" t="s">
        <v>27</v>
      </c>
      <c r="C118" s="16"/>
      <c r="D118" s="17"/>
      <c r="E118" s="18"/>
      <c r="F118" s="14"/>
      <c r="G118" s="20"/>
      <c r="H118" s="14"/>
      <c r="I118" s="14"/>
      <c r="J118" s="14"/>
      <c r="K118" s="14"/>
      <c r="L118" s="14"/>
      <c r="M118" s="14">
        <v>8.0</v>
      </c>
      <c r="N118" s="14">
        <v>6.0</v>
      </c>
      <c r="O118" s="14">
        <v>2.0</v>
      </c>
      <c r="P118" s="14">
        <v>4.0</v>
      </c>
      <c r="Q118" s="19">
        <v>3.0</v>
      </c>
      <c r="R118" s="14"/>
      <c r="S118" s="19">
        <v>1.0</v>
      </c>
      <c r="T118" s="14">
        <f t="shared" si="5"/>
        <v>24</v>
      </c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</row>
    <row r="119" ht="15.75" customHeight="1">
      <c r="A119" s="27" t="s">
        <v>213</v>
      </c>
      <c r="B119" s="17" t="s">
        <v>214</v>
      </c>
      <c r="C119" s="25"/>
      <c r="D119" s="17"/>
      <c r="E119" s="18"/>
      <c r="F119" s="27"/>
      <c r="G119" s="27"/>
      <c r="H119" s="27"/>
      <c r="I119" s="27"/>
      <c r="J119" s="27"/>
      <c r="K119" s="27">
        <v>1.0</v>
      </c>
      <c r="L119" s="27">
        <v>1.0</v>
      </c>
      <c r="M119" s="27"/>
      <c r="N119" s="27"/>
      <c r="O119" s="27">
        <v>2.0</v>
      </c>
      <c r="P119" s="27">
        <v>1.0</v>
      </c>
      <c r="Q119" s="27"/>
      <c r="R119" s="17">
        <v>1.0</v>
      </c>
      <c r="S119" s="17"/>
      <c r="T119" s="14">
        <f t="shared" si="5"/>
        <v>6</v>
      </c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ht="15.75" customHeight="1">
      <c r="A120" s="45" t="s">
        <v>215</v>
      </c>
      <c r="B120" s="19" t="s">
        <v>27</v>
      </c>
      <c r="C120" s="16"/>
      <c r="D120" s="17"/>
      <c r="E120" s="18"/>
      <c r="F120" s="14"/>
      <c r="G120" s="14"/>
      <c r="H120" s="14"/>
      <c r="I120" s="14"/>
      <c r="J120" s="14"/>
      <c r="K120" s="14"/>
      <c r="L120" s="14"/>
      <c r="M120" s="14"/>
      <c r="N120" s="14">
        <v>2.0</v>
      </c>
      <c r="O120" s="14">
        <v>1.0</v>
      </c>
      <c r="P120" s="14"/>
      <c r="Q120" s="19">
        <v>2.0</v>
      </c>
      <c r="R120" s="14"/>
      <c r="S120" s="14"/>
      <c r="T120" s="14">
        <f t="shared" si="5"/>
        <v>5</v>
      </c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</row>
    <row r="121" ht="15.75" customHeight="1">
      <c r="A121" s="37" t="s">
        <v>216</v>
      </c>
      <c r="B121" s="17" t="s">
        <v>25</v>
      </c>
      <c r="C121" s="25"/>
      <c r="D121" s="17"/>
      <c r="E121" s="18"/>
      <c r="F121" s="27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14"/>
      <c r="S121" s="14"/>
      <c r="T121" s="14">
        <f t="shared" si="5"/>
        <v>0</v>
      </c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ht="15.75" customHeight="1">
      <c r="A122" s="37" t="s">
        <v>217</v>
      </c>
      <c r="B122" s="37" t="s">
        <v>218</v>
      </c>
      <c r="C122" s="25"/>
      <c r="D122" s="17"/>
      <c r="E122" s="18"/>
      <c r="F122" s="27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14"/>
      <c r="S122" s="14"/>
      <c r="T122" s="14">
        <f t="shared" si="5"/>
        <v>0</v>
      </c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ht="15.75" customHeight="1">
      <c r="A123" s="49" t="s">
        <v>219</v>
      </c>
      <c r="B123" s="37" t="s">
        <v>182</v>
      </c>
      <c r="C123" s="25"/>
      <c r="D123" s="17"/>
      <c r="E123" s="18"/>
      <c r="F123" s="27"/>
      <c r="G123" s="26"/>
      <c r="H123" s="27"/>
      <c r="I123" s="27"/>
      <c r="J123" s="27"/>
      <c r="K123" s="27"/>
      <c r="L123" s="27"/>
      <c r="M123" s="27"/>
      <c r="N123" s="27"/>
      <c r="O123" s="27"/>
      <c r="P123" s="27">
        <v>1.0</v>
      </c>
      <c r="Q123" s="27"/>
      <c r="R123" s="17">
        <v>1.0</v>
      </c>
      <c r="S123" s="17"/>
      <c r="T123" s="14">
        <f t="shared" si="5"/>
        <v>2</v>
      </c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ht="15.75" customHeight="1">
      <c r="A124" s="15" t="s">
        <v>220</v>
      </c>
      <c r="B124" s="15" t="s">
        <v>62</v>
      </c>
      <c r="C124" s="16"/>
      <c r="D124" s="17"/>
      <c r="E124" s="18"/>
      <c r="F124" s="14"/>
      <c r="G124" s="20"/>
      <c r="H124" s="14"/>
      <c r="I124" s="14"/>
      <c r="J124" s="14"/>
      <c r="K124" s="14"/>
      <c r="L124" s="14"/>
      <c r="M124" s="14"/>
      <c r="N124" s="14"/>
      <c r="O124" s="14"/>
      <c r="P124" s="14">
        <v>1.0</v>
      </c>
      <c r="Q124" s="14"/>
      <c r="R124" s="14"/>
      <c r="S124" s="14"/>
      <c r="T124" s="14">
        <f t="shared" si="5"/>
        <v>1</v>
      </c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</row>
    <row r="125" ht="15.75" customHeight="1">
      <c r="A125" s="45" t="s">
        <v>221</v>
      </c>
      <c r="B125" s="37" t="s">
        <v>25</v>
      </c>
      <c r="C125" s="30" t="s">
        <v>222</v>
      </c>
      <c r="D125" s="17"/>
      <c r="E125" s="18"/>
      <c r="F125" s="27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14">
        <f t="shared" si="5"/>
        <v>0</v>
      </c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ht="15.75" customHeight="1">
      <c r="A126" s="49" t="s">
        <v>223</v>
      </c>
      <c r="B126" s="37" t="s">
        <v>42</v>
      </c>
      <c r="C126" s="25"/>
      <c r="D126" s="17"/>
      <c r="E126" s="18"/>
      <c r="F126" s="27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14">
        <f t="shared" si="5"/>
        <v>0</v>
      </c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ht="15.75" customHeight="1">
      <c r="A127" s="15" t="s">
        <v>224</v>
      </c>
      <c r="B127" s="15" t="s">
        <v>225</v>
      </c>
      <c r="C127" s="16"/>
      <c r="D127" s="17"/>
      <c r="E127" s="18"/>
      <c r="F127" s="14"/>
      <c r="G127" s="20"/>
      <c r="H127" s="14"/>
      <c r="I127" s="14"/>
      <c r="J127" s="14"/>
      <c r="K127" s="14"/>
      <c r="L127" s="14">
        <v>2.0</v>
      </c>
      <c r="M127" s="14">
        <v>1.0</v>
      </c>
      <c r="N127" s="14">
        <v>4.0</v>
      </c>
      <c r="O127" s="14">
        <v>1.0</v>
      </c>
      <c r="P127" s="14"/>
      <c r="Q127" s="14"/>
      <c r="R127" s="14"/>
      <c r="S127" s="14"/>
      <c r="T127" s="14">
        <f t="shared" si="5"/>
        <v>8</v>
      </c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</row>
    <row r="128" ht="15.75" customHeight="1">
      <c r="A128" s="27" t="s">
        <v>226</v>
      </c>
      <c r="B128" s="37" t="s">
        <v>227</v>
      </c>
      <c r="C128" s="25"/>
      <c r="D128" s="17"/>
      <c r="E128" s="18"/>
      <c r="F128" s="27"/>
      <c r="G128" s="26"/>
      <c r="H128" s="27"/>
      <c r="I128" s="27"/>
      <c r="J128" s="27">
        <v>8.0</v>
      </c>
      <c r="K128" s="27">
        <v>2.0</v>
      </c>
      <c r="L128" s="27">
        <v>3.0</v>
      </c>
      <c r="M128" s="27">
        <v>1.0</v>
      </c>
      <c r="N128" s="27">
        <v>1.0</v>
      </c>
      <c r="O128" s="27">
        <v>1.0</v>
      </c>
      <c r="P128" s="27"/>
      <c r="Q128" s="27"/>
      <c r="R128" s="27"/>
      <c r="S128" s="27"/>
      <c r="T128" s="14">
        <f t="shared" si="5"/>
        <v>16</v>
      </c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ht="15.75" customHeight="1">
      <c r="A129" s="19" t="s">
        <v>228</v>
      </c>
      <c r="B129" s="45" t="s">
        <v>42</v>
      </c>
      <c r="C129" s="16"/>
      <c r="D129" s="17"/>
      <c r="E129" s="18"/>
      <c r="F129" s="14"/>
      <c r="G129" s="14" t="s">
        <v>40</v>
      </c>
      <c r="H129" s="14"/>
      <c r="I129" s="14"/>
      <c r="J129" s="14"/>
      <c r="K129" s="14">
        <v>1.0</v>
      </c>
      <c r="L129" s="14"/>
      <c r="M129" s="14"/>
      <c r="N129" s="14"/>
      <c r="O129" s="14"/>
      <c r="P129" s="14"/>
      <c r="Q129" s="14"/>
      <c r="R129" s="14"/>
      <c r="S129" s="14"/>
      <c r="T129" s="14">
        <f t="shared" si="5"/>
        <v>1</v>
      </c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</row>
    <row r="130" ht="15.75" customHeight="1">
      <c r="A130" s="19" t="s">
        <v>229</v>
      </c>
      <c r="B130" s="17" t="s">
        <v>230</v>
      </c>
      <c r="C130" s="25"/>
      <c r="D130" s="17"/>
      <c r="E130" s="18"/>
      <c r="F130" s="27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14">
        <f t="shared" si="5"/>
        <v>0</v>
      </c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ht="15.75" customHeight="1">
      <c r="A131" s="14" t="s">
        <v>231</v>
      </c>
      <c r="B131" s="19" t="s">
        <v>182</v>
      </c>
      <c r="C131" s="16"/>
      <c r="D131" s="17"/>
      <c r="E131" s="18"/>
      <c r="F131" s="14"/>
      <c r="G131" s="20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9">
        <v>1.0</v>
      </c>
      <c r="S131" s="19"/>
      <c r="T131" s="14">
        <f t="shared" si="5"/>
        <v>1</v>
      </c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</row>
    <row r="132" ht="15.75" customHeight="1">
      <c r="A132" s="14" t="s">
        <v>232</v>
      </c>
      <c r="B132" s="37" t="s">
        <v>214</v>
      </c>
      <c r="C132" s="25"/>
      <c r="D132" s="17"/>
      <c r="E132" s="18"/>
      <c r="F132" s="27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19">
        <v>1.0</v>
      </c>
      <c r="S132" s="19"/>
      <c r="T132" s="14">
        <f t="shared" si="5"/>
        <v>1</v>
      </c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ht="15.75" customHeight="1">
      <c r="A133" s="27" t="s">
        <v>233</v>
      </c>
      <c r="B133" s="37" t="s">
        <v>234</v>
      </c>
      <c r="C133" s="25"/>
      <c r="D133" s="17"/>
      <c r="E133" s="18"/>
      <c r="F133" s="27"/>
      <c r="G133" s="26"/>
      <c r="H133" s="27"/>
      <c r="I133" s="27"/>
      <c r="J133" s="27">
        <v>4.0</v>
      </c>
      <c r="K133" s="27"/>
      <c r="L133" s="27"/>
      <c r="M133" s="27">
        <v>1.0</v>
      </c>
      <c r="N133" s="27">
        <v>1.0</v>
      </c>
      <c r="O133" s="27"/>
      <c r="P133" s="27"/>
      <c r="Q133" s="27"/>
      <c r="R133" s="27"/>
      <c r="S133" s="27"/>
      <c r="T133" s="14">
        <f t="shared" si="5"/>
        <v>6</v>
      </c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ht="15.75" customHeight="1">
      <c r="A134" s="19" t="s">
        <v>235</v>
      </c>
      <c r="B134" s="15" t="s">
        <v>206</v>
      </c>
      <c r="C134" s="16"/>
      <c r="D134" s="47"/>
      <c r="E134" s="48"/>
      <c r="F134" s="14"/>
      <c r="G134" s="20"/>
      <c r="H134" s="14"/>
      <c r="I134" s="14"/>
      <c r="J134" s="14"/>
      <c r="K134" s="14"/>
      <c r="L134" s="14"/>
      <c r="M134" s="14"/>
      <c r="N134" s="14"/>
      <c r="O134" s="14"/>
      <c r="P134" s="14"/>
      <c r="Q134" s="19">
        <v>4.0</v>
      </c>
      <c r="R134" s="19">
        <v>1.0</v>
      </c>
      <c r="S134" s="19">
        <v>4.0</v>
      </c>
      <c r="T134" s="14">
        <f t="shared" si="5"/>
        <v>9</v>
      </c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</row>
    <row r="135" ht="15.75" customHeight="1">
      <c r="A135" s="19" t="s">
        <v>236</v>
      </c>
      <c r="B135" s="15" t="s">
        <v>107</v>
      </c>
      <c r="C135" s="16"/>
      <c r="D135" s="17"/>
      <c r="E135" s="18"/>
      <c r="F135" s="14"/>
      <c r="G135" s="20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9"/>
      <c r="S135" s="19"/>
      <c r="T135" s="14">
        <f t="shared" si="5"/>
        <v>0</v>
      </c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</row>
    <row r="136" ht="15.75" customHeight="1">
      <c r="A136" s="19" t="s">
        <v>237</v>
      </c>
      <c r="B136" s="15" t="s">
        <v>238</v>
      </c>
      <c r="C136" s="16"/>
      <c r="D136" s="17"/>
      <c r="E136" s="18"/>
      <c r="F136" s="14"/>
      <c r="G136" s="20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9">
        <v>1.0</v>
      </c>
      <c r="S136" s="19"/>
      <c r="T136" s="14">
        <f t="shared" si="5"/>
        <v>1</v>
      </c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</row>
    <row r="137" ht="15.75" customHeight="1">
      <c r="A137" s="19" t="s">
        <v>239</v>
      </c>
      <c r="B137" s="38" t="s">
        <v>238</v>
      </c>
      <c r="C137" s="16"/>
      <c r="D137" s="17"/>
      <c r="E137" s="48"/>
      <c r="F137" s="14"/>
      <c r="G137" s="20"/>
      <c r="H137" s="14"/>
      <c r="I137" s="14"/>
      <c r="J137" s="14"/>
      <c r="K137" s="14"/>
      <c r="L137" s="14"/>
      <c r="M137" s="14"/>
      <c r="N137" s="14">
        <v>1.0</v>
      </c>
      <c r="O137" s="14">
        <v>2.0</v>
      </c>
      <c r="P137" s="14"/>
      <c r="Q137" s="19">
        <v>3.0</v>
      </c>
      <c r="R137" s="40">
        <v>5.0</v>
      </c>
      <c r="S137" s="40">
        <v>1.0</v>
      </c>
      <c r="T137" s="34">
        <f t="shared" si="5"/>
        <v>12</v>
      </c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</row>
    <row r="138" ht="15.75" customHeight="1">
      <c r="A138" s="17" t="s">
        <v>240</v>
      </c>
      <c r="B138" s="41"/>
      <c r="C138" s="30" t="s">
        <v>241</v>
      </c>
      <c r="D138" s="50"/>
      <c r="E138" s="48"/>
      <c r="F138" s="17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17"/>
      <c r="R138" s="35"/>
      <c r="S138" s="41"/>
      <c r="T138" s="41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ht="15.75" customHeight="1">
      <c r="A139" s="17" t="s">
        <v>242</v>
      </c>
      <c r="B139" s="35"/>
      <c r="C139" s="30" t="s">
        <v>243</v>
      </c>
      <c r="D139" s="50"/>
      <c r="E139" s="48"/>
      <c r="F139" s="17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17"/>
      <c r="R139" s="19"/>
      <c r="S139" s="35"/>
      <c r="T139" s="35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ht="15.75" customHeight="1">
      <c r="A140" s="27" t="s">
        <v>244</v>
      </c>
      <c r="B140" s="37" t="s">
        <v>136</v>
      </c>
      <c r="C140" s="25"/>
      <c r="D140" s="50"/>
      <c r="E140" s="48"/>
      <c r="F140" s="27"/>
      <c r="G140" s="26"/>
      <c r="H140" s="27"/>
      <c r="I140" s="27"/>
      <c r="J140" s="27"/>
      <c r="K140" s="27"/>
      <c r="L140" s="27"/>
      <c r="M140" s="27"/>
      <c r="N140" s="27"/>
      <c r="O140" s="27">
        <v>4.0</v>
      </c>
      <c r="P140" s="27"/>
      <c r="Q140" s="17">
        <v>1.0</v>
      </c>
      <c r="R140" s="27"/>
      <c r="S140" s="27"/>
      <c r="T140" s="14">
        <f t="shared" ref="T140:T142" si="6">SUM(I140:S140)</f>
        <v>5</v>
      </c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ht="15.75" customHeight="1">
      <c r="A141" s="19" t="s">
        <v>245</v>
      </c>
      <c r="B141" s="15" t="s">
        <v>136</v>
      </c>
      <c r="C141" s="16"/>
      <c r="D141" s="17"/>
      <c r="E141" s="18"/>
      <c r="F141" s="14"/>
      <c r="G141" s="20"/>
      <c r="H141" s="14"/>
      <c r="I141" s="14"/>
      <c r="J141" s="14"/>
      <c r="K141" s="14"/>
      <c r="L141" s="14"/>
      <c r="M141" s="14"/>
      <c r="N141" s="14"/>
      <c r="O141" s="14">
        <v>3.0</v>
      </c>
      <c r="P141" s="14"/>
      <c r="Q141" s="14"/>
      <c r="R141" s="14"/>
      <c r="S141" s="14"/>
      <c r="T141" s="14">
        <f t="shared" si="6"/>
        <v>3</v>
      </c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</row>
    <row r="142" ht="15.75" customHeight="1">
      <c r="A142" s="27" t="s">
        <v>246</v>
      </c>
      <c r="B142" s="32" t="s">
        <v>247</v>
      </c>
      <c r="C142" s="25"/>
      <c r="D142" s="17"/>
      <c r="E142" s="18"/>
      <c r="F142" s="27"/>
      <c r="G142" s="26"/>
      <c r="H142" s="27"/>
      <c r="I142" s="27"/>
      <c r="J142" s="27"/>
      <c r="K142" s="27"/>
      <c r="L142" s="27"/>
      <c r="M142" s="27"/>
      <c r="N142" s="27"/>
      <c r="O142" s="33">
        <v>2.0</v>
      </c>
      <c r="P142" s="33">
        <v>2.0</v>
      </c>
      <c r="Q142" s="46">
        <v>1.0</v>
      </c>
      <c r="R142" s="33"/>
      <c r="S142" s="46">
        <v>1.0</v>
      </c>
      <c r="T142" s="34">
        <f t="shared" si="6"/>
        <v>6</v>
      </c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ht="15.75" customHeight="1">
      <c r="A143" s="27" t="s">
        <v>248</v>
      </c>
      <c r="B143" s="35"/>
      <c r="C143" s="16"/>
      <c r="D143" s="17"/>
      <c r="E143" s="18"/>
      <c r="F143" s="14"/>
      <c r="G143" s="20"/>
      <c r="H143" s="14"/>
      <c r="I143" s="14"/>
      <c r="J143" s="14"/>
      <c r="K143" s="14"/>
      <c r="L143" s="14"/>
      <c r="M143" s="14"/>
      <c r="N143" s="14"/>
      <c r="O143" s="35"/>
      <c r="P143" s="35"/>
      <c r="Q143" s="41"/>
      <c r="R143" s="41"/>
      <c r="S143" s="41"/>
      <c r="T143" s="35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</row>
    <row r="144" ht="15.75" customHeight="1">
      <c r="A144" s="14" t="s">
        <v>249</v>
      </c>
      <c r="B144" s="37" t="s">
        <v>250</v>
      </c>
      <c r="C144" s="30" t="s">
        <v>141</v>
      </c>
      <c r="D144" s="17"/>
      <c r="E144" s="18"/>
      <c r="F144" s="27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33"/>
      <c r="R144" s="46">
        <v>1.0</v>
      </c>
      <c r="S144" s="46"/>
      <c r="T144" s="14">
        <f t="shared" ref="T144:T154" si="7">SUM(I144:S144)</f>
        <v>1</v>
      </c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ht="15.75" customHeight="1">
      <c r="A145" s="27" t="s">
        <v>251</v>
      </c>
      <c r="B145" s="37" t="s">
        <v>252</v>
      </c>
      <c r="C145" s="25"/>
      <c r="D145" s="17"/>
      <c r="E145" s="18"/>
      <c r="F145" s="27"/>
      <c r="G145" s="26"/>
      <c r="H145" s="27"/>
      <c r="I145" s="27"/>
      <c r="J145" s="27"/>
      <c r="K145" s="27"/>
      <c r="L145" s="27"/>
      <c r="M145" s="27">
        <v>4.0</v>
      </c>
      <c r="N145" s="27">
        <v>2.0</v>
      </c>
      <c r="O145" s="27">
        <v>1.0</v>
      </c>
      <c r="P145" s="27"/>
      <c r="Q145" s="27"/>
      <c r="R145" s="27"/>
      <c r="S145" s="27"/>
      <c r="T145" s="14">
        <f t="shared" si="7"/>
        <v>7</v>
      </c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ht="15.75" customHeight="1">
      <c r="A146" s="14" t="s">
        <v>253</v>
      </c>
      <c r="B146" s="45" t="s">
        <v>62</v>
      </c>
      <c r="C146" s="16"/>
      <c r="D146" s="17"/>
      <c r="E146" s="18"/>
      <c r="F146" s="14"/>
      <c r="G146" s="20"/>
      <c r="H146" s="14"/>
      <c r="I146" s="14"/>
      <c r="J146" s="14">
        <v>2.0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>
        <f t="shared" si="7"/>
        <v>2</v>
      </c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</row>
    <row r="147" ht="15.75" customHeight="1">
      <c r="A147" s="27" t="s">
        <v>254</v>
      </c>
      <c r="B147" s="37" t="s">
        <v>65</v>
      </c>
      <c r="C147" s="25"/>
      <c r="D147" s="17"/>
      <c r="E147" s="18"/>
      <c r="F147" s="51"/>
      <c r="G147" s="26"/>
      <c r="H147" s="27"/>
      <c r="I147" s="27">
        <v>1.0</v>
      </c>
      <c r="J147" s="27">
        <v>4.0</v>
      </c>
      <c r="K147" s="27">
        <v>1.0</v>
      </c>
      <c r="L147" s="27"/>
      <c r="M147" s="27"/>
      <c r="N147" s="27">
        <v>1.0</v>
      </c>
      <c r="O147" s="27">
        <v>2.0</v>
      </c>
      <c r="P147" s="27">
        <v>2.0</v>
      </c>
      <c r="Q147" s="27"/>
      <c r="R147" s="27"/>
      <c r="S147" s="27"/>
      <c r="T147" s="14">
        <f t="shared" si="7"/>
        <v>11</v>
      </c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ht="15.75" customHeight="1">
      <c r="A148" s="14" t="s">
        <v>255</v>
      </c>
      <c r="B148" s="45" t="s">
        <v>256</v>
      </c>
      <c r="C148" s="16"/>
      <c r="D148" s="17"/>
      <c r="E148" s="18"/>
      <c r="F148" s="14"/>
      <c r="G148" s="20"/>
      <c r="H148" s="14"/>
      <c r="I148" s="14"/>
      <c r="J148" s="14">
        <v>1.0</v>
      </c>
      <c r="K148" s="14"/>
      <c r="L148" s="14">
        <v>1.0</v>
      </c>
      <c r="M148" s="14"/>
      <c r="N148" s="14"/>
      <c r="O148" s="14"/>
      <c r="P148" s="14"/>
      <c r="Q148" s="14"/>
      <c r="R148" s="14"/>
      <c r="S148" s="14"/>
      <c r="T148" s="14">
        <f t="shared" si="7"/>
        <v>2</v>
      </c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</row>
    <row r="149" ht="15.75" customHeight="1">
      <c r="A149" s="27" t="s">
        <v>257</v>
      </c>
      <c r="B149" s="37" t="s">
        <v>258</v>
      </c>
      <c r="C149" s="25"/>
      <c r="D149" s="17"/>
      <c r="E149" s="18"/>
      <c r="F149" s="27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14">
        <f t="shared" si="7"/>
        <v>0</v>
      </c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ht="15.75" customHeight="1">
      <c r="A150" s="14" t="s">
        <v>259</v>
      </c>
      <c r="B150" s="15" t="s">
        <v>204</v>
      </c>
      <c r="C150" s="16"/>
      <c r="D150" s="17"/>
      <c r="E150" s="18"/>
      <c r="F150" s="14"/>
      <c r="G150" s="20"/>
      <c r="H150" s="14"/>
      <c r="I150" s="14"/>
      <c r="J150" s="14"/>
      <c r="K150" s="14"/>
      <c r="L150" s="14">
        <v>2.0</v>
      </c>
      <c r="M150" s="14"/>
      <c r="N150" s="14">
        <v>1.0</v>
      </c>
      <c r="O150" s="14">
        <v>1.0</v>
      </c>
      <c r="P150" s="14">
        <v>1.0</v>
      </c>
      <c r="Q150" s="14"/>
      <c r="R150" s="19">
        <v>1.0</v>
      </c>
      <c r="S150" s="19"/>
      <c r="T150" s="14">
        <f t="shared" si="7"/>
        <v>6</v>
      </c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</row>
    <row r="151" ht="15.75" customHeight="1">
      <c r="A151" s="49" t="s">
        <v>260</v>
      </c>
      <c r="B151" s="37" t="s">
        <v>218</v>
      </c>
      <c r="C151" s="25"/>
      <c r="D151" s="17"/>
      <c r="E151" s="18"/>
      <c r="F151" s="27"/>
      <c r="G151" s="27"/>
      <c r="H151" s="27"/>
      <c r="I151" s="27"/>
      <c r="J151" s="27"/>
      <c r="K151" s="27"/>
      <c r="L151" s="27"/>
      <c r="M151" s="27"/>
      <c r="N151" s="27">
        <v>5.0</v>
      </c>
      <c r="O151" s="27">
        <v>1.0</v>
      </c>
      <c r="P151" s="27"/>
      <c r="Q151" s="27"/>
      <c r="R151" s="27"/>
      <c r="S151" s="17">
        <v>1.0</v>
      </c>
      <c r="T151" s="14">
        <f t="shared" si="7"/>
        <v>7</v>
      </c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ht="15.75" customHeight="1">
      <c r="A152" s="15" t="s">
        <v>261</v>
      </c>
      <c r="B152" s="15" t="s">
        <v>234</v>
      </c>
      <c r="C152" s="16"/>
      <c r="D152" s="17"/>
      <c r="E152" s="18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>
        <f t="shared" si="7"/>
        <v>0</v>
      </c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</row>
    <row r="153" ht="15.75" customHeight="1">
      <c r="A153" s="45" t="s">
        <v>262</v>
      </c>
      <c r="B153" s="15" t="s">
        <v>263</v>
      </c>
      <c r="C153" s="16"/>
      <c r="D153" s="17"/>
      <c r="E153" s="18"/>
      <c r="F153" s="14"/>
      <c r="G153" s="14"/>
      <c r="H153" s="14"/>
      <c r="I153" s="14"/>
      <c r="J153" s="14"/>
      <c r="K153" s="14"/>
      <c r="L153" s="14"/>
      <c r="M153" s="14">
        <v>1.0</v>
      </c>
      <c r="N153" s="14"/>
      <c r="O153" s="14"/>
      <c r="P153" s="14">
        <v>1.0</v>
      </c>
      <c r="Q153" s="14"/>
      <c r="R153" s="14"/>
      <c r="S153" s="14"/>
      <c r="T153" s="14">
        <f t="shared" si="7"/>
        <v>2</v>
      </c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</row>
    <row r="154" ht="15.75" customHeight="1">
      <c r="A154" s="49" t="s">
        <v>264</v>
      </c>
      <c r="B154" s="32" t="s">
        <v>265</v>
      </c>
      <c r="C154" s="25"/>
      <c r="D154" s="17"/>
      <c r="E154" s="18"/>
      <c r="F154" s="27"/>
      <c r="G154" s="27"/>
      <c r="H154" s="27"/>
      <c r="I154" s="27"/>
      <c r="J154" s="27"/>
      <c r="K154" s="27"/>
      <c r="L154" s="27"/>
      <c r="M154" s="27">
        <v>7.0</v>
      </c>
      <c r="N154" s="27">
        <v>10.0</v>
      </c>
      <c r="O154" s="33">
        <v>4.0</v>
      </c>
      <c r="P154" s="33">
        <v>2.0</v>
      </c>
      <c r="Q154" s="33"/>
      <c r="R154" s="33"/>
      <c r="S154" s="46">
        <v>1.0</v>
      </c>
      <c r="T154" s="34">
        <f t="shared" si="7"/>
        <v>24</v>
      </c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ht="15.75" customHeight="1">
      <c r="A155" s="49" t="s">
        <v>266</v>
      </c>
      <c r="B155" s="35"/>
      <c r="C155" s="16"/>
      <c r="D155" s="17"/>
      <c r="E155" s="18"/>
      <c r="F155" s="14"/>
      <c r="G155" s="14"/>
      <c r="H155" s="52"/>
      <c r="I155" s="14"/>
      <c r="J155" s="14"/>
      <c r="K155" s="14"/>
      <c r="L155" s="14"/>
      <c r="M155" s="14"/>
      <c r="N155" s="14"/>
      <c r="O155" s="35"/>
      <c r="P155" s="35"/>
      <c r="Q155" s="41"/>
      <c r="R155" s="41"/>
      <c r="S155" s="41"/>
      <c r="T155" s="35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</row>
    <row r="156" ht="15.75" customHeight="1">
      <c r="A156" s="15" t="s">
        <v>267</v>
      </c>
      <c r="B156" s="32" t="s">
        <v>265</v>
      </c>
      <c r="C156" s="25"/>
      <c r="D156" s="17"/>
      <c r="E156" s="18"/>
      <c r="F156" s="27"/>
      <c r="G156" s="27"/>
      <c r="H156" s="53"/>
      <c r="I156" s="27"/>
      <c r="J156" s="27"/>
      <c r="K156" s="27"/>
      <c r="L156" s="27"/>
      <c r="M156" s="27"/>
      <c r="N156" s="27"/>
      <c r="O156" s="27"/>
      <c r="P156" s="27"/>
      <c r="Q156" s="46">
        <v>3.0</v>
      </c>
      <c r="R156" s="46">
        <v>2.0</v>
      </c>
      <c r="S156" s="46">
        <v>2.0</v>
      </c>
      <c r="T156" s="34">
        <f>SUM(I156:S156)</f>
        <v>7</v>
      </c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ht="15.75" customHeight="1">
      <c r="A157" s="15" t="s">
        <v>268</v>
      </c>
      <c r="B157" s="35"/>
      <c r="C157" s="30" t="s">
        <v>269</v>
      </c>
      <c r="D157" s="17"/>
      <c r="E157" s="54"/>
      <c r="F157" s="17"/>
      <c r="G157" s="27"/>
      <c r="H157" s="53"/>
      <c r="I157" s="27"/>
      <c r="J157" s="27"/>
      <c r="K157" s="27"/>
      <c r="L157" s="27"/>
      <c r="M157" s="27"/>
      <c r="N157" s="27"/>
      <c r="O157" s="27"/>
      <c r="P157" s="27"/>
      <c r="Q157" s="46"/>
      <c r="R157" s="46"/>
      <c r="S157" s="41"/>
      <c r="T157" s="35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ht="15.75" customHeight="1">
      <c r="A158" s="49" t="s">
        <v>270</v>
      </c>
      <c r="B158" s="37" t="s">
        <v>265</v>
      </c>
      <c r="C158" s="25"/>
      <c r="D158" s="50"/>
      <c r="E158" s="48"/>
      <c r="F158" s="27"/>
      <c r="G158" s="27"/>
      <c r="H158" s="53">
        <v>43870.0</v>
      </c>
      <c r="I158" s="27"/>
      <c r="J158" s="27"/>
      <c r="K158" s="27"/>
      <c r="L158" s="27"/>
      <c r="M158" s="27"/>
      <c r="N158" s="27"/>
      <c r="O158" s="27">
        <v>6.0</v>
      </c>
      <c r="P158" s="27"/>
      <c r="Q158" s="17">
        <v>2.0</v>
      </c>
      <c r="R158" s="27"/>
      <c r="S158" s="27"/>
      <c r="T158" s="14">
        <f t="shared" ref="T158:T248" si="8">SUM(I158:S158)</f>
        <v>8</v>
      </c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ht="15.75" customHeight="1">
      <c r="A159" s="17" t="s">
        <v>271</v>
      </c>
      <c r="B159" s="37" t="s">
        <v>25</v>
      </c>
      <c r="C159" s="25"/>
      <c r="D159" s="17"/>
      <c r="E159" s="18"/>
      <c r="F159" s="27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17">
        <v>2.0</v>
      </c>
      <c r="R159" s="19">
        <v>1.0</v>
      </c>
      <c r="S159" s="19"/>
      <c r="T159" s="14">
        <f t="shared" si="8"/>
        <v>3</v>
      </c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ht="15.75" customHeight="1">
      <c r="A160" s="27" t="s">
        <v>272</v>
      </c>
      <c r="B160" s="17" t="s">
        <v>25</v>
      </c>
      <c r="C160" s="25"/>
      <c r="D160" s="17"/>
      <c r="E160" s="18"/>
      <c r="F160" s="27"/>
      <c r="G160" s="26"/>
      <c r="H160" s="27"/>
      <c r="I160" s="27"/>
      <c r="J160" s="27"/>
      <c r="K160" s="27"/>
      <c r="L160" s="27"/>
      <c r="M160" s="27"/>
      <c r="N160" s="27"/>
      <c r="O160" s="27">
        <v>1.0</v>
      </c>
      <c r="P160" s="27"/>
      <c r="Q160" s="27"/>
      <c r="R160" s="27"/>
      <c r="S160" s="27"/>
      <c r="T160" s="14">
        <f t="shared" si="8"/>
        <v>1</v>
      </c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ht="15.75" customHeight="1">
      <c r="A161" s="14" t="s">
        <v>273</v>
      </c>
      <c r="B161" s="15" t="s">
        <v>133</v>
      </c>
      <c r="C161" s="16"/>
      <c r="D161" s="17"/>
      <c r="E161" s="18"/>
      <c r="F161" s="14"/>
      <c r="G161" s="20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>
        <f t="shared" si="8"/>
        <v>0</v>
      </c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</row>
    <row r="162" ht="15.75" customHeight="1">
      <c r="A162" s="55" t="s">
        <v>274</v>
      </c>
      <c r="B162" s="56" t="s">
        <v>176</v>
      </c>
      <c r="C162" s="57">
        <v>45792.0</v>
      </c>
      <c r="D162" s="56"/>
      <c r="E162" s="18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>
        <v>2.0</v>
      </c>
      <c r="T162" s="58">
        <f t="shared" si="8"/>
        <v>2</v>
      </c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ht="15.75" customHeight="1">
      <c r="A163" s="27" t="s">
        <v>275</v>
      </c>
      <c r="B163" s="37" t="s">
        <v>276</v>
      </c>
      <c r="C163" s="25"/>
      <c r="D163" s="17"/>
      <c r="E163" s="18"/>
      <c r="F163" s="27"/>
      <c r="G163" s="27"/>
      <c r="H163" s="27"/>
      <c r="I163" s="27"/>
      <c r="J163" s="27"/>
      <c r="K163" s="27"/>
      <c r="L163" s="27"/>
      <c r="M163" s="27"/>
      <c r="N163" s="27">
        <v>1.0</v>
      </c>
      <c r="O163" s="27"/>
      <c r="P163" s="27">
        <v>1.0</v>
      </c>
      <c r="Q163" s="27"/>
      <c r="R163" s="27"/>
      <c r="S163" s="27"/>
      <c r="T163" s="14">
        <f t="shared" si="8"/>
        <v>2</v>
      </c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ht="15.75" customHeight="1">
      <c r="A164" s="14" t="s">
        <v>277</v>
      </c>
      <c r="B164" s="15" t="s">
        <v>27</v>
      </c>
      <c r="C164" s="16"/>
      <c r="D164" s="17"/>
      <c r="E164" s="48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1.0</v>
      </c>
      <c r="Q164" s="19">
        <v>1.0</v>
      </c>
      <c r="R164" s="14"/>
      <c r="S164" s="14"/>
      <c r="T164" s="14">
        <f t="shared" si="8"/>
        <v>2</v>
      </c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</row>
    <row r="165" ht="15.75" customHeight="1">
      <c r="A165" s="27" t="s">
        <v>278</v>
      </c>
      <c r="B165" s="37" t="s">
        <v>279</v>
      </c>
      <c r="C165" s="25"/>
      <c r="D165" s="17"/>
      <c r="E165" s="18"/>
      <c r="F165" s="27"/>
      <c r="G165" s="27" t="s">
        <v>40</v>
      </c>
      <c r="H165" s="27" t="s">
        <v>280</v>
      </c>
      <c r="I165" s="27"/>
      <c r="J165" s="27"/>
      <c r="K165" s="27"/>
      <c r="L165" s="27">
        <v>1.0</v>
      </c>
      <c r="M165" s="27"/>
      <c r="N165" s="27"/>
      <c r="O165" s="27"/>
      <c r="P165" s="27"/>
      <c r="Q165" s="27"/>
      <c r="R165" s="27"/>
      <c r="S165" s="27"/>
      <c r="T165" s="14">
        <f t="shared" si="8"/>
        <v>1</v>
      </c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ht="15.75" customHeight="1">
      <c r="A166" s="19" t="s">
        <v>281</v>
      </c>
      <c r="B166" s="15" t="s">
        <v>62</v>
      </c>
      <c r="C166" s="16"/>
      <c r="D166" s="17"/>
      <c r="E166" s="18"/>
      <c r="F166" s="14"/>
      <c r="G166" s="14" t="s">
        <v>40</v>
      </c>
      <c r="H166" s="14" t="s">
        <v>282</v>
      </c>
      <c r="I166" s="14"/>
      <c r="J166" s="14"/>
      <c r="K166" s="14">
        <v>3.0</v>
      </c>
      <c r="L166" s="14"/>
      <c r="M166" s="14"/>
      <c r="N166" s="14"/>
      <c r="O166" s="14"/>
      <c r="P166" s="14"/>
      <c r="Q166" s="14"/>
      <c r="R166" s="14"/>
      <c r="S166" s="19">
        <v>1.0</v>
      </c>
      <c r="T166" s="14">
        <f t="shared" si="8"/>
        <v>4</v>
      </c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</row>
    <row r="167" ht="15.75" customHeight="1">
      <c r="A167" s="27" t="s">
        <v>283</v>
      </c>
      <c r="B167" s="37" t="s">
        <v>279</v>
      </c>
      <c r="C167" s="25"/>
      <c r="D167" s="17"/>
      <c r="E167" s="18"/>
      <c r="F167" s="27"/>
      <c r="G167" s="26"/>
      <c r="H167" s="27"/>
      <c r="I167" s="27"/>
      <c r="J167" s="27">
        <v>1.0</v>
      </c>
      <c r="K167" s="27">
        <v>1.0</v>
      </c>
      <c r="L167" s="27"/>
      <c r="M167" s="27"/>
      <c r="N167" s="27"/>
      <c r="O167" s="27">
        <v>1.0</v>
      </c>
      <c r="P167" s="27"/>
      <c r="Q167" s="27"/>
      <c r="R167" s="27"/>
      <c r="S167" s="17">
        <v>2.0</v>
      </c>
      <c r="T167" s="14">
        <f t="shared" si="8"/>
        <v>5</v>
      </c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ht="15.75" customHeight="1">
      <c r="A168" s="14" t="s">
        <v>284</v>
      </c>
      <c r="B168" s="15" t="s">
        <v>65</v>
      </c>
      <c r="C168" s="16"/>
      <c r="D168" s="17"/>
      <c r="E168" s="18"/>
      <c r="F168" s="14"/>
      <c r="G168" s="20"/>
      <c r="H168" s="14"/>
      <c r="I168" s="14">
        <v>1.0</v>
      </c>
      <c r="J168" s="14">
        <v>1.0</v>
      </c>
      <c r="K168" s="14"/>
      <c r="L168" s="14"/>
      <c r="M168" s="14">
        <v>1.0</v>
      </c>
      <c r="N168" s="14">
        <v>3.0</v>
      </c>
      <c r="O168" s="14"/>
      <c r="P168" s="14">
        <v>1.0</v>
      </c>
      <c r="Q168" s="14"/>
      <c r="R168" s="14"/>
      <c r="S168" s="14"/>
      <c r="T168" s="14">
        <f t="shared" si="8"/>
        <v>7</v>
      </c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</row>
    <row r="169" ht="15.75" customHeight="1">
      <c r="A169" s="27" t="s">
        <v>285</v>
      </c>
      <c r="B169" s="49" t="s">
        <v>286</v>
      </c>
      <c r="C169" s="25"/>
      <c r="D169" s="17"/>
      <c r="E169" s="18"/>
      <c r="F169" s="27"/>
      <c r="G169" s="27"/>
      <c r="H169" s="27"/>
      <c r="I169" s="27"/>
      <c r="J169" s="27"/>
      <c r="K169" s="27"/>
      <c r="L169" s="27"/>
      <c r="M169" s="27">
        <v>1.0</v>
      </c>
      <c r="N169" s="27">
        <v>8.0</v>
      </c>
      <c r="O169" s="27">
        <v>2.0</v>
      </c>
      <c r="P169" s="27"/>
      <c r="Q169" s="27"/>
      <c r="R169" s="17">
        <v>2.0</v>
      </c>
      <c r="S169" s="17"/>
      <c r="T169" s="14">
        <f t="shared" si="8"/>
        <v>13</v>
      </c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ht="15.75" customHeight="1">
      <c r="A170" s="14" t="s">
        <v>287</v>
      </c>
      <c r="B170" s="15" t="s">
        <v>21</v>
      </c>
      <c r="C170" s="16"/>
      <c r="D170" s="17"/>
      <c r="E170" s="18"/>
      <c r="F170" s="14"/>
      <c r="G170" s="14"/>
      <c r="H170" s="14"/>
      <c r="I170" s="14"/>
      <c r="J170" s="14"/>
      <c r="K170" s="14"/>
      <c r="L170" s="14">
        <v>2.0</v>
      </c>
      <c r="M170" s="14">
        <v>4.0</v>
      </c>
      <c r="N170" s="14">
        <v>2.0</v>
      </c>
      <c r="O170" s="14">
        <v>1.0</v>
      </c>
      <c r="P170" s="14">
        <v>1.0</v>
      </c>
      <c r="Q170" s="14"/>
      <c r="R170" s="14"/>
      <c r="S170" s="14"/>
      <c r="T170" s="14">
        <f t="shared" si="8"/>
        <v>10</v>
      </c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</row>
    <row r="171" ht="15.75" customHeight="1">
      <c r="A171" s="27" t="s">
        <v>288</v>
      </c>
      <c r="B171" s="37" t="s">
        <v>62</v>
      </c>
      <c r="C171" s="25"/>
      <c r="D171" s="17"/>
      <c r="E171" s="18"/>
      <c r="F171" s="27"/>
      <c r="G171" s="27"/>
      <c r="H171" s="27"/>
      <c r="I171" s="27"/>
      <c r="J171" s="27"/>
      <c r="K171" s="27"/>
      <c r="L171" s="27">
        <v>2.0</v>
      </c>
      <c r="M171" s="27"/>
      <c r="N171" s="27"/>
      <c r="O171" s="27"/>
      <c r="P171" s="27"/>
      <c r="Q171" s="27"/>
      <c r="R171" s="17">
        <v>1.0</v>
      </c>
      <c r="S171" s="17"/>
      <c r="T171" s="14">
        <f t="shared" si="8"/>
        <v>3</v>
      </c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ht="15.75" customHeight="1">
      <c r="A172" s="19" t="s">
        <v>289</v>
      </c>
      <c r="B172" s="15" t="s">
        <v>107</v>
      </c>
      <c r="C172" s="16"/>
      <c r="D172" s="47"/>
      <c r="E172" s="18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9"/>
      <c r="R172" s="19">
        <v>1.0</v>
      </c>
      <c r="S172" s="19">
        <v>1.0</v>
      </c>
      <c r="T172" s="14">
        <f t="shared" si="8"/>
        <v>2</v>
      </c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</row>
    <row r="173" ht="15.75" customHeight="1">
      <c r="A173" s="14" t="s">
        <v>290</v>
      </c>
      <c r="B173" s="15" t="s">
        <v>291</v>
      </c>
      <c r="C173" s="16"/>
      <c r="D173" s="47"/>
      <c r="E173" s="18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1.0</v>
      </c>
      <c r="Q173" s="19">
        <v>1.0</v>
      </c>
      <c r="R173" s="14"/>
      <c r="S173" s="19">
        <v>1.0</v>
      </c>
      <c r="T173" s="14">
        <f t="shared" si="8"/>
        <v>3</v>
      </c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</row>
    <row r="174" ht="15.75" customHeight="1">
      <c r="A174" s="27" t="s">
        <v>292</v>
      </c>
      <c r="B174" s="37" t="s">
        <v>125</v>
      </c>
      <c r="C174" s="25"/>
      <c r="D174" s="17"/>
      <c r="E174" s="18"/>
      <c r="F174" s="27"/>
      <c r="G174" s="27"/>
      <c r="H174" s="27"/>
      <c r="I174" s="27"/>
      <c r="J174" s="27"/>
      <c r="K174" s="27">
        <v>2.0</v>
      </c>
      <c r="L174" s="27">
        <v>1.0</v>
      </c>
      <c r="M174" s="27">
        <v>1.0</v>
      </c>
      <c r="N174" s="27"/>
      <c r="O174" s="27"/>
      <c r="P174" s="27"/>
      <c r="Q174" s="27"/>
      <c r="R174" s="27"/>
      <c r="S174" s="27"/>
      <c r="T174" s="14">
        <f t="shared" si="8"/>
        <v>4</v>
      </c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ht="15.75" customHeight="1">
      <c r="A175" s="19" t="s">
        <v>293</v>
      </c>
      <c r="B175" s="15" t="s">
        <v>90</v>
      </c>
      <c r="C175" s="16"/>
      <c r="D175" s="17"/>
      <c r="E175" s="18"/>
      <c r="F175" s="14"/>
      <c r="G175" s="20"/>
      <c r="H175" s="14"/>
      <c r="I175" s="14"/>
      <c r="J175" s="14">
        <v>2.0</v>
      </c>
      <c r="K175" s="14">
        <v>1.0</v>
      </c>
      <c r="L175" s="14">
        <v>1.0</v>
      </c>
      <c r="M175" s="14"/>
      <c r="N175" s="14">
        <v>3.0</v>
      </c>
      <c r="O175" s="14"/>
      <c r="P175" s="14"/>
      <c r="Q175" s="14"/>
      <c r="R175" s="14"/>
      <c r="S175" s="14"/>
      <c r="T175" s="14">
        <f t="shared" si="8"/>
        <v>7</v>
      </c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</row>
    <row r="176" ht="15.75" customHeight="1">
      <c r="A176" s="17" t="s">
        <v>294</v>
      </c>
      <c r="B176" s="49" t="s">
        <v>295</v>
      </c>
      <c r="C176" s="25"/>
      <c r="D176" s="17"/>
      <c r="E176" s="18"/>
      <c r="F176" s="27"/>
      <c r="G176" s="27" t="s">
        <v>40</v>
      </c>
      <c r="H176" s="27" t="s">
        <v>296</v>
      </c>
      <c r="I176" s="27"/>
      <c r="J176" s="27">
        <v>5.0</v>
      </c>
      <c r="K176" s="27"/>
      <c r="L176" s="27"/>
      <c r="M176" s="27">
        <v>1.0</v>
      </c>
      <c r="N176" s="27"/>
      <c r="O176" s="27"/>
      <c r="P176" s="27"/>
      <c r="Q176" s="27"/>
      <c r="R176" s="27"/>
      <c r="S176" s="27"/>
      <c r="T176" s="14">
        <f t="shared" si="8"/>
        <v>6</v>
      </c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ht="15.75" customHeight="1">
      <c r="A177" s="14" t="s">
        <v>297</v>
      </c>
      <c r="B177" s="15" t="s">
        <v>238</v>
      </c>
      <c r="C177" s="16"/>
      <c r="D177" s="17"/>
      <c r="E177" s="18"/>
      <c r="F177" s="14"/>
      <c r="G177" s="14" t="s">
        <v>40</v>
      </c>
      <c r="H177" s="14" t="s">
        <v>126</v>
      </c>
      <c r="I177" s="14"/>
      <c r="J177" s="14"/>
      <c r="K177" s="14"/>
      <c r="L177" s="14">
        <v>2.0</v>
      </c>
      <c r="M177" s="14"/>
      <c r="N177" s="14">
        <v>1.0</v>
      </c>
      <c r="O177" s="14"/>
      <c r="P177" s="14"/>
      <c r="Q177" s="14"/>
      <c r="R177" s="14"/>
      <c r="S177" s="14"/>
      <c r="T177" s="14">
        <f t="shared" si="8"/>
        <v>3</v>
      </c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</row>
    <row r="178" ht="15.75" customHeight="1">
      <c r="A178" s="27" t="s">
        <v>298</v>
      </c>
      <c r="B178" s="37" t="s">
        <v>238</v>
      </c>
      <c r="C178" s="25"/>
      <c r="D178" s="17"/>
      <c r="E178" s="18"/>
      <c r="F178" s="27"/>
      <c r="G178" s="27"/>
      <c r="H178" s="27"/>
      <c r="I178" s="27"/>
      <c r="J178" s="27"/>
      <c r="K178" s="27"/>
      <c r="L178" s="27"/>
      <c r="M178" s="27"/>
      <c r="N178" s="27">
        <v>1.0</v>
      </c>
      <c r="O178" s="27"/>
      <c r="P178" s="27"/>
      <c r="Q178" s="27"/>
      <c r="R178" s="27"/>
      <c r="S178" s="27"/>
      <c r="T178" s="14">
        <f t="shared" si="8"/>
        <v>1</v>
      </c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ht="15.75" customHeight="1">
      <c r="A179" s="14" t="s">
        <v>299</v>
      </c>
      <c r="B179" s="15" t="s">
        <v>65</v>
      </c>
      <c r="C179" s="16"/>
      <c r="D179" s="17"/>
      <c r="E179" s="18"/>
      <c r="F179" s="14"/>
      <c r="G179" s="14"/>
      <c r="H179" s="14"/>
      <c r="I179" s="14"/>
      <c r="J179" s="14">
        <v>3.0</v>
      </c>
      <c r="K179" s="14">
        <v>1.0</v>
      </c>
      <c r="L179" s="14"/>
      <c r="M179" s="14">
        <v>1.0</v>
      </c>
      <c r="N179" s="14">
        <v>3.0</v>
      </c>
      <c r="O179" s="14">
        <v>2.0</v>
      </c>
      <c r="P179" s="14"/>
      <c r="Q179" s="14"/>
      <c r="R179" s="14"/>
      <c r="S179" s="14"/>
      <c r="T179" s="14">
        <f t="shared" si="8"/>
        <v>10</v>
      </c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</row>
    <row r="180" ht="15.75" customHeight="1">
      <c r="A180" s="27" t="s">
        <v>300</v>
      </c>
      <c r="B180" s="49" t="s">
        <v>62</v>
      </c>
      <c r="C180" s="25"/>
      <c r="D180" s="17"/>
      <c r="E180" s="18"/>
      <c r="F180" s="27"/>
      <c r="G180" s="27" t="s">
        <v>40</v>
      </c>
      <c r="H180" s="27"/>
      <c r="I180" s="27">
        <v>1.0</v>
      </c>
      <c r="J180" s="27">
        <v>2.0</v>
      </c>
      <c r="K180" s="27"/>
      <c r="L180" s="27"/>
      <c r="M180" s="27"/>
      <c r="N180" s="27"/>
      <c r="O180" s="27"/>
      <c r="P180" s="27"/>
      <c r="Q180" s="27"/>
      <c r="R180" s="27"/>
      <c r="S180" s="27"/>
      <c r="T180" s="14">
        <f t="shared" si="8"/>
        <v>3</v>
      </c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ht="15.75" customHeight="1">
      <c r="A181" s="14" t="s">
        <v>301</v>
      </c>
      <c r="B181" s="15" t="s">
        <v>34</v>
      </c>
      <c r="C181" s="16"/>
      <c r="D181" s="50"/>
      <c r="E181" s="48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9">
        <v>1.0</v>
      </c>
      <c r="R181" s="14"/>
      <c r="S181" s="14"/>
      <c r="T181" s="14">
        <f t="shared" si="8"/>
        <v>1</v>
      </c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</row>
    <row r="182" ht="15.75" customHeight="1">
      <c r="A182" s="23" t="s">
        <v>302</v>
      </c>
      <c r="B182" s="37" t="s">
        <v>22</v>
      </c>
      <c r="C182" s="25"/>
      <c r="D182" s="17"/>
      <c r="E182" s="18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14">
        <f t="shared" si="8"/>
        <v>0</v>
      </c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ht="15.75" customHeight="1">
      <c r="A183" s="14" t="s">
        <v>303</v>
      </c>
      <c r="B183" s="15" t="s">
        <v>29</v>
      </c>
      <c r="C183" s="16"/>
      <c r="D183" s="17"/>
      <c r="E183" s="18"/>
      <c r="F183" s="14"/>
      <c r="G183" s="14"/>
      <c r="H183" s="14"/>
      <c r="I183" s="14"/>
      <c r="J183" s="14"/>
      <c r="K183" s="14"/>
      <c r="L183" s="14"/>
      <c r="M183" s="14"/>
      <c r="N183" s="14">
        <v>1.0</v>
      </c>
      <c r="O183" s="14">
        <v>1.0</v>
      </c>
      <c r="P183" s="14"/>
      <c r="Q183" s="14"/>
      <c r="R183" s="14"/>
      <c r="S183" s="19">
        <v>1.0</v>
      </c>
      <c r="T183" s="14">
        <f t="shared" si="8"/>
        <v>3</v>
      </c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</row>
    <row r="184" ht="15.75" customHeight="1">
      <c r="A184" s="27" t="s">
        <v>304</v>
      </c>
      <c r="B184" s="17" t="s">
        <v>51</v>
      </c>
      <c r="C184" s="59"/>
      <c r="D184" s="17"/>
      <c r="E184" s="18"/>
      <c r="F184" s="27"/>
      <c r="G184" s="27"/>
      <c r="H184" s="27"/>
      <c r="I184" s="27"/>
      <c r="J184" s="27"/>
      <c r="K184" s="27"/>
      <c r="L184" s="27"/>
      <c r="M184" s="27"/>
      <c r="N184" s="27"/>
      <c r="O184" s="27">
        <v>1.0</v>
      </c>
      <c r="P184" s="27"/>
      <c r="Q184" s="27"/>
      <c r="R184" s="27"/>
      <c r="S184" s="27"/>
      <c r="T184" s="14">
        <f t="shared" si="8"/>
        <v>1</v>
      </c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ht="15.75" customHeight="1">
      <c r="A185" s="14" t="s">
        <v>305</v>
      </c>
      <c r="B185" s="45" t="s">
        <v>21</v>
      </c>
      <c r="C185" s="60"/>
      <c r="D185" s="17"/>
      <c r="E185" s="18"/>
      <c r="F185" s="14"/>
      <c r="G185" s="14"/>
      <c r="H185" s="14"/>
      <c r="I185" s="14"/>
      <c r="J185" s="14"/>
      <c r="K185" s="14"/>
      <c r="L185" s="14">
        <v>2.0</v>
      </c>
      <c r="M185" s="14"/>
      <c r="N185" s="14"/>
      <c r="O185" s="14"/>
      <c r="P185" s="14"/>
      <c r="Q185" s="14"/>
      <c r="R185" s="14"/>
      <c r="S185" s="14"/>
      <c r="T185" s="14">
        <f t="shared" si="8"/>
        <v>2</v>
      </c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</row>
    <row r="186" ht="15.75" customHeight="1">
      <c r="A186" s="27" t="s">
        <v>306</v>
      </c>
      <c r="B186" s="37" t="s">
        <v>85</v>
      </c>
      <c r="C186" s="59"/>
      <c r="D186" s="17"/>
      <c r="E186" s="18"/>
      <c r="F186" s="49"/>
      <c r="G186" s="27"/>
      <c r="H186" s="27"/>
      <c r="I186" s="27"/>
      <c r="J186" s="27"/>
      <c r="K186" s="27"/>
      <c r="L186" s="27"/>
      <c r="M186" s="27">
        <v>2.0</v>
      </c>
      <c r="N186" s="27">
        <v>1.0</v>
      </c>
      <c r="O186" s="27">
        <v>1.0</v>
      </c>
      <c r="P186" s="27"/>
      <c r="Q186" s="27"/>
      <c r="R186" s="27"/>
      <c r="S186" s="27"/>
      <c r="T186" s="14">
        <f t="shared" si="8"/>
        <v>4</v>
      </c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ht="15.75" customHeight="1">
      <c r="A187" s="45" t="s">
        <v>307</v>
      </c>
      <c r="B187" s="15" t="s">
        <v>49</v>
      </c>
      <c r="C187" s="60"/>
      <c r="D187" s="17"/>
      <c r="E187" s="18"/>
      <c r="F187" s="45"/>
      <c r="G187" s="14"/>
      <c r="H187" s="14"/>
      <c r="I187" s="14"/>
      <c r="J187" s="14"/>
      <c r="K187" s="14"/>
      <c r="L187" s="14"/>
      <c r="M187" s="14">
        <v>1.0</v>
      </c>
      <c r="N187" s="14"/>
      <c r="O187" s="14">
        <v>2.0</v>
      </c>
      <c r="P187" s="14"/>
      <c r="Q187" s="19">
        <v>2.0</v>
      </c>
      <c r="R187" s="14"/>
      <c r="S187" s="14"/>
      <c r="T187" s="14">
        <f t="shared" si="8"/>
        <v>5</v>
      </c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</row>
    <row r="188" ht="15.75" customHeight="1">
      <c r="A188" s="15" t="s">
        <v>308</v>
      </c>
      <c r="B188" s="15" t="s">
        <v>73</v>
      </c>
      <c r="C188" s="61" t="s">
        <v>309</v>
      </c>
      <c r="D188" s="17"/>
      <c r="E188" s="18"/>
      <c r="F188" s="15" t="s">
        <v>74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9"/>
      <c r="R188" s="14"/>
      <c r="S188" s="14"/>
      <c r="T188" s="14">
        <f t="shared" si="8"/>
        <v>0</v>
      </c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</row>
    <row r="189" ht="15.75" customHeight="1">
      <c r="A189" s="19" t="s">
        <v>310</v>
      </c>
      <c r="B189" s="15" t="s">
        <v>311</v>
      </c>
      <c r="C189" s="60"/>
      <c r="D189" s="17"/>
      <c r="E189" s="18"/>
      <c r="F189" s="4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9">
        <v>1.0</v>
      </c>
      <c r="S189" s="19"/>
      <c r="T189" s="14">
        <f t="shared" si="8"/>
        <v>1</v>
      </c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</row>
    <row r="190" ht="15.75" customHeight="1">
      <c r="A190" s="14" t="s">
        <v>312</v>
      </c>
      <c r="B190" s="15" t="s">
        <v>62</v>
      </c>
      <c r="C190" s="60"/>
      <c r="D190" s="17"/>
      <c r="E190" s="18"/>
      <c r="F190" s="45"/>
      <c r="G190" s="14"/>
      <c r="H190" s="14"/>
      <c r="I190" s="14"/>
      <c r="J190" s="14"/>
      <c r="K190" s="14">
        <v>2.0</v>
      </c>
      <c r="L190" s="14"/>
      <c r="M190" s="14"/>
      <c r="N190" s="14">
        <v>1.0</v>
      </c>
      <c r="O190" s="14"/>
      <c r="P190" s="14">
        <v>1.0</v>
      </c>
      <c r="Q190" s="14"/>
      <c r="R190" s="14"/>
      <c r="S190" s="14"/>
      <c r="T190" s="14">
        <f t="shared" si="8"/>
        <v>4</v>
      </c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</row>
    <row r="191" ht="15.75" customHeight="1">
      <c r="A191" s="27" t="s">
        <v>313</v>
      </c>
      <c r="B191" s="37" t="s">
        <v>85</v>
      </c>
      <c r="C191" s="25"/>
      <c r="D191" s="17"/>
      <c r="E191" s="18"/>
      <c r="F191" s="27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17">
        <v>1.0</v>
      </c>
      <c r="S191" s="17"/>
      <c r="T191" s="14">
        <f t="shared" si="8"/>
        <v>1</v>
      </c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ht="15.75" customHeight="1">
      <c r="A192" s="14" t="s">
        <v>314</v>
      </c>
      <c r="B192" s="45" t="s">
        <v>38</v>
      </c>
      <c r="C192" s="16"/>
      <c r="D192" s="17"/>
      <c r="E192" s="18"/>
      <c r="F192" s="14"/>
      <c r="G192" s="20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>
        <f t="shared" si="8"/>
        <v>0</v>
      </c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</row>
    <row r="193" ht="15.75" customHeight="1">
      <c r="A193" s="27" t="s">
        <v>315</v>
      </c>
      <c r="B193" s="49" t="s">
        <v>38</v>
      </c>
      <c r="C193" s="25"/>
      <c r="D193" s="17"/>
      <c r="E193" s="18"/>
      <c r="F193" s="27"/>
      <c r="G193" s="26"/>
      <c r="H193" s="27"/>
      <c r="I193" s="27"/>
      <c r="J193" s="27"/>
      <c r="K193" s="27"/>
      <c r="L193" s="27"/>
      <c r="M193" s="27"/>
      <c r="N193" s="27"/>
      <c r="O193" s="27"/>
      <c r="P193" s="27">
        <v>2.0</v>
      </c>
      <c r="Q193" s="27"/>
      <c r="R193" s="27"/>
      <c r="S193" s="27"/>
      <c r="T193" s="14">
        <f t="shared" si="8"/>
        <v>2</v>
      </c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ht="15.75" customHeight="1">
      <c r="A194" s="19" t="s">
        <v>316</v>
      </c>
      <c r="B194" s="15" t="s">
        <v>21</v>
      </c>
      <c r="C194" s="63" t="s">
        <v>317</v>
      </c>
      <c r="D194" s="17"/>
      <c r="E194" s="18"/>
      <c r="F194" s="19"/>
      <c r="G194" s="20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>
        <f t="shared" si="8"/>
        <v>0</v>
      </c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</row>
    <row r="195" ht="15.75" customHeight="1">
      <c r="A195" s="14" t="s">
        <v>318</v>
      </c>
      <c r="B195" s="15" t="s">
        <v>238</v>
      </c>
      <c r="C195" s="16"/>
      <c r="D195" s="17"/>
      <c r="E195" s="18"/>
      <c r="F195" s="14"/>
      <c r="G195" s="20"/>
      <c r="H195" s="14"/>
      <c r="I195" s="14"/>
      <c r="J195" s="14">
        <v>1.0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>
        <f t="shared" si="8"/>
        <v>1</v>
      </c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</row>
    <row r="196" ht="15.75" customHeight="1">
      <c r="A196" s="17" t="s">
        <v>319</v>
      </c>
      <c r="B196" s="37" t="s">
        <v>320</v>
      </c>
      <c r="C196" s="30" t="s">
        <v>321</v>
      </c>
      <c r="D196" s="17"/>
      <c r="E196" s="18"/>
      <c r="F196" s="17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17">
        <v>2.0</v>
      </c>
      <c r="T196" s="14">
        <f t="shared" si="8"/>
        <v>2</v>
      </c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ht="15.75" customHeight="1">
      <c r="A197" s="27" t="s">
        <v>322</v>
      </c>
      <c r="B197" s="49" t="s">
        <v>323</v>
      </c>
      <c r="C197" s="25"/>
      <c r="D197" s="17"/>
      <c r="E197" s="18"/>
      <c r="F197" s="51"/>
      <c r="G197" s="26"/>
      <c r="H197" s="27"/>
      <c r="I197" s="27"/>
      <c r="J197" s="27"/>
      <c r="K197" s="27">
        <v>4.0</v>
      </c>
      <c r="L197" s="27">
        <v>3.0</v>
      </c>
      <c r="M197" s="27">
        <v>2.0</v>
      </c>
      <c r="N197" s="27">
        <v>2.0</v>
      </c>
      <c r="O197" s="27">
        <v>1.0</v>
      </c>
      <c r="P197" s="27"/>
      <c r="Q197" s="27"/>
      <c r="R197" s="27"/>
      <c r="S197" s="27"/>
      <c r="T197" s="14">
        <f t="shared" si="8"/>
        <v>12</v>
      </c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ht="15.75" customHeight="1">
      <c r="A198" s="14" t="s">
        <v>324</v>
      </c>
      <c r="B198" s="15" t="s">
        <v>25</v>
      </c>
      <c r="C198" s="16"/>
      <c r="D198" s="17"/>
      <c r="E198" s="18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>
        <f t="shared" si="8"/>
        <v>0</v>
      </c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</row>
    <row r="199" ht="15.75" customHeight="1">
      <c r="A199" s="27" t="s">
        <v>325</v>
      </c>
      <c r="B199" s="37" t="s">
        <v>68</v>
      </c>
      <c r="C199" s="25"/>
      <c r="D199" s="17"/>
      <c r="E199" s="18"/>
      <c r="F199" s="27"/>
      <c r="G199" s="27"/>
      <c r="H199" s="27"/>
      <c r="I199" s="27"/>
      <c r="J199" s="27"/>
      <c r="K199" s="27"/>
      <c r="L199" s="27"/>
      <c r="M199" s="27"/>
      <c r="N199" s="27">
        <v>2.0</v>
      </c>
      <c r="O199" s="27"/>
      <c r="P199" s="27"/>
      <c r="Q199" s="27"/>
      <c r="R199" s="27"/>
      <c r="S199" s="27"/>
      <c r="T199" s="14">
        <f t="shared" si="8"/>
        <v>2</v>
      </c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ht="15.75" customHeight="1">
      <c r="A200" s="14" t="s">
        <v>326</v>
      </c>
      <c r="B200" s="45" t="s">
        <v>70</v>
      </c>
      <c r="C200" s="16"/>
      <c r="D200" s="17"/>
      <c r="E200" s="18"/>
      <c r="F200" s="14"/>
      <c r="G200" s="14" t="s">
        <v>40</v>
      </c>
      <c r="H200" s="14"/>
      <c r="I200" s="14"/>
      <c r="J200" s="14"/>
      <c r="K200" s="14"/>
      <c r="L200" s="14">
        <v>1.0</v>
      </c>
      <c r="M200" s="14"/>
      <c r="N200" s="14">
        <v>1.0</v>
      </c>
      <c r="O200" s="14"/>
      <c r="P200" s="14">
        <v>1.0</v>
      </c>
      <c r="Q200" s="14"/>
      <c r="R200" s="14"/>
      <c r="S200" s="14"/>
      <c r="T200" s="14">
        <f t="shared" si="8"/>
        <v>3</v>
      </c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</row>
    <row r="201" ht="15.75" customHeight="1">
      <c r="A201" s="17" t="s">
        <v>327</v>
      </c>
      <c r="B201" s="37" t="s">
        <v>234</v>
      </c>
      <c r="C201" s="25"/>
      <c r="D201" s="17"/>
      <c r="E201" s="18"/>
      <c r="F201" s="27"/>
      <c r="G201" s="26"/>
      <c r="H201" s="27"/>
      <c r="I201" s="27"/>
      <c r="J201" s="27">
        <v>1.0</v>
      </c>
      <c r="K201" s="27"/>
      <c r="L201" s="27">
        <v>1.0</v>
      </c>
      <c r="M201" s="27"/>
      <c r="N201" s="27">
        <v>2.0</v>
      </c>
      <c r="O201" s="27">
        <v>1.0</v>
      </c>
      <c r="P201" s="27">
        <v>1.0</v>
      </c>
      <c r="Q201" s="27"/>
      <c r="R201" s="27"/>
      <c r="S201" s="27"/>
      <c r="T201" s="14">
        <f t="shared" si="8"/>
        <v>6</v>
      </c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ht="15.75" customHeight="1">
      <c r="A202" s="14" t="s">
        <v>328</v>
      </c>
      <c r="B202" s="15" t="s">
        <v>136</v>
      </c>
      <c r="C202" s="16"/>
      <c r="D202" s="17"/>
      <c r="E202" s="18"/>
      <c r="F202" s="14"/>
      <c r="G202" s="20"/>
      <c r="H202" s="14"/>
      <c r="I202" s="14"/>
      <c r="J202" s="14">
        <v>1.0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>
        <f t="shared" si="8"/>
        <v>1</v>
      </c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</row>
    <row r="203" ht="15.75" customHeight="1">
      <c r="A203" s="17" t="s">
        <v>329</v>
      </c>
      <c r="B203" s="37" t="s">
        <v>136</v>
      </c>
      <c r="C203" s="25"/>
      <c r="D203" s="17"/>
      <c r="E203" s="18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>
        <v>1.0</v>
      </c>
      <c r="Q203" s="27"/>
      <c r="R203" s="27"/>
      <c r="S203" s="27"/>
      <c r="T203" s="14">
        <f t="shared" si="8"/>
        <v>1</v>
      </c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ht="15.75" customHeight="1">
      <c r="A204" s="14" t="s">
        <v>330</v>
      </c>
      <c r="B204" s="19" t="s">
        <v>155</v>
      </c>
      <c r="C204" s="16"/>
      <c r="D204" s="17"/>
      <c r="E204" s="18"/>
      <c r="F204" s="14"/>
      <c r="G204" s="14"/>
      <c r="H204" s="14"/>
      <c r="I204" s="14"/>
      <c r="J204" s="14"/>
      <c r="K204" s="14"/>
      <c r="L204" s="14"/>
      <c r="M204" s="14"/>
      <c r="N204" s="14">
        <v>1.0</v>
      </c>
      <c r="O204" s="14"/>
      <c r="P204" s="14"/>
      <c r="Q204" s="14"/>
      <c r="R204" s="14"/>
      <c r="S204" s="14"/>
      <c r="T204" s="14">
        <f t="shared" si="8"/>
        <v>1</v>
      </c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</row>
    <row r="205" ht="15.75" customHeight="1">
      <c r="A205" s="23" t="s">
        <v>331</v>
      </c>
      <c r="B205" s="17" t="s">
        <v>22</v>
      </c>
      <c r="C205" s="25"/>
      <c r="D205" s="17"/>
      <c r="E205" s="18"/>
      <c r="F205" s="27"/>
      <c r="G205" s="27"/>
      <c r="H205" s="27"/>
      <c r="I205" s="27"/>
      <c r="J205" s="27"/>
      <c r="K205" s="27"/>
      <c r="L205" s="27"/>
      <c r="M205" s="27"/>
      <c r="N205" s="27">
        <v>3.0</v>
      </c>
      <c r="O205" s="27"/>
      <c r="P205" s="27"/>
      <c r="Q205" s="27"/>
      <c r="R205" s="27"/>
      <c r="S205" s="27"/>
      <c r="T205" s="14">
        <f t="shared" si="8"/>
        <v>3</v>
      </c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ht="15.75" customHeight="1">
      <c r="A206" s="14" t="s">
        <v>332</v>
      </c>
      <c r="B206" s="19" t="s">
        <v>107</v>
      </c>
      <c r="C206" s="16"/>
      <c r="D206" s="17"/>
      <c r="E206" s="18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>
        <f t="shared" si="8"/>
        <v>0</v>
      </c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</row>
    <row r="207" ht="15.75" customHeight="1">
      <c r="A207" s="19" t="s">
        <v>333</v>
      </c>
      <c r="B207" s="19" t="s">
        <v>73</v>
      </c>
      <c r="C207" s="24" t="s">
        <v>32</v>
      </c>
      <c r="D207" s="17"/>
      <c r="E207" s="54"/>
      <c r="F207" s="19" t="s">
        <v>74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>
        <f t="shared" si="8"/>
        <v>0</v>
      </c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</row>
    <row r="208" ht="15.75" customHeight="1">
      <c r="A208" s="19" t="s">
        <v>334</v>
      </c>
      <c r="B208" s="19" t="s">
        <v>21</v>
      </c>
      <c r="C208" s="24" t="s">
        <v>335</v>
      </c>
      <c r="D208" s="17"/>
      <c r="E208" s="54"/>
      <c r="F208" s="19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9">
        <v>1.0</v>
      </c>
      <c r="T208" s="58">
        <f t="shared" si="8"/>
        <v>1</v>
      </c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</row>
    <row r="209" ht="15.75" customHeight="1">
      <c r="A209" s="58" t="s">
        <v>336</v>
      </c>
      <c r="B209" s="55" t="s">
        <v>107</v>
      </c>
      <c r="C209" s="64" t="s">
        <v>335</v>
      </c>
      <c r="D209" s="55"/>
      <c r="E209" s="65"/>
      <c r="F209" s="55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5"/>
      <c r="R209" s="55"/>
      <c r="S209" s="55">
        <v>1.0</v>
      </c>
      <c r="T209" s="58">
        <f t="shared" si="8"/>
        <v>1</v>
      </c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ht="15.75" customHeight="1">
      <c r="A210" s="17" t="s">
        <v>337</v>
      </c>
      <c r="B210" s="17" t="s">
        <v>338</v>
      </c>
      <c r="C210" s="25"/>
      <c r="D210" s="17"/>
      <c r="E210" s="48"/>
      <c r="F210" s="27"/>
      <c r="G210" s="27"/>
      <c r="H210" s="27"/>
      <c r="I210" s="27"/>
      <c r="J210" s="27"/>
      <c r="K210" s="27"/>
      <c r="L210" s="27"/>
      <c r="M210" s="27"/>
      <c r="N210" s="27"/>
      <c r="O210" s="27">
        <v>2.0</v>
      </c>
      <c r="P210" s="27">
        <v>2.0</v>
      </c>
      <c r="Q210" s="17">
        <v>1.0</v>
      </c>
      <c r="R210" s="17">
        <v>1.0</v>
      </c>
      <c r="S210" s="17">
        <v>1.0</v>
      </c>
      <c r="T210" s="14">
        <f t="shared" si="8"/>
        <v>7</v>
      </c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ht="15.75" customHeight="1">
      <c r="A211" s="19" t="s">
        <v>339</v>
      </c>
      <c r="B211" s="15" t="s">
        <v>90</v>
      </c>
      <c r="C211" s="16"/>
      <c r="D211" s="17"/>
      <c r="E211" s="18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>
        <f t="shared" si="8"/>
        <v>0</v>
      </c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</row>
    <row r="212" ht="15.75" customHeight="1">
      <c r="A212" s="19" t="s">
        <v>340</v>
      </c>
      <c r="B212" s="15" t="s">
        <v>214</v>
      </c>
      <c r="C212" s="16"/>
      <c r="D212" s="17"/>
      <c r="E212" s="18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9">
        <v>1.0</v>
      </c>
      <c r="R212" s="14"/>
      <c r="S212" s="14"/>
      <c r="T212" s="14">
        <f t="shared" si="8"/>
        <v>1</v>
      </c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</row>
    <row r="213" ht="15.75" customHeight="1">
      <c r="A213" s="14" t="s">
        <v>341</v>
      </c>
      <c r="B213" s="19" t="s">
        <v>198</v>
      </c>
      <c r="C213" s="16"/>
      <c r="D213" s="17"/>
      <c r="E213" s="18"/>
      <c r="F213" s="14"/>
      <c r="G213" s="14"/>
      <c r="H213" s="14"/>
      <c r="I213" s="14"/>
      <c r="J213" s="14"/>
      <c r="K213" s="14"/>
      <c r="L213" s="14"/>
      <c r="M213" s="14"/>
      <c r="N213" s="14"/>
      <c r="O213" s="14">
        <v>1.0</v>
      </c>
      <c r="P213" s="14">
        <v>1.0</v>
      </c>
      <c r="Q213" s="14"/>
      <c r="R213" s="14"/>
      <c r="S213" s="14"/>
      <c r="T213" s="14">
        <f t="shared" si="8"/>
        <v>2</v>
      </c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</row>
    <row r="214" ht="15.75" customHeight="1">
      <c r="A214" s="19" t="s">
        <v>342</v>
      </c>
      <c r="B214" s="19" t="s">
        <v>51</v>
      </c>
      <c r="C214" s="24" t="s">
        <v>343</v>
      </c>
      <c r="D214" s="17"/>
      <c r="E214" s="18"/>
      <c r="F214" s="19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>
        <f t="shared" si="8"/>
        <v>0</v>
      </c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</row>
    <row r="215" ht="15.75" customHeight="1">
      <c r="A215" s="17" t="s">
        <v>344</v>
      </c>
      <c r="B215" s="17" t="s">
        <v>49</v>
      </c>
      <c r="C215" s="25"/>
      <c r="D215" s="17"/>
      <c r="E215" s="18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17">
        <v>1.0</v>
      </c>
      <c r="R215" s="19">
        <v>1.0</v>
      </c>
      <c r="S215" s="19"/>
      <c r="T215" s="14">
        <f t="shared" si="8"/>
        <v>2</v>
      </c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ht="15.75" customHeight="1">
      <c r="A216" s="17" t="s">
        <v>345</v>
      </c>
      <c r="B216" s="17" t="s">
        <v>51</v>
      </c>
      <c r="C216" s="25"/>
      <c r="D216" s="17"/>
      <c r="E216" s="18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14"/>
      <c r="S216" s="14"/>
      <c r="T216" s="14">
        <f t="shared" si="8"/>
        <v>0</v>
      </c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ht="15.75" customHeight="1">
      <c r="A217" s="27" t="s">
        <v>346</v>
      </c>
      <c r="B217" s="17" t="s">
        <v>347</v>
      </c>
      <c r="C217" s="25"/>
      <c r="D217" s="17"/>
      <c r="E217" s="18"/>
      <c r="F217" s="27"/>
      <c r="G217" s="27"/>
      <c r="H217" s="27"/>
      <c r="I217" s="27"/>
      <c r="J217" s="27"/>
      <c r="K217" s="27"/>
      <c r="L217" s="27"/>
      <c r="M217" s="27">
        <v>6.0</v>
      </c>
      <c r="N217" s="27">
        <v>2.0</v>
      </c>
      <c r="O217" s="27">
        <v>3.0</v>
      </c>
      <c r="P217" s="27">
        <v>1.0</v>
      </c>
      <c r="Q217" s="27"/>
      <c r="R217" s="27"/>
      <c r="S217" s="27"/>
      <c r="T217" s="14">
        <f t="shared" si="8"/>
        <v>12</v>
      </c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ht="15.75" customHeight="1">
      <c r="A218" s="66" t="s">
        <v>348</v>
      </c>
      <c r="B218" s="19" t="s">
        <v>291</v>
      </c>
      <c r="C218" s="16"/>
      <c r="D218" s="17"/>
      <c r="E218" s="18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1.0</v>
      </c>
      <c r="Q218" s="14"/>
      <c r="R218" s="19">
        <v>1.0</v>
      </c>
      <c r="S218" s="19"/>
      <c r="T218" s="14">
        <f t="shared" si="8"/>
        <v>2</v>
      </c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</row>
    <row r="219" ht="15.75" customHeight="1">
      <c r="A219" s="27" t="s">
        <v>349</v>
      </c>
      <c r="B219" s="17" t="s">
        <v>62</v>
      </c>
      <c r="C219" s="25"/>
      <c r="D219" s="17"/>
      <c r="E219" s="18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14">
        <f t="shared" si="8"/>
        <v>0</v>
      </c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ht="15.75" customHeight="1">
      <c r="A220" s="19" t="s">
        <v>350</v>
      </c>
      <c r="B220" s="19" t="s">
        <v>21</v>
      </c>
      <c r="C220" s="16"/>
      <c r="D220" s="17"/>
      <c r="E220" s="18"/>
      <c r="F220" s="67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9">
        <v>1.0</v>
      </c>
      <c r="R220" s="27"/>
      <c r="S220" s="17">
        <v>4.0</v>
      </c>
      <c r="T220" s="14">
        <f t="shared" si="8"/>
        <v>5</v>
      </c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</row>
    <row r="221" ht="15.75" customHeight="1">
      <c r="A221" s="14" t="s">
        <v>351</v>
      </c>
      <c r="B221" s="19" t="s">
        <v>276</v>
      </c>
      <c r="C221" s="16"/>
      <c r="D221" s="17"/>
      <c r="E221" s="18"/>
      <c r="F221" s="67"/>
      <c r="G221" s="14" t="s">
        <v>40</v>
      </c>
      <c r="H221" s="14" t="s">
        <v>352</v>
      </c>
      <c r="I221" s="14"/>
      <c r="J221" s="14">
        <v>6.0</v>
      </c>
      <c r="K221" s="14">
        <v>1.0</v>
      </c>
      <c r="L221" s="14">
        <v>5.0</v>
      </c>
      <c r="M221" s="14">
        <v>3.0</v>
      </c>
      <c r="N221" s="14">
        <v>5.0</v>
      </c>
      <c r="O221" s="14">
        <v>2.0</v>
      </c>
      <c r="P221" s="14"/>
      <c r="Q221" s="14"/>
      <c r="R221" s="19">
        <v>1.0</v>
      </c>
      <c r="S221" s="19"/>
      <c r="T221" s="14">
        <f t="shared" si="8"/>
        <v>23</v>
      </c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</row>
    <row r="222" ht="15.75" customHeight="1">
      <c r="A222" s="27" t="s">
        <v>353</v>
      </c>
      <c r="B222" s="17" t="s">
        <v>276</v>
      </c>
      <c r="C222" s="25"/>
      <c r="D222" s="17"/>
      <c r="E222" s="18"/>
      <c r="F222" s="51"/>
      <c r="G222" s="27"/>
      <c r="H222" s="27"/>
      <c r="I222" s="27"/>
      <c r="J222" s="27"/>
      <c r="K222" s="27"/>
      <c r="L222" s="27">
        <v>5.0</v>
      </c>
      <c r="M222" s="27"/>
      <c r="N222" s="27">
        <v>1.0</v>
      </c>
      <c r="O222" s="27">
        <v>1.0</v>
      </c>
      <c r="P222" s="27">
        <v>1.0</v>
      </c>
      <c r="Q222" s="27"/>
      <c r="R222" s="27"/>
      <c r="S222" s="27"/>
      <c r="T222" s="14">
        <f t="shared" si="8"/>
        <v>8</v>
      </c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ht="15.75" customHeight="1">
      <c r="A223" s="14" t="s">
        <v>354</v>
      </c>
      <c r="B223" s="14" t="s">
        <v>107</v>
      </c>
      <c r="C223" s="16"/>
      <c r="D223" s="17"/>
      <c r="E223" s="18"/>
      <c r="F223" s="14"/>
      <c r="G223" s="20"/>
      <c r="H223" s="14"/>
      <c r="I223" s="14"/>
      <c r="J223" s="14"/>
      <c r="K223" s="14"/>
      <c r="L223" s="14"/>
      <c r="M223" s="14"/>
      <c r="N223" s="14"/>
      <c r="O223" s="14"/>
      <c r="P223" s="14">
        <v>3.0</v>
      </c>
      <c r="Q223" s="14"/>
      <c r="R223" s="19">
        <v>3.0</v>
      </c>
      <c r="S223" s="19">
        <v>1.0</v>
      </c>
      <c r="T223" s="14">
        <f t="shared" si="8"/>
        <v>7</v>
      </c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</row>
    <row r="224" ht="15.75" customHeight="1">
      <c r="A224" s="19" t="s">
        <v>355</v>
      </c>
      <c r="B224" s="19" t="s">
        <v>73</v>
      </c>
      <c r="C224" s="24" t="s">
        <v>356</v>
      </c>
      <c r="D224" s="17"/>
      <c r="E224" s="18"/>
      <c r="F224" s="19" t="s">
        <v>74</v>
      </c>
      <c r="G224" s="20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9"/>
      <c r="S224" s="19"/>
      <c r="T224" s="14">
        <f t="shared" si="8"/>
        <v>0</v>
      </c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</row>
    <row r="225" ht="15.75" customHeight="1">
      <c r="A225" s="17" t="s">
        <v>357</v>
      </c>
      <c r="B225" s="17" t="s">
        <v>265</v>
      </c>
      <c r="C225" s="25"/>
      <c r="D225" s="17"/>
      <c r="E225" s="18"/>
      <c r="F225" s="27"/>
      <c r="G225" s="68" t="s">
        <v>40</v>
      </c>
      <c r="H225" s="29">
        <v>45837.0</v>
      </c>
      <c r="I225" s="27"/>
      <c r="J225" s="27"/>
      <c r="K225" s="27"/>
      <c r="L225" s="27"/>
      <c r="M225" s="27"/>
      <c r="N225" s="27"/>
      <c r="O225" s="27"/>
      <c r="P225" s="27"/>
      <c r="Q225" s="27"/>
      <c r="R225" s="19">
        <v>3.0</v>
      </c>
      <c r="S225" s="19">
        <v>2.0</v>
      </c>
      <c r="T225" s="14">
        <f t="shared" si="8"/>
        <v>5</v>
      </c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ht="15.75" customHeight="1">
      <c r="A226" s="27" t="s">
        <v>358</v>
      </c>
      <c r="B226" s="17" t="s">
        <v>166</v>
      </c>
      <c r="C226" s="25"/>
      <c r="D226" s="17"/>
      <c r="E226" s="18"/>
      <c r="F226" s="27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17">
        <v>1.0</v>
      </c>
      <c r="T226" s="14">
        <f t="shared" si="8"/>
        <v>1</v>
      </c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ht="15.75" customHeight="1">
      <c r="A227" s="14" t="s">
        <v>359</v>
      </c>
      <c r="B227" s="19" t="s">
        <v>85</v>
      </c>
      <c r="C227" s="16"/>
      <c r="D227" s="17"/>
      <c r="E227" s="18"/>
      <c r="F227" s="14"/>
      <c r="G227" s="20"/>
      <c r="H227" s="14"/>
      <c r="I227" s="14"/>
      <c r="J227" s="14"/>
      <c r="K227" s="14"/>
      <c r="L227" s="14"/>
      <c r="M227" s="14"/>
      <c r="N227" s="14">
        <v>2.0</v>
      </c>
      <c r="O227" s="14"/>
      <c r="P227" s="14"/>
      <c r="Q227" s="14"/>
      <c r="R227" s="14"/>
      <c r="S227" s="14"/>
      <c r="T227" s="14">
        <f t="shared" si="8"/>
        <v>2</v>
      </c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</row>
    <row r="228" ht="15.75" customHeight="1">
      <c r="A228" s="27" t="s">
        <v>360</v>
      </c>
      <c r="B228" s="17" t="s">
        <v>361</v>
      </c>
      <c r="C228" s="25"/>
      <c r="D228" s="17"/>
      <c r="E228" s="18"/>
      <c r="F228" s="27"/>
      <c r="G228" s="69" t="s">
        <v>362</v>
      </c>
      <c r="H228" s="27" t="s">
        <v>91</v>
      </c>
      <c r="I228" s="27">
        <v>6.0</v>
      </c>
      <c r="J228" s="33">
        <v>9.0</v>
      </c>
      <c r="K228" s="33">
        <v>1.0</v>
      </c>
      <c r="L228" s="33">
        <v>1.0</v>
      </c>
      <c r="M228" s="33">
        <v>5.0</v>
      </c>
      <c r="N228" s="33">
        <v>6.0</v>
      </c>
      <c r="O228" s="33">
        <v>4.0</v>
      </c>
      <c r="P228" s="33">
        <v>1.0</v>
      </c>
      <c r="Q228" s="33"/>
      <c r="R228" s="46">
        <v>2.0</v>
      </c>
      <c r="S228" s="46">
        <v>2.0</v>
      </c>
      <c r="T228" s="34">
        <f t="shared" si="8"/>
        <v>37</v>
      </c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ht="15.75" customHeight="1">
      <c r="A229" s="19" t="s">
        <v>363</v>
      </c>
      <c r="B229" s="34" t="s">
        <v>107</v>
      </c>
      <c r="C229" s="16"/>
      <c r="D229" s="17"/>
      <c r="E229" s="18"/>
      <c r="F229" s="14"/>
      <c r="G229" s="14"/>
      <c r="H229" s="14"/>
      <c r="I229" s="14"/>
      <c r="J229" s="14"/>
      <c r="K229" s="14"/>
      <c r="L229" s="14">
        <v>1.0</v>
      </c>
      <c r="M229" s="34">
        <v>2.0</v>
      </c>
      <c r="N229" s="14"/>
      <c r="O229" s="14"/>
      <c r="P229" s="14"/>
      <c r="Q229" s="34"/>
      <c r="R229" s="34"/>
      <c r="S229" s="34"/>
      <c r="T229" s="14">
        <f t="shared" si="8"/>
        <v>3</v>
      </c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</row>
    <row r="230" ht="15.75" customHeight="1">
      <c r="A230" s="27" t="s">
        <v>364</v>
      </c>
      <c r="B230" s="35"/>
      <c r="C230" s="25"/>
      <c r="D230" s="17"/>
      <c r="E230" s="18"/>
      <c r="F230" s="27"/>
      <c r="G230" s="27"/>
      <c r="H230" s="27"/>
      <c r="I230" s="27"/>
      <c r="J230" s="27"/>
      <c r="K230" s="27"/>
      <c r="L230" s="27"/>
      <c r="M230" s="35"/>
      <c r="N230" s="27"/>
      <c r="O230" s="27"/>
      <c r="P230" s="27"/>
      <c r="Q230" s="33"/>
      <c r="R230" s="34"/>
      <c r="S230" s="34"/>
      <c r="T230" s="14">
        <f t="shared" si="8"/>
        <v>0</v>
      </c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ht="15.75" customHeight="1">
      <c r="A231" s="14" t="s">
        <v>365</v>
      </c>
      <c r="B231" s="19" t="s">
        <v>361</v>
      </c>
      <c r="C231" s="16"/>
      <c r="D231" s="17"/>
      <c r="E231" s="18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>
        <f t="shared" si="8"/>
        <v>0</v>
      </c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</row>
    <row r="232" ht="15.75" customHeight="1">
      <c r="A232" s="27" t="s">
        <v>366</v>
      </c>
      <c r="B232" s="17" t="s">
        <v>361</v>
      </c>
      <c r="C232" s="25"/>
      <c r="D232" s="17"/>
      <c r="E232" s="18"/>
      <c r="F232" s="27"/>
      <c r="G232" s="27"/>
      <c r="H232" s="27" t="s">
        <v>91</v>
      </c>
      <c r="I232" s="27"/>
      <c r="J232" s="27">
        <v>1.0</v>
      </c>
      <c r="K232" s="27">
        <v>2.0</v>
      </c>
      <c r="L232" s="27">
        <v>1.0</v>
      </c>
      <c r="M232" s="27"/>
      <c r="N232" s="27"/>
      <c r="O232" s="27"/>
      <c r="P232" s="27"/>
      <c r="Q232" s="27"/>
      <c r="R232" s="27"/>
      <c r="S232" s="27"/>
      <c r="T232" s="14">
        <f t="shared" si="8"/>
        <v>4</v>
      </c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ht="15.75" customHeight="1">
      <c r="A233" s="17" t="s">
        <v>367</v>
      </c>
      <c r="B233" s="17" t="s">
        <v>173</v>
      </c>
      <c r="C233" s="30" t="s">
        <v>368</v>
      </c>
      <c r="D233" s="17"/>
      <c r="E233" s="18"/>
      <c r="F233" s="1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17">
        <v>2.0</v>
      </c>
      <c r="T233" s="14">
        <f t="shared" si="8"/>
        <v>2</v>
      </c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ht="15.75" customHeight="1">
      <c r="A234" s="19" t="s">
        <v>369</v>
      </c>
      <c r="B234" s="15" t="s">
        <v>370</v>
      </c>
      <c r="C234" s="16"/>
      <c r="D234" s="17"/>
      <c r="E234" s="18"/>
      <c r="F234" s="70"/>
      <c r="G234" s="14"/>
      <c r="H234" s="14"/>
      <c r="I234" s="14"/>
      <c r="J234" s="14"/>
      <c r="K234" s="14">
        <v>1.0</v>
      </c>
      <c r="L234" s="14">
        <v>2.0</v>
      </c>
      <c r="M234" s="14">
        <v>3.0</v>
      </c>
      <c r="N234" s="14">
        <v>4.0</v>
      </c>
      <c r="O234" s="14"/>
      <c r="P234" s="14">
        <v>1.0</v>
      </c>
      <c r="Q234" s="14"/>
      <c r="R234" s="14"/>
      <c r="S234" s="14"/>
      <c r="T234" s="14">
        <f t="shared" si="8"/>
        <v>11</v>
      </c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</row>
    <row r="235" ht="15.75" customHeight="1">
      <c r="A235" s="27" t="s">
        <v>371</v>
      </c>
      <c r="B235" s="37" t="s">
        <v>25</v>
      </c>
      <c r="C235" s="25"/>
      <c r="D235" s="17"/>
      <c r="E235" s="18"/>
      <c r="F235" s="27"/>
      <c r="G235" s="27"/>
      <c r="H235" s="27"/>
      <c r="I235" s="27"/>
      <c r="J235" s="27"/>
      <c r="K235" s="27"/>
      <c r="L235" s="27"/>
      <c r="M235" s="27">
        <v>1.0</v>
      </c>
      <c r="N235" s="27">
        <v>2.0</v>
      </c>
      <c r="O235" s="27"/>
      <c r="P235" s="27"/>
      <c r="Q235" s="27"/>
      <c r="R235" s="27"/>
      <c r="S235" s="27"/>
      <c r="T235" s="14">
        <f t="shared" si="8"/>
        <v>3</v>
      </c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ht="15.75" customHeight="1">
      <c r="A236" s="27" t="s">
        <v>372</v>
      </c>
      <c r="B236" s="17" t="s">
        <v>65</v>
      </c>
      <c r="C236" s="25"/>
      <c r="D236" s="17"/>
      <c r="E236" s="18"/>
      <c r="F236" s="27"/>
      <c r="G236" s="27"/>
      <c r="H236" s="27"/>
      <c r="I236" s="27"/>
      <c r="J236" s="27"/>
      <c r="K236" s="27"/>
      <c r="L236" s="27"/>
      <c r="M236" s="27"/>
      <c r="N236" s="27">
        <v>2.0</v>
      </c>
      <c r="O236" s="27">
        <v>1.0</v>
      </c>
      <c r="P236" s="27">
        <v>1.0</v>
      </c>
      <c r="Q236" s="27"/>
      <c r="R236" s="17">
        <v>1.0</v>
      </c>
      <c r="S236" s="17"/>
      <c r="T236" s="14">
        <f t="shared" si="8"/>
        <v>5</v>
      </c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</row>
    <row r="237" ht="15.75" customHeight="1">
      <c r="A237" s="19" t="s">
        <v>373</v>
      </c>
      <c r="B237" s="15" t="s">
        <v>107</v>
      </c>
      <c r="C237" s="16"/>
      <c r="D237" s="17"/>
      <c r="E237" s="18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9">
        <v>1.0</v>
      </c>
      <c r="S237" s="19">
        <v>2.0</v>
      </c>
      <c r="T237" s="14">
        <f t="shared" si="8"/>
        <v>3</v>
      </c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</row>
    <row r="238" ht="15.75" customHeight="1">
      <c r="A238" s="19" t="s">
        <v>374</v>
      </c>
      <c r="B238" s="15" t="s">
        <v>60</v>
      </c>
      <c r="C238" s="16"/>
      <c r="D238" s="17"/>
      <c r="E238" s="18"/>
      <c r="F238" s="14"/>
      <c r="G238" s="14"/>
      <c r="H238" s="14"/>
      <c r="I238" s="14"/>
      <c r="J238" s="14"/>
      <c r="K238" s="14">
        <v>3.0</v>
      </c>
      <c r="L238" s="14"/>
      <c r="M238" s="14">
        <v>5.0</v>
      </c>
      <c r="N238" s="14">
        <v>1.0</v>
      </c>
      <c r="O238" s="14"/>
      <c r="P238" s="14"/>
      <c r="Q238" s="14"/>
      <c r="R238" s="14"/>
      <c r="S238" s="19">
        <v>1.0</v>
      </c>
      <c r="T238" s="14">
        <f t="shared" si="8"/>
        <v>10</v>
      </c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</row>
    <row r="239" ht="15.75" customHeight="1">
      <c r="A239" s="19" t="s">
        <v>375</v>
      </c>
      <c r="B239" s="15" t="s">
        <v>73</v>
      </c>
      <c r="C239" s="24" t="s">
        <v>376</v>
      </c>
      <c r="D239" s="17"/>
      <c r="E239" s="18"/>
      <c r="F239" s="19" t="s">
        <v>74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9"/>
      <c r="T239" s="14">
        <f t="shared" si="8"/>
        <v>0</v>
      </c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</row>
    <row r="240" ht="15.75" customHeight="1">
      <c r="A240" s="19" t="s">
        <v>377</v>
      </c>
      <c r="B240" s="15" t="s">
        <v>291</v>
      </c>
      <c r="C240" s="24" t="s">
        <v>378</v>
      </c>
      <c r="D240" s="17" t="s">
        <v>379</v>
      </c>
      <c r="E240" s="18">
        <v>45931.0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9">
        <v>6.0</v>
      </c>
      <c r="S240" s="19">
        <v>5.0</v>
      </c>
      <c r="T240" s="14">
        <f t="shared" si="8"/>
        <v>11</v>
      </c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</row>
    <row r="241" ht="15.75" customHeight="1">
      <c r="A241" s="14" t="s">
        <v>380</v>
      </c>
      <c r="B241" s="15" t="s">
        <v>143</v>
      </c>
      <c r="C241" s="24" t="s">
        <v>381</v>
      </c>
      <c r="D241" s="47"/>
      <c r="E241" s="48"/>
      <c r="F241" s="14"/>
      <c r="G241" s="14" t="s">
        <v>40</v>
      </c>
      <c r="H241" s="14" t="s">
        <v>116</v>
      </c>
      <c r="I241" s="14"/>
      <c r="J241" s="14">
        <v>3.0</v>
      </c>
      <c r="K241" s="14"/>
      <c r="L241" s="14">
        <v>1.0</v>
      </c>
      <c r="M241" s="14">
        <v>2.0</v>
      </c>
      <c r="N241" s="14">
        <v>3.0</v>
      </c>
      <c r="O241" s="14">
        <v>1.0</v>
      </c>
      <c r="P241" s="14"/>
      <c r="Q241" s="19">
        <v>3.0</v>
      </c>
      <c r="R241" s="19">
        <v>3.0</v>
      </c>
      <c r="S241" s="19">
        <v>2.0</v>
      </c>
      <c r="T241" s="14">
        <f t="shared" si="8"/>
        <v>18</v>
      </c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</row>
    <row r="242" ht="15.75" customHeight="1">
      <c r="A242" s="71" t="s">
        <v>380</v>
      </c>
      <c r="B242" s="72" t="s">
        <v>62</v>
      </c>
      <c r="C242" s="73"/>
      <c r="D242" s="74"/>
      <c r="E242" s="18"/>
      <c r="F242" s="72" t="s">
        <v>382</v>
      </c>
      <c r="G242" s="75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14">
        <f t="shared" si="8"/>
        <v>0</v>
      </c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ht="15.75" customHeight="1">
      <c r="A243" s="71" t="s">
        <v>380</v>
      </c>
      <c r="B243" s="72" t="s">
        <v>62</v>
      </c>
      <c r="C243" s="73"/>
      <c r="D243" s="72"/>
      <c r="E243" s="18"/>
      <c r="F243" s="72" t="s">
        <v>382</v>
      </c>
      <c r="G243" s="7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14">
        <f t="shared" si="8"/>
        <v>0</v>
      </c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</row>
    <row r="244" ht="15.75" customHeight="1">
      <c r="A244" s="19" t="s">
        <v>383</v>
      </c>
      <c r="B244" s="15" t="s">
        <v>143</v>
      </c>
      <c r="C244" s="16"/>
      <c r="D244" s="17"/>
      <c r="E244" s="18"/>
      <c r="F244" s="79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>
        <f t="shared" si="8"/>
        <v>0</v>
      </c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</row>
    <row r="245" ht="15.75" customHeight="1">
      <c r="A245" s="14" t="s">
        <v>384</v>
      </c>
      <c r="B245" s="15" t="s">
        <v>214</v>
      </c>
      <c r="C245" s="16"/>
      <c r="D245" s="17"/>
      <c r="E245" s="18"/>
      <c r="F245" s="79"/>
      <c r="G245" s="14" t="s">
        <v>40</v>
      </c>
      <c r="H245" s="14" t="s">
        <v>282</v>
      </c>
      <c r="I245" s="14"/>
      <c r="J245" s="14">
        <v>1.0</v>
      </c>
      <c r="K245" s="14">
        <v>1.0</v>
      </c>
      <c r="L245" s="14">
        <v>3.0</v>
      </c>
      <c r="M245" s="14"/>
      <c r="N245" s="14">
        <v>3.0</v>
      </c>
      <c r="O245" s="14"/>
      <c r="P245" s="14"/>
      <c r="Q245" s="14"/>
      <c r="R245" s="19">
        <v>1.0</v>
      </c>
      <c r="S245" s="19"/>
      <c r="T245" s="14">
        <f t="shared" si="8"/>
        <v>9</v>
      </c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</row>
    <row r="246" ht="15.75" customHeight="1">
      <c r="A246" s="27" t="s">
        <v>385</v>
      </c>
      <c r="B246" s="37" t="s">
        <v>386</v>
      </c>
      <c r="C246" s="25"/>
      <c r="D246" s="17"/>
      <c r="E246" s="18"/>
      <c r="F246" s="17"/>
      <c r="G246" s="26"/>
      <c r="H246" s="27"/>
      <c r="I246" s="27"/>
      <c r="J246" s="27"/>
      <c r="K246" s="27"/>
      <c r="L246" s="27"/>
      <c r="M246" s="27"/>
      <c r="N246" s="27"/>
      <c r="O246" s="27"/>
      <c r="P246" s="27">
        <v>1.0</v>
      </c>
      <c r="Q246" s="27"/>
      <c r="R246" s="27"/>
      <c r="S246" s="27"/>
      <c r="T246" s="14">
        <f t="shared" si="8"/>
        <v>1</v>
      </c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ht="15.75" customHeight="1">
      <c r="A247" s="14" t="s">
        <v>387</v>
      </c>
      <c r="B247" s="15" t="s">
        <v>129</v>
      </c>
      <c r="C247" s="16"/>
      <c r="D247" s="17"/>
      <c r="E247" s="18"/>
      <c r="F247" s="14"/>
      <c r="G247" s="20"/>
      <c r="H247" s="14"/>
      <c r="I247" s="14"/>
      <c r="J247" s="14"/>
      <c r="K247" s="14"/>
      <c r="L247" s="14">
        <v>3.0</v>
      </c>
      <c r="M247" s="14">
        <v>3.0</v>
      </c>
      <c r="N247" s="14">
        <v>3.0</v>
      </c>
      <c r="O247" s="14">
        <v>1.0</v>
      </c>
      <c r="P247" s="14"/>
      <c r="Q247" s="19">
        <v>1.0</v>
      </c>
      <c r="R247" s="19">
        <v>3.0</v>
      </c>
      <c r="S247" s="19"/>
      <c r="T247" s="14">
        <f t="shared" si="8"/>
        <v>14</v>
      </c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</row>
    <row r="248" ht="15.75" customHeight="1">
      <c r="A248" s="27" t="s">
        <v>388</v>
      </c>
      <c r="B248" s="32" t="s">
        <v>198</v>
      </c>
      <c r="C248" s="25"/>
      <c r="D248" s="17"/>
      <c r="E248" s="48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46"/>
      <c r="R248" s="33"/>
      <c r="S248" s="33"/>
      <c r="T248" s="34">
        <f t="shared" si="8"/>
        <v>0</v>
      </c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ht="15.75" customHeight="1">
      <c r="A249" s="19" t="s">
        <v>389</v>
      </c>
      <c r="B249" s="35"/>
      <c r="C249" s="25"/>
      <c r="D249" s="17"/>
      <c r="E249" s="48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35"/>
      <c r="R249" s="35"/>
      <c r="S249" s="35"/>
      <c r="T249" s="35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ht="15.75" customHeight="1">
      <c r="A250" s="27" t="s">
        <v>390</v>
      </c>
      <c r="B250" s="37" t="s">
        <v>214</v>
      </c>
      <c r="C250" s="25"/>
      <c r="D250" s="17"/>
      <c r="E250" s="48"/>
      <c r="F250" s="27"/>
      <c r="G250" s="27"/>
      <c r="H250" s="27"/>
      <c r="I250" s="27"/>
      <c r="J250" s="27"/>
      <c r="K250" s="27"/>
      <c r="L250" s="27"/>
      <c r="M250" s="27"/>
      <c r="N250" s="27">
        <v>1.0</v>
      </c>
      <c r="O250" s="27">
        <v>1.0</v>
      </c>
      <c r="P250" s="27">
        <v>2.0</v>
      </c>
      <c r="Q250" s="17">
        <v>2.0</v>
      </c>
      <c r="R250" s="17">
        <v>1.0</v>
      </c>
      <c r="S250" s="17">
        <v>1.0</v>
      </c>
      <c r="T250" s="14">
        <f t="shared" ref="T250:T254" si="9">SUM(I250:S250)</f>
        <v>8</v>
      </c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ht="15.75" customHeight="1">
      <c r="A251" s="14" t="s">
        <v>391</v>
      </c>
      <c r="B251" s="15" t="s">
        <v>392</v>
      </c>
      <c r="C251" s="16"/>
      <c r="D251" s="17"/>
      <c r="E251" s="18"/>
      <c r="F251" s="14"/>
      <c r="G251" s="14"/>
      <c r="H251" s="14"/>
      <c r="I251" s="14"/>
      <c r="J251" s="14"/>
      <c r="K251" s="14"/>
      <c r="L251" s="14"/>
      <c r="M251" s="14">
        <v>3.0</v>
      </c>
      <c r="N251" s="14">
        <v>1.0</v>
      </c>
      <c r="O251" s="14">
        <v>2.0</v>
      </c>
      <c r="P251" s="14">
        <v>2.0</v>
      </c>
      <c r="Q251" s="14"/>
      <c r="R251" s="14"/>
      <c r="S251" s="14"/>
      <c r="T251" s="14">
        <f t="shared" si="9"/>
        <v>8</v>
      </c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</row>
    <row r="252" ht="15.75" customHeight="1">
      <c r="A252" s="27" t="s">
        <v>393</v>
      </c>
      <c r="B252" s="37" t="s">
        <v>38</v>
      </c>
      <c r="C252" s="25"/>
      <c r="D252" s="17"/>
      <c r="E252" s="18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>
        <v>1.0</v>
      </c>
      <c r="Q252" s="27"/>
      <c r="R252" s="27"/>
      <c r="S252" s="27"/>
      <c r="T252" s="14">
        <f t="shared" si="9"/>
        <v>1</v>
      </c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ht="15.75" customHeight="1">
      <c r="A253" s="14" t="s">
        <v>394</v>
      </c>
      <c r="B253" s="15" t="s">
        <v>143</v>
      </c>
      <c r="C253" s="16"/>
      <c r="D253" s="17"/>
      <c r="E253" s="18"/>
      <c r="F253" s="14"/>
      <c r="G253" s="14"/>
      <c r="H253" s="14"/>
      <c r="I253" s="14"/>
      <c r="J253" s="14">
        <v>1.0</v>
      </c>
      <c r="K253" s="14"/>
      <c r="L253" s="14">
        <v>1.0</v>
      </c>
      <c r="M253" s="14"/>
      <c r="N253" s="14"/>
      <c r="O253" s="14"/>
      <c r="P253" s="14"/>
      <c r="Q253" s="14"/>
      <c r="R253" s="14"/>
      <c r="S253" s="14"/>
      <c r="T253" s="14">
        <f t="shared" si="9"/>
        <v>2</v>
      </c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</row>
    <row r="254" ht="15.75" customHeight="1">
      <c r="A254" s="17" t="s">
        <v>395</v>
      </c>
      <c r="B254" s="38" t="s">
        <v>265</v>
      </c>
      <c r="C254" s="25"/>
      <c r="D254" s="17"/>
      <c r="E254" s="18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17">
        <v>2.0</v>
      </c>
      <c r="R254" s="38">
        <v>2.0</v>
      </c>
      <c r="S254" s="38">
        <v>6.0</v>
      </c>
      <c r="T254" s="34">
        <f t="shared" si="9"/>
        <v>10</v>
      </c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r="255" ht="15.75" customHeight="1">
      <c r="A255" s="17" t="s">
        <v>396</v>
      </c>
      <c r="B255" s="35"/>
      <c r="C255" s="25"/>
      <c r="D255" s="17"/>
      <c r="E255" s="54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35"/>
      <c r="S255" s="35"/>
      <c r="T255" s="35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 ht="15.75" customHeight="1">
      <c r="A256" s="27" t="s">
        <v>397</v>
      </c>
      <c r="B256" s="37" t="s">
        <v>386</v>
      </c>
      <c r="C256" s="25"/>
      <c r="D256" s="17"/>
      <c r="E256" s="18"/>
      <c r="F256" s="27"/>
      <c r="G256" s="27" t="s">
        <v>40</v>
      </c>
      <c r="H256" s="27" t="s">
        <v>116</v>
      </c>
      <c r="I256" s="27"/>
      <c r="J256" s="27">
        <v>1.0</v>
      </c>
      <c r="K256" s="27"/>
      <c r="L256" s="27"/>
      <c r="M256" s="27"/>
      <c r="N256" s="27">
        <v>1.0</v>
      </c>
      <c r="O256" s="27"/>
      <c r="P256" s="27"/>
      <c r="Q256" s="27"/>
      <c r="R256" s="27"/>
      <c r="S256" s="27"/>
      <c r="T256" s="14">
        <f t="shared" ref="T256:T263" si="10">SUM(I256:S256)</f>
        <v>2</v>
      </c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r="257" ht="15.75" customHeight="1">
      <c r="A257" s="19" t="s">
        <v>398</v>
      </c>
      <c r="B257" s="15" t="s">
        <v>73</v>
      </c>
      <c r="C257" s="24" t="s">
        <v>150</v>
      </c>
      <c r="D257" s="17"/>
      <c r="E257" s="18"/>
      <c r="F257" s="19" t="s">
        <v>74</v>
      </c>
      <c r="G257" s="20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9">
        <v>1.0</v>
      </c>
      <c r="T257" s="14">
        <f t="shared" si="10"/>
        <v>1</v>
      </c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</row>
    <row r="258" ht="15.75" customHeight="1">
      <c r="A258" s="19" t="s">
        <v>399</v>
      </c>
      <c r="B258" s="15" t="s">
        <v>107</v>
      </c>
      <c r="C258" s="24" t="s">
        <v>400</v>
      </c>
      <c r="D258" s="17"/>
      <c r="E258" s="18"/>
      <c r="F258" s="19"/>
      <c r="G258" s="20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9">
        <v>2.0</v>
      </c>
      <c r="T258" s="14">
        <f t="shared" si="10"/>
        <v>2</v>
      </c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</row>
    <row r="259" ht="15.75" customHeight="1">
      <c r="A259" s="14" t="s">
        <v>401</v>
      </c>
      <c r="B259" s="45" t="s">
        <v>38</v>
      </c>
      <c r="C259" s="16"/>
      <c r="D259" s="17"/>
      <c r="E259" s="18"/>
      <c r="F259" s="14"/>
      <c r="G259" s="20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>
        <f t="shared" si="10"/>
        <v>0</v>
      </c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</row>
    <row r="260" ht="15.75" customHeight="1">
      <c r="A260" s="14" t="s">
        <v>402</v>
      </c>
      <c r="B260" s="15" t="s">
        <v>403</v>
      </c>
      <c r="C260" s="16"/>
      <c r="D260" s="50"/>
      <c r="E260" s="48"/>
      <c r="F260" s="14"/>
      <c r="G260" s="20"/>
      <c r="H260" s="14"/>
      <c r="I260" s="14"/>
      <c r="J260" s="14"/>
      <c r="K260" s="14"/>
      <c r="L260" s="14">
        <v>3.0</v>
      </c>
      <c r="M260" s="14">
        <v>2.0</v>
      </c>
      <c r="N260" s="14">
        <v>2.0</v>
      </c>
      <c r="O260" s="14">
        <v>1.0</v>
      </c>
      <c r="P260" s="14"/>
      <c r="Q260" s="19">
        <v>1.0</v>
      </c>
      <c r="R260" s="14"/>
      <c r="S260" s="14"/>
      <c r="T260" s="14">
        <f t="shared" si="10"/>
        <v>9</v>
      </c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</row>
    <row r="261" ht="15.75" customHeight="1">
      <c r="A261" s="17" t="s">
        <v>404</v>
      </c>
      <c r="B261" s="37" t="s">
        <v>107</v>
      </c>
      <c r="C261" s="30" t="s">
        <v>158</v>
      </c>
      <c r="D261" s="17"/>
      <c r="E261" s="54"/>
      <c r="F261" s="27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17">
        <v>2.0</v>
      </c>
      <c r="S261" s="17">
        <v>2.0</v>
      </c>
      <c r="T261" s="14">
        <f t="shared" si="10"/>
        <v>4</v>
      </c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ht="15.75" customHeight="1">
      <c r="A262" s="27" t="s">
        <v>405</v>
      </c>
      <c r="B262" s="37" t="s">
        <v>291</v>
      </c>
      <c r="C262" s="25"/>
      <c r="D262" s="17"/>
      <c r="E262" s="18"/>
      <c r="F262" s="27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17">
        <v>1.0</v>
      </c>
      <c r="T262" s="14">
        <f t="shared" si="10"/>
        <v>1</v>
      </c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ht="15.75" customHeight="1">
      <c r="A263" s="14" t="s">
        <v>406</v>
      </c>
      <c r="B263" s="38" t="s">
        <v>173</v>
      </c>
      <c r="C263" s="16"/>
      <c r="D263" s="17"/>
      <c r="E263" s="18"/>
      <c r="F263" s="67"/>
      <c r="G263" s="20"/>
      <c r="H263" s="14"/>
      <c r="I263" s="14"/>
      <c r="J263" s="14"/>
      <c r="K263" s="14">
        <v>4.0</v>
      </c>
      <c r="L263" s="14">
        <v>1.0</v>
      </c>
      <c r="M263" s="14"/>
      <c r="N263" s="14">
        <v>2.0</v>
      </c>
      <c r="O263" s="14"/>
      <c r="P263" s="14"/>
      <c r="Q263" s="34"/>
      <c r="R263" s="40">
        <v>1.0</v>
      </c>
      <c r="S263" s="40"/>
      <c r="T263" s="34">
        <f t="shared" si="10"/>
        <v>8</v>
      </c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</row>
    <row r="264" ht="15.75" customHeight="1">
      <c r="A264" s="17" t="s">
        <v>407</v>
      </c>
      <c r="B264" s="35"/>
      <c r="C264" s="25"/>
      <c r="D264" s="17"/>
      <c r="E264" s="18"/>
      <c r="F264" s="27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35"/>
      <c r="R264" s="35"/>
      <c r="S264" s="35"/>
      <c r="T264" s="35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ht="15.75" customHeight="1">
      <c r="A265" s="27" t="s">
        <v>408</v>
      </c>
      <c r="B265" s="49" t="s">
        <v>62</v>
      </c>
      <c r="C265" s="25"/>
      <c r="D265" s="17"/>
      <c r="E265" s="18"/>
      <c r="F265" s="27"/>
      <c r="G265" s="23" t="s">
        <v>409</v>
      </c>
      <c r="H265" s="27" t="s">
        <v>410</v>
      </c>
      <c r="I265" s="27">
        <v>1.0</v>
      </c>
      <c r="J265" s="27">
        <v>1.0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14">
        <f t="shared" ref="T265:T282" si="11">SUM(I265:S265)</f>
        <v>2</v>
      </c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ht="15.75" customHeight="1">
      <c r="A266" s="14" t="s">
        <v>411</v>
      </c>
      <c r="B266" s="15" t="s">
        <v>173</v>
      </c>
      <c r="C266" s="16"/>
      <c r="D266" s="17"/>
      <c r="E266" s="18"/>
      <c r="F266" s="14"/>
      <c r="G266" s="14" t="s">
        <v>40</v>
      </c>
      <c r="H266" s="14" t="s">
        <v>412</v>
      </c>
      <c r="I266" s="14"/>
      <c r="J266" s="14"/>
      <c r="K266" s="14"/>
      <c r="L266" s="14"/>
      <c r="M266" s="14">
        <v>1.0</v>
      </c>
      <c r="N266" s="14">
        <v>1.0</v>
      </c>
      <c r="O266" s="14"/>
      <c r="P266" s="14"/>
      <c r="Q266" s="14"/>
      <c r="R266" s="19">
        <v>1.0</v>
      </c>
      <c r="S266" s="19"/>
      <c r="T266" s="14">
        <f t="shared" si="11"/>
        <v>3</v>
      </c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</row>
    <row r="267" ht="15.75" customHeight="1">
      <c r="A267" s="27" t="s">
        <v>413</v>
      </c>
      <c r="B267" s="17" t="s">
        <v>65</v>
      </c>
      <c r="C267" s="25"/>
      <c r="D267" s="17"/>
      <c r="E267" s="48"/>
      <c r="F267" s="51"/>
      <c r="G267" s="27"/>
      <c r="H267" s="27"/>
      <c r="I267" s="27"/>
      <c r="J267" s="27"/>
      <c r="K267" s="27"/>
      <c r="L267" s="27">
        <v>7.0</v>
      </c>
      <c r="M267" s="27">
        <v>2.0</v>
      </c>
      <c r="N267" s="27">
        <v>2.0</v>
      </c>
      <c r="O267" s="27">
        <v>1.0</v>
      </c>
      <c r="P267" s="27"/>
      <c r="Q267" s="17">
        <v>1.0</v>
      </c>
      <c r="R267" s="17">
        <v>1.0</v>
      </c>
      <c r="S267" s="17"/>
      <c r="T267" s="14">
        <f t="shared" si="11"/>
        <v>14</v>
      </c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ht="15.75" customHeight="1">
      <c r="A268" s="19" t="s">
        <v>414</v>
      </c>
      <c r="B268" s="19" t="s">
        <v>143</v>
      </c>
      <c r="C268" s="24" t="s">
        <v>378</v>
      </c>
      <c r="D268" s="17"/>
      <c r="E268" s="5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9">
        <v>1.0</v>
      </c>
      <c r="S268" s="19"/>
      <c r="T268" s="14">
        <f t="shared" si="11"/>
        <v>1</v>
      </c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</row>
    <row r="269" ht="15.75" customHeight="1">
      <c r="A269" s="19" t="s">
        <v>415</v>
      </c>
      <c r="B269" s="19" t="s">
        <v>143</v>
      </c>
      <c r="C269" s="16"/>
      <c r="D269" s="17"/>
      <c r="E269" s="18"/>
      <c r="F269" s="14"/>
      <c r="G269" s="14"/>
      <c r="H269" s="14"/>
      <c r="I269" s="14"/>
      <c r="J269" s="14"/>
      <c r="K269" s="14"/>
      <c r="L269" s="14">
        <v>1.0</v>
      </c>
      <c r="M269" s="14">
        <v>7.0</v>
      </c>
      <c r="N269" s="14">
        <v>12.0</v>
      </c>
      <c r="O269" s="14">
        <v>1.0</v>
      </c>
      <c r="P269" s="14"/>
      <c r="Q269" s="14"/>
      <c r="R269" s="19">
        <v>1.0</v>
      </c>
      <c r="S269" s="19"/>
      <c r="T269" s="14">
        <f t="shared" si="11"/>
        <v>22</v>
      </c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</row>
    <row r="270" ht="15.75" customHeight="1">
      <c r="A270" s="27" t="s">
        <v>416</v>
      </c>
      <c r="B270" s="27" t="s">
        <v>143</v>
      </c>
      <c r="C270" s="25"/>
      <c r="D270" s="17"/>
      <c r="E270" s="18"/>
      <c r="F270" s="27"/>
      <c r="G270" s="27"/>
      <c r="H270" s="27"/>
      <c r="I270" s="27"/>
      <c r="J270" s="27"/>
      <c r="K270" s="27"/>
      <c r="L270" s="27"/>
      <c r="M270" s="27"/>
      <c r="N270" s="27">
        <v>4.0</v>
      </c>
      <c r="O270" s="27">
        <v>1.0</v>
      </c>
      <c r="P270" s="27">
        <v>1.0</v>
      </c>
      <c r="Q270" s="27"/>
      <c r="R270" s="27"/>
      <c r="S270" s="27"/>
      <c r="T270" s="14">
        <f t="shared" si="11"/>
        <v>6</v>
      </c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r="271" ht="15.75" customHeight="1">
      <c r="A271" s="14" t="s">
        <v>417</v>
      </c>
      <c r="B271" s="19" t="s">
        <v>149</v>
      </c>
      <c r="C271" s="16"/>
      <c r="D271" s="17"/>
      <c r="E271" s="18"/>
      <c r="F271" s="14"/>
      <c r="G271" s="14"/>
      <c r="H271" s="14"/>
      <c r="I271" s="14"/>
      <c r="J271" s="14"/>
      <c r="K271" s="14"/>
      <c r="L271" s="14"/>
      <c r="M271" s="14"/>
      <c r="N271" s="14">
        <v>2.0</v>
      </c>
      <c r="O271" s="14">
        <v>2.0</v>
      </c>
      <c r="P271" s="14">
        <v>1.0</v>
      </c>
      <c r="Q271" s="14"/>
      <c r="R271" s="14"/>
      <c r="S271" s="14"/>
      <c r="T271" s="14">
        <f t="shared" si="11"/>
        <v>5</v>
      </c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</row>
    <row r="272" ht="15.75" customHeight="1">
      <c r="A272" s="27" t="s">
        <v>418</v>
      </c>
      <c r="B272" s="17" t="s">
        <v>252</v>
      </c>
      <c r="C272" s="25"/>
      <c r="D272" s="17"/>
      <c r="E272" s="18"/>
      <c r="F272" s="27"/>
      <c r="G272" s="27"/>
      <c r="H272" s="27"/>
      <c r="I272" s="27"/>
      <c r="J272" s="27"/>
      <c r="K272" s="27"/>
      <c r="L272" s="27"/>
      <c r="M272" s="27"/>
      <c r="N272" s="27"/>
      <c r="O272" s="27">
        <v>5.0</v>
      </c>
      <c r="P272" s="27">
        <v>1.0</v>
      </c>
      <c r="Q272" s="27"/>
      <c r="R272" s="27"/>
      <c r="S272" s="27"/>
      <c r="T272" s="14">
        <f t="shared" si="11"/>
        <v>6</v>
      </c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ht="15.75" customHeight="1">
      <c r="A273" s="14" t="s">
        <v>419</v>
      </c>
      <c r="B273" s="19" t="s">
        <v>119</v>
      </c>
      <c r="C273" s="16"/>
      <c r="D273" s="17"/>
      <c r="E273" s="18"/>
      <c r="F273" s="14"/>
      <c r="G273" s="14"/>
      <c r="H273" s="14"/>
      <c r="I273" s="14"/>
      <c r="J273" s="14"/>
      <c r="K273" s="14"/>
      <c r="L273" s="14"/>
      <c r="M273" s="14"/>
      <c r="N273" s="14">
        <v>1.0</v>
      </c>
      <c r="O273" s="14">
        <v>2.0</v>
      </c>
      <c r="P273" s="14"/>
      <c r="Q273" s="14"/>
      <c r="R273" s="19">
        <v>1.0</v>
      </c>
      <c r="S273" s="19"/>
      <c r="T273" s="14">
        <f t="shared" si="11"/>
        <v>4</v>
      </c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</row>
    <row r="274" ht="15.75" customHeight="1">
      <c r="A274" s="17" t="s">
        <v>420</v>
      </c>
      <c r="B274" s="17" t="s">
        <v>421</v>
      </c>
      <c r="C274" s="25"/>
      <c r="D274" s="17"/>
      <c r="E274" s="18"/>
      <c r="F274" s="27"/>
      <c r="G274" s="27" t="s">
        <v>40</v>
      </c>
      <c r="H274" s="27" t="s">
        <v>282</v>
      </c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14">
        <f t="shared" si="11"/>
        <v>0</v>
      </c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r="275" ht="15.75" customHeight="1">
      <c r="A275" s="27" t="s">
        <v>422</v>
      </c>
      <c r="B275" s="27" t="s">
        <v>136</v>
      </c>
      <c r="C275" s="25"/>
      <c r="D275" s="17"/>
      <c r="E275" s="18"/>
      <c r="F275" s="27"/>
      <c r="G275" s="27"/>
      <c r="H275" s="27"/>
      <c r="I275" s="27"/>
      <c r="J275" s="27"/>
      <c r="K275" s="27"/>
      <c r="L275" s="27">
        <v>1.0</v>
      </c>
      <c r="M275" s="27"/>
      <c r="N275" s="27">
        <v>1.0</v>
      </c>
      <c r="O275" s="27"/>
      <c r="P275" s="27">
        <v>1.0</v>
      </c>
      <c r="Q275" s="27"/>
      <c r="R275" s="27"/>
      <c r="S275" s="27"/>
      <c r="T275" s="14">
        <f t="shared" si="11"/>
        <v>3</v>
      </c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 ht="15.75" customHeight="1">
      <c r="A276" s="27" t="s">
        <v>423</v>
      </c>
      <c r="B276" s="17" t="s">
        <v>100</v>
      </c>
      <c r="C276" s="25"/>
      <c r="D276" s="17"/>
      <c r="E276" s="18"/>
      <c r="F276" s="27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14">
        <f t="shared" si="11"/>
        <v>0</v>
      </c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r="277" ht="15.75" customHeight="1">
      <c r="A277" s="14" t="s">
        <v>424</v>
      </c>
      <c r="B277" s="19" t="s">
        <v>65</v>
      </c>
      <c r="C277" s="16"/>
      <c r="D277" s="17"/>
      <c r="E277" s="18"/>
      <c r="F277" s="14"/>
      <c r="G277" s="20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>
        <f t="shared" si="11"/>
        <v>0</v>
      </c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</row>
    <row r="278" ht="15.75" customHeight="1">
      <c r="A278" s="19" t="s">
        <v>425</v>
      </c>
      <c r="B278" s="19" t="s">
        <v>46</v>
      </c>
      <c r="C278" s="16"/>
      <c r="D278" s="17"/>
      <c r="E278" s="18"/>
      <c r="F278" s="14"/>
      <c r="G278" s="20"/>
      <c r="H278" s="14"/>
      <c r="I278" s="14"/>
      <c r="J278" s="14"/>
      <c r="K278" s="14"/>
      <c r="L278" s="14"/>
      <c r="M278" s="14"/>
      <c r="N278" s="14">
        <v>2.0</v>
      </c>
      <c r="O278" s="14"/>
      <c r="P278" s="14"/>
      <c r="Q278" s="19">
        <v>1.0</v>
      </c>
      <c r="R278" s="19">
        <v>1.0</v>
      </c>
      <c r="S278" s="19"/>
      <c r="T278" s="14">
        <f t="shared" si="11"/>
        <v>4</v>
      </c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</row>
    <row r="279" ht="15.75" customHeight="1">
      <c r="A279" s="17" t="s">
        <v>426</v>
      </c>
      <c r="B279" s="17" t="s">
        <v>87</v>
      </c>
      <c r="C279" s="25"/>
      <c r="D279" s="17"/>
      <c r="E279" s="18"/>
      <c r="F279" s="27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46">
        <v>1.0</v>
      </c>
      <c r="R279" s="40">
        <v>1.0</v>
      </c>
      <c r="S279" s="40">
        <v>1.0</v>
      </c>
      <c r="T279" s="14">
        <f t="shared" si="11"/>
        <v>3</v>
      </c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 ht="15.75" customHeight="1">
      <c r="A280" s="17" t="s">
        <v>427</v>
      </c>
      <c r="B280" s="17" t="s">
        <v>192</v>
      </c>
      <c r="C280" s="25"/>
      <c r="D280" s="17"/>
      <c r="E280" s="18"/>
      <c r="F280" s="27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46">
        <v>1.0</v>
      </c>
      <c r="R280" s="40">
        <v>2.0</v>
      </c>
      <c r="S280" s="40"/>
      <c r="T280" s="14">
        <f t="shared" si="11"/>
        <v>3</v>
      </c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r="281" ht="15.75" customHeight="1">
      <c r="A281" s="17" t="s">
        <v>428</v>
      </c>
      <c r="B281" s="17" t="s">
        <v>73</v>
      </c>
      <c r="C281" s="30" t="s">
        <v>32</v>
      </c>
      <c r="D281" s="17"/>
      <c r="E281" s="18"/>
      <c r="F281" s="17" t="s">
        <v>74</v>
      </c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33"/>
      <c r="R281" s="33"/>
      <c r="S281" s="33"/>
      <c r="T281" s="14">
        <f t="shared" si="11"/>
        <v>0</v>
      </c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 ht="15.75" customHeight="1">
      <c r="A282" s="27" t="s">
        <v>429</v>
      </c>
      <c r="B282" s="46" t="s">
        <v>83</v>
      </c>
      <c r="C282" s="25"/>
      <c r="D282" s="17"/>
      <c r="E282" s="18"/>
      <c r="F282" s="27"/>
      <c r="G282" s="26"/>
      <c r="H282" s="27"/>
      <c r="I282" s="27"/>
      <c r="J282" s="27"/>
      <c r="K282" s="27"/>
      <c r="L282" s="27"/>
      <c r="M282" s="33"/>
      <c r="N282" s="33"/>
      <c r="O282" s="33">
        <v>1.0</v>
      </c>
      <c r="P282" s="33"/>
      <c r="Q282" s="33"/>
      <c r="R282" s="33"/>
      <c r="S282" s="33"/>
      <c r="T282" s="34">
        <f t="shared" si="11"/>
        <v>1</v>
      </c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r="283" ht="15.75" customHeight="1">
      <c r="A283" s="14" t="s">
        <v>430</v>
      </c>
      <c r="B283" s="35"/>
      <c r="C283" s="16"/>
      <c r="D283" s="17"/>
      <c r="E283" s="18"/>
      <c r="F283" s="14"/>
      <c r="G283" s="20"/>
      <c r="H283" s="14"/>
      <c r="I283" s="14"/>
      <c r="J283" s="14"/>
      <c r="K283" s="14"/>
      <c r="L283" s="14"/>
      <c r="M283" s="35"/>
      <c r="N283" s="35"/>
      <c r="O283" s="35"/>
      <c r="P283" s="35"/>
      <c r="Q283" s="41"/>
      <c r="R283" s="41"/>
      <c r="S283" s="41"/>
      <c r="T283" s="35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</row>
    <row r="284" ht="15.75" customHeight="1">
      <c r="A284" s="23" t="s">
        <v>431</v>
      </c>
      <c r="B284" s="17" t="s">
        <v>22</v>
      </c>
      <c r="C284" s="25"/>
      <c r="D284" s="17"/>
      <c r="E284" s="18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>
        <v>1.0</v>
      </c>
      <c r="Q284" s="27"/>
      <c r="R284" s="17">
        <v>1.0</v>
      </c>
      <c r="S284" s="17"/>
      <c r="T284" s="14">
        <f t="shared" ref="T284:T285" si="12">SUM(I284:S284)</f>
        <v>2</v>
      </c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r="285" ht="15.75" customHeight="1">
      <c r="A285" s="14" t="s">
        <v>432</v>
      </c>
      <c r="B285" s="40" t="s">
        <v>152</v>
      </c>
      <c r="C285" s="16"/>
      <c r="D285" s="47"/>
      <c r="E285" s="18"/>
      <c r="F285" s="14"/>
      <c r="G285" s="14"/>
      <c r="H285" s="14"/>
      <c r="I285" s="34">
        <v>1.0</v>
      </c>
      <c r="J285" s="34">
        <v>5.0</v>
      </c>
      <c r="K285" s="34"/>
      <c r="L285" s="34">
        <v>1.0</v>
      </c>
      <c r="M285" s="34"/>
      <c r="N285" s="34">
        <v>2.0</v>
      </c>
      <c r="O285" s="34">
        <v>1.0</v>
      </c>
      <c r="P285" s="34">
        <v>5.0</v>
      </c>
      <c r="Q285" s="40">
        <v>3.0</v>
      </c>
      <c r="R285" s="34"/>
      <c r="S285" s="34"/>
      <c r="T285" s="34">
        <f t="shared" si="12"/>
        <v>18</v>
      </c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</row>
    <row r="286" ht="15.75" customHeight="1">
      <c r="A286" s="27" t="s">
        <v>433</v>
      </c>
      <c r="B286" s="35"/>
      <c r="C286" s="25"/>
      <c r="D286" s="17"/>
      <c r="E286" s="18"/>
      <c r="F286" s="27"/>
      <c r="G286" s="27"/>
      <c r="H286" s="27"/>
      <c r="I286" s="35"/>
      <c r="J286" s="35"/>
      <c r="K286" s="35"/>
      <c r="L286" s="35"/>
      <c r="M286" s="35"/>
      <c r="N286" s="35"/>
      <c r="O286" s="35"/>
      <c r="P286" s="35"/>
      <c r="Q286" s="41"/>
      <c r="R286" s="41"/>
      <c r="S286" s="41"/>
      <c r="T286" s="35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r="287" ht="15.75" customHeight="1">
      <c r="A287" s="14" t="s">
        <v>434</v>
      </c>
      <c r="B287" s="45" t="s">
        <v>42</v>
      </c>
      <c r="C287" s="16"/>
      <c r="D287" s="17"/>
      <c r="E287" s="48"/>
      <c r="F287" s="14"/>
      <c r="G287" s="14" t="s">
        <v>40</v>
      </c>
      <c r="H287" s="14" t="s">
        <v>435</v>
      </c>
      <c r="I287" s="14"/>
      <c r="J287" s="14"/>
      <c r="K287" s="14">
        <v>1.0</v>
      </c>
      <c r="L287" s="14">
        <v>1.0</v>
      </c>
      <c r="M287" s="14"/>
      <c r="N287" s="14"/>
      <c r="O287" s="14"/>
      <c r="P287" s="14"/>
      <c r="Q287" s="19">
        <v>2.0</v>
      </c>
      <c r="R287" s="19">
        <v>1.0</v>
      </c>
      <c r="S287" s="19"/>
      <c r="T287" s="14">
        <f t="shared" ref="T287:T304" si="13">SUM(I287:S287)</f>
        <v>5</v>
      </c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</row>
    <row r="288" ht="15.75" customHeight="1">
      <c r="A288" s="17" t="s">
        <v>436</v>
      </c>
      <c r="B288" s="17" t="s">
        <v>211</v>
      </c>
      <c r="C288" s="30" t="s">
        <v>437</v>
      </c>
      <c r="D288" s="17" t="s">
        <v>438</v>
      </c>
      <c r="E288" s="18">
        <v>45953.0</v>
      </c>
      <c r="F288" s="17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17">
        <v>4.0</v>
      </c>
      <c r="T288" s="14">
        <f t="shared" si="13"/>
        <v>4</v>
      </c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r="289" ht="15.75" customHeight="1">
      <c r="A289" s="17" t="s">
        <v>439</v>
      </c>
      <c r="B289" s="17" t="s">
        <v>136</v>
      </c>
      <c r="C289" s="25"/>
      <c r="D289" s="17"/>
      <c r="E289" s="18"/>
      <c r="F289" s="27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14">
        <f t="shared" si="13"/>
        <v>0</v>
      </c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 ht="15.75" customHeight="1">
      <c r="A290" s="19" t="s">
        <v>440</v>
      </c>
      <c r="B290" s="80" t="s">
        <v>347</v>
      </c>
      <c r="C290" s="81"/>
      <c r="D290" s="47" t="s">
        <v>441</v>
      </c>
      <c r="E290" s="48">
        <v>45943.0</v>
      </c>
      <c r="F290" s="82"/>
      <c r="G290" s="83"/>
      <c r="H290" s="82"/>
      <c r="I290" s="82"/>
      <c r="J290" s="82"/>
      <c r="K290" s="82"/>
      <c r="L290" s="82"/>
      <c r="M290" s="82"/>
      <c r="N290" s="82"/>
      <c r="O290" s="82"/>
      <c r="P290" s="82"/>
      <c r="Q290" s="84">
        <v>1.0</v>
      </c>
      <c r="R290" s="19">
        <v>6.0</v>
      </c>
      <c r="S290" s="19">
        <v>2.0</v>
      </c>
      <c r="T290" s="14">
        <f t="shared" si="13"/>
        <v>9</v>
      </c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r="291" ht="15.75" customHeight="1">
      <c r="A291" s="17" t="s">
        <v>442</v>
      </c>
      <c r="B291" s="37" t="s">
        <v>347</v>
      </c>
      <c r="C291" s="25"/>
      <c r="D291" s="47"/>
      <c r="E291" s="48"/>
      <c r="F291" s="27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17">
        <v>1.0</v>
      </c>
      <c r="R291" s="19">
        <v>1.0</v>
      </c>
      <c r="S291" s="19"/>
      <c r="T291" s="14">
        <f t="shared" si="13"/>
        <v>2</v>
      </c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 ht="15.75" customHeight="1">
      <c r="A292" s="17" t="s">
        <v>443</v>
      </c>
      <c r="B292" s="37" t="s">
        <v>347</v>
      </c>
      <c r="C292" s="25"/>
      <c r="D292" s="17"/>
      <c r="E292" s="18"/>
      <c r="F292" s="27"/>
      <c r="G292" s="26"/>
      <c r="H292" s="27"/>
      <c r="I292" s="27"/>
      <c r="J292" s="27"/>
      <c r="K292" s="27"/>
      <c r="L292" s="27"/>
      <c r="M292" s="27"/>
      <c r="N292" s="27">
        <v>2.0</v>
      </c>
      <c r="O292" s="27">
        <v>5.0</v>
      </c>
      <c r="P292" s="27">
        <v>2.0</v>
      </c>
      <c r="Q292" s="27"/>
      <c r="R292" s="27"/>
      <c r="S292" s="27"/>
      <c r="T292" s="14">
        <f t="shared" si="13"/>
        <v>9</v>
      </c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r="293" ht="15.75" customHeight="1">
      <c r="A293" s="14" t="s">
        <v>444</v>
      </c>
      <c r="B293" s="15" t="s">
        <v>152</v>
      </c>
      <c r="C293" s="16"/>
      <c r="D293" s="17"/>
      <c r="E293" s="18"/>
      <c r="F293" s="14"/>
      <c r="G293" s="20"/>
      <c r="H293" s="14"/>
      <c r="I293" s="14"/>
      <c r="J293" s="14">
        <v>1.0</v>
      </c>
      <c r="K293" s="14">
        <v>1.0</v>
      </c>
      <c r="L293" s="14"/>
      <c r="M293" s="14">
        <v>1.0</v>
      </c>
      <c r="N293" s="14"/>
      <c r="O293" s="14"/>
      <c r="P293" s="14"/>
      <c r="Q293" s="14"/>
      <c r="R293" s="14"/>
      <c r="S293" s="14"/>
      <c r="T293" s="14">
        <f t="shared" si="13"/>
        <v>3</v>
      </c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</row>
    <row r="294" ht="15.75" customHeight="1">
      <c r="A294" s="17" t="s">
        <v>445</v>
      </c>
      <c r="B294" s="17" t="s">
        <v>136</v>
      </c>
      <c r="C294" s="30" t="s">
        <v>158</v>
      </c>
      <c r="D294" s="17"/>
      <c r="E294" s="18"/>
      <c r="F294" s="51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17">
        <v>4.0</v>
      </c>
      <c r="S294" s="17">
        <v>1.0</v>
      </c>
      <c r="T294" s="14">
        <f t="shared" si="13"/>
        <v>5</v>
      </c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r="295" ht="15.75" customHeight="1">
      <c r="A295" s="27" t="s">
        <v>446</v>
      </c>
      <c r="B295" s="49" t="s">
        <v>370</v>
      </c>
      <c r="C295" s="25"/>
      <c r="D295" s="17"/>
      <c r="E295" s="18"/>
      <c r="F295" s="51"/>
      <c r="G295" s="27"/>
      <c r="H295" s="27"/>
      <c r="I295" s="27"/>
      <c r="J295" s="27">
        <v>1.0</v>
      </c>
      <c r="K295" s="27">
        <v>1.0</v>
      </c>
      <c r="L295" s="27"/>
      <c r="M295" s="27">
        <v>1.0</v>
      </c>
      <c r="N295" s="27"/>
      <c r="O295" s="27"/>
      <c r="P295" s="27">
        <v>1.0</v>
      </c>
      <c r="Q295" s="27"/>
      <c r="R295" s="17">
        <v>1.0</v>
      </c>
      <c r="S295" s="17"/>
      <c r="T295" s="14">
        <f t="shared" si="13"/>
        <v>5</v>
      </c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 ht="15.75" customHeight="1">
      <c r="A296" s="19" t="s">
        <v>447</v>
      </c>
      <c r="B296" s="15" t="s">
        <v>46</v>
      </c>
      <c r="C296" s="16"/>
      <c r="D296" s="17"/>
      <c r="E296" s="18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>
        <f t="shared" si="13"/>
        <v>0</v>
      </c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</row>
    <row r="297" ht="15.75" customHeight="1">
      <c r="A297" s="19" t="s">
        <v>448</v>
      </c>
      <c r="B297" s="15" t="s">
        <v>38</v>
      </c>
      <c r="C297" s="16"/>
      <c r="D297" s="50"/>
      <c r="E297" s="48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9"/>
      <c r="R297" s="14"/>
      <c r="S297" s="14"/>
      <c r="T297" s="14">
        <f t="shared" si="13"/>
        <v>0</v>
      </c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</row>
    <row r="298" ht="15.75" customHeight="1">
      <c r="A298" s="19" t="s">
        <v>449</v>
      </c>
      <c r="B298" s="15" t="s">
        <v>149</v>
      </c>
      <c r="C298" s="24" t="s">
        <v>376</v>
      </c>
      <c r="D298" s="50"/>
      <c r="E298" s="48"/>
      <c r="F298" s="19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9"/>
      <c r="R298" s="14"/>
      <c r="S298" s="14"/>
      <c r="T298" s="14">
        <f t="shared" si="13"/>
        <v>0</v>
      </c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</row>
    <row r="299" ht="15.75" customHeight="1">
      <c r="A299" s="19" t="s">
        <v>450</v>
      </c>
      <c r="B299" s="15" t="s">
        <v>451</v>
      </c>
      <c r="C299" s="16"/>
      <c r="D299" s="47"/>
      <c r="E299" s="48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9">
        <v>1.0</v>
      </c>
      <c r="R299" s="14"/>
      <c r="S299" s="19">
        <v>1.0</v>
      </c>
      <c r="T299" s="14">
        <f t="shared" si="13"/>
        <v>2</v>
      </c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</row>
    <row r="300" ht="15.75" customHeight="1">
      <c r="A300" s="23" t="s">
        <v>452</v>
      </c>
      <c r="B300" s="15" t="s">
        <v>22</v>
      </c>
      <c r="C300" s="16"/>
      <c r="D300" s="17"/>
      <c r="E300" s="18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>
        <f t="shared" si="13"/>
        <v>0</v>
      </c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</row>
    <row r="301" ht="15.75" customHeight="1">
      <c r="A301" s="27" t="s">
        <v>453</v>
      </c>
      <c r="B301" s="37" t="s">
        <v>454</v>
      </c>
      <c r="C301" s="25"/>
      <c r="D301" s="17"/>
      <c r="E301" s="18"/>
      <c r="F301" s="27"/>
      <c r="G301" s="27"/>
      <c r="H301" s="27"/>
      <c r="I301" s="27"/>
      <c r="J301" s="27"/>
      <c r="K301" s="27"/>
      <c r="L301" s="27"/>
      <c r="M301" s="27">
        <v>1.0</v>
      </c>
      <c r="N301" s="27"/>
      <c r="O301" s="27"/>
      <c r="P301" s="27">
        <v>1.0</v>
      </c>
      <c r="Q301" s="27"/>
      <c r="R301" s="27"/>
      <c r="S301" s="27"/>
      <c r="T301" s="14">
        <f t="shared" si="13"/>
        <v>2</v>
      </c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 ht="15.75" customHeight="1">
      <c r="A302" s="14" t="s">
        <v>455</v>
      </c>
      <c r="B302" s="15" t="s">
        <v>456</v>
      </c>
      <c r="C302" s="16"/>
      <c r="D302" s="17"/>
      <c r="E302" s="18"/>
      <c r="F302" s="14"/>
      <c r="G302" s="14"/>
      <c r="H302" s="14"/>
      <c r="I302" s="14"/>
      <c r="J302" s="14"/>
      <c r="K302" s="14"/>
      <c r="L302" s="14"/>
      <c r="M302" s="14"/>
      <c r="N302" s="14">
        <v>1.0</v>
      </c>
      <c r="O302" s="14">
        <v>2.0</v>
      </c>
      <c r="P302" s="14">
        <v>1.0</v>
      </c>
      <c r="Q302" s="14"/>
      <c r="R302" s="14"/>
      <c r="S302" s="14"/>
      <c r="T302" s="14">
        <f t="shared" si="13"/>
        <v>4</v>
      </c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</row>
    <row r="303" ht="15.75" customHeight="1">
      <c r="A303" s="17" t="s">
        <v>457</v>
      </c>
      <c r="B303" s="37" t="s">
        <v>129</v>
      </c>
      <c r="C303" s="25"/>
      <c r="D303" s="47"/>
      <c r="E303" s="48"/>
      <c r="F303" s="27"/>
      <c r="G303" s="26"/>
      <c r="H303" s="27"/>
      <c r="I303" s="27"/>
      <c r="J303" s="27"/>
      <c r="K303" s="27"/>
      <c r="L303" s="27"/>
      <c r="M303" s="27">
        <v>1.0</v>
      </c>
      <c r="N303" s="27">
        <v>2.0</v>
      </c>
      <c r="O303" s="27"/>
      <c r="P303" s="27">
        <v>4.0</v>
      </c>
      <c r="Q303" s="17">
        <v>1.0</v>
      </c>
      <c r="R303" s="27"/>
      <c r="S303" s="17">
        <v>1.0</v>
      </c>
      <c r="T303" s="14">
        <f t="shared" si="13"/>
        <v>9</v>
      </c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 ht="15.75" customHeight="1">
      <c r="A304" s="19" t="s">
        <v>458</v>
      </c>
      <c r="B304" s="15" t="s">
        <v>386</v>
      </c>
      <c r="C304" s="16"/>
      <c r="D304" s="47"/>
      <c r="E304" s="48"/>
      <c r="F304" s="14"/>
      <c r="G304" s="14" t="s">
        <v>40</v>
      </c>
      <c r="H304" s="14" t="s">
        <v>459</v>
      </c>
      <c r="I304" s="14"/>
      <c r="J304" s="14"/>
      <c r="K304" s="14">
        <v>10.0</v>
      </c>
      <c r="L304" s="14">
        <v>8.0</v>
      </c>
      <c r="M304" s="34">
        <v>5.0</v>
      </c>
      <c r="N304" s="34">
        <v>10.0</v>
      </c>
      <c r="O304" s="34">
        <v>5.0</v>
      </c>
      <c r="P304" s="34">
        <v>3.0</v>
      </c>
      <c r="Q304" s="40">
        <v>2.0</v>
      </c>
      <c r="R304" s="40"/>
      <c r="S304" s="40">
        <v>1.0</v>
      </c>
      <c r="T304" s="34">
        <f t="shared" si="13"/>
        <v>44</v>
      </c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</row>
    <row r="305" ht="15.75" customHeight="1">
      <c r="A305" s="17" t="s">
        <v>458</v>
      </c>
      <c r="B305" s="37" t="s">
        <v>386</v>
      </c>
      <c r="C305" s="25"/>
      <c r="D305" s="17"/>
      <c r="E305" s="18"/>
      <c r="F305" s="27"/>
      <c r="G305" s="26"/>
      <c r="H305" s="27"/>
      <c r="I305" s="27"/>
      <c r="J305" s="27"/>
      <c r="K305" s="27"/>
      <c r="L305" s="27"/>
      <c r="M305" s="35"/>
      <c r="N305" s="35"/>
      <c r="O305" s="35"/>
      <c r="P305" s="35"/>
      <c r="Q305" s="41"/>
      <c r="R305" s="41"/>
      <c r="S305" s="41"/>
      <c r="T305" s="35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 ht="15.75" customHeight="1">
      <c r="A306" s="19" t="s">
        <v>460</v>
      </c>
      <c r="B306" s="37" t="s">
        <v>386</v>
      </c>
      <c r="C306" s="25"/>
      <c r="D306" s="17"/>
      <c r="E306" s="18"/>
      <c r="F306" s="27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14">
        <f t="shared" ref="T306:T349" si="14">SUM(I306:S306)</f>
        <v>0</v>
      </c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r="307" ht="15.75" customHeight="1">
      <c r="A307" s="85" t="s">
        <v>461</v>
      </c>
      <c r="B307" s="15" t="s">
        <v>386</v>
      </c>
      <c r="C307" s="16"/>
      <c r="D307" s="17"/>
      <c r="E307" s="18"/>
      <c r="F307" s="14"/>
      <c r="G307" s="20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>
        <f t="shared" si="14"/>
        <v>0</v>
      </c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</row>
    <row r="308" ht="15.75" customHeight="1">
      <c r="A308" s="19" t="s">
        <v>462</v>
      </c>
      <c r="B308" s="19" t="s">
        <v>27</v>
      </c>
      <c r="C308" s="16"/>
      <c r="D308" s="17"/>
      <c r="E308" s="18"/>
      <c r="F308" s="14"/>
      <c r="G308" s="20"/>
      <c r="H308" s="14"/>
      <c r="I308" s="14"/>
      <c r="J308" s="14"/>
      <c r="K308" s="14"/>
      <c r="L308" s="14"/>
      <c r="M308" s="14"/>
      <c r="N308" s="14">
        <v>1.0</v>
      </c>
      <c r="O308" s="14"/>
      <c r="P308" s="14"/>
      <c r="Q308" s="14"/>
      <c r="R308" s="14"/>
      <c r="S308" s="14"/>
      <c r="T308" s="14">
        <f t="shared" si="14"/>
        <v>1</v>
      </c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</row>
    <row r="309" ht="15.75" customHeight="1">
      <c r="A309" s="17" t="s">
        <v>463</v>
      </c>
      <c r="B309" s="37" t="s">
        <v>386</v>
      </c>
      <c r="C309" s="25"/>
      <c r="D309" s="17"/>
      <c r="E309" s="18"/>
      <c r="F309" s="27"/>
      <c r="G309" s="26" t="s">
        <v>40</v>
      </c>
      <c r="H309" s="29">
        <v>45900.0</v>
      </c>
      <c r="I309" s="27"/>
      <c r="J309" s="27"/>
      <c r="K309" s="27"/>
      <c r="L309" s="27"/>
      <c r="M309" s="27">
        <v>2.0</v>
      </c>
      <c r="N309" s="27">
        <v>4.0</v>
      </c>
      <c r="O309" s="27"/>
      <c r="P309" s="27">
        <v>2.0</v>
      </c>
      <c r="Q309" s="27"/>
      <c r="R309" s="17">
        <v>1.0</v>
      </c>
      <c r="S309" s="17">
        <v>1.0</v>
      </c>
      <c r="T309" s="14">
        <f t="shared" si="14"/>
        <v>10</v>
      </c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 ht="15.75" customHeight="1">
      <c r="A310" s="19" t="s">
        <v>464</v>
      </c>
      <c r="B310" s="15" t="s">
        <v>386</v>
      </c>
      <c r="C310" s="16"/>
      <c r="D310" s="17"/>
      <c r="E310" s="18"/>
      <c r="F310" s="14"/>
      <c r="G310" s="20"/>
      <c r="H310" s="14"/>
      <c r="I310" s="14"/>
      <c r="J310" s="14"/>
      <c r="K310" s="14"/>
      <c r="L310" s="14">
        <v>2.0</v>
      </c>
      <c r="M310" s="14">
        <v>1.0</v>
      </c>
      <c r="N310" s="14">
        <v>5.0</v>
      </c>
      <c r="O310" s="14">
        <v>2.0</v>
      </c>
      <c r="P310" s="14">
        <v>1.0</v>
      </c>
      <c r="Q310" s="14"/>
      <c r="R310" s="14"/>
      <c r="S310" s="19">
        <v>1.0</v>
      </c>
      <c r="T310" s="14">
        <f t="shared" si="14"/>
        <v>12</v>
      </c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</row>
    <row r="311" ht="15.75" customHeight="1">
      <c r="A311" s="17" t="s">
        <v>465</v>
      </c>
      <c r="B311" s="37" t="s">
        <v>21</v>
      </c>
      <c r="C311" s="25"/>
      <c r="D311" s="17"/>
      <c r="E311" s="18"/>
      <c r="F311" s="27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14">
        <f t="shared" si="14"/>
        <v>0</v>
      </c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 ht="15.75" customHeight="1">
      <c r="A312" s="14" t="s">
        <v>466</v>
      </c>
      <c r="B312" s="15" t="s">
        <v>189</v>
      </c>
      <c r="C312" s="16"/>
      <c r="D312" s="47"/>
      <c r="E312" s="48"/>
      <c r="F312" s="14"/>
      <c r="G312" s="20" t="s">
        <v>40</v>
      </c>
      <c r="H312" s="14"/>
      <c r="I312" s="14"/>
      <c r="J312" s="14"/>
      <c r="K312" s="14"/>
      <c r="L312" s="14"/>
      <c r="M312" s="14">
        <v>2.0</v>
      </c>
      <c r="N312" s="14">
        <v>6.0</v>
      </c>
      <c r="O312" s="14">
        <v>2.0</v>
      </c>
      <c r="P312" s="14"/>
      <c r="Q312" s="19">
        <v>1.0</v>
      </c>
      <c r="R312" s="19">
        <v>1.0</v>
      </c>
      <c r="S312" s="19"/>
      <c r="T312" s="14">
        <f t="shared" si="14"/>
        <v>12</v>
      </c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</row>
    <row r="313" ht="15.75" customHeight="1">
      <c r="A313" s="17" t="s">
        <v>467</v>
      </c>
      <c r="B313" s="37" t="s">
        <v>27</v>
      </c>
      <c r="C313" s="25"/>
      <c r="D313" s="17"/>
      <c r="E313" s="18"/>
      <c r="F313" s="51"/>
      <c r="G313" s="86"/>
      <c r="H313" s="33"/>
      <c r="I313" s="33"/>
      <c r="J313" s="33"/>
      <c r="K313" s="33"/>
      <c r="L313" s="33"/>
      <c r="M313" s="33"/>
      <c r="N313" s="33"/>
      <c r="O313" s="33"/>
      <c r="P313" s="33"/>
      <c r="Q313" s="46">
        <v>2.0</v>
      </c>
      <c r="R313" s="34"/>
      <c r="S313" s="40">
        <v>1.0</v>
      </c>
      <c r="T313" s="14">
        <f t="shared" si="14"/>
        <v>3</v>
      </c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 ht="15.75" customHeight="1">
      <c r="A314" s="17" t="s">
        <v>468</v>
      </c>
      <c r="B314" s="49" t="s">
        <v>62</v>
      </c>
      <c r="C314" s="25"/>
      <c r="D314" s="17"/>
      <c r="E314" s="18"/>
      <c r="F314" s="51"/>
      <c r="G314" s="86"/>
      <c r="H314" s="33"/>
      <c r="I314" s="33"/>
      <c r="J314" s="33">
        <v>2.0</v>
      </c>
      <c r="K314" s="33">
        <v>1.0</v>
      </c>
      <c r="L314" s="33"/>
      <c r="M314" s="33"/>
      <c r="N314" s="33"/>
      <c r="O314" s="33"/>
      <c r="P314" s="33"/>
      <c r="Q314" s="33"/>
      <c r="R314" s="33"/>
      <c r="S314" s="33"/>
      <c r="T314" s="14">
        <f t="shared" si="14"/>
        <v>3</v>
      </c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r="315" ht="15.75" customHeight="1">
      <c r="A315" s="19" t="s">
        <v>469</v>
      </c>
      <c r="B315" s="19" t="s">
        <v>421</v>
      </c>
      <c r="C315" s="24" t="s">
        <v>222</v>
      </c>
      <c r="D315" s="47"/>
      <c r="E315" s="48"/>
      <c r="F315" s="87"/>
      <c r="G315" s="88"/>
      <c r="H315" s="34"/>
      <c r="I315" s="34"/>
      <c r="J315" s="34"/>
      <c r="K315" s="34"/>
      <c r="L315" s="34"/>
      <c r="M315" s="34"/>
      <c r="N315" s="34"/>
      <c r="O315" s="34"/>
      <c r="P315" s="34"/>
      <c r="Q315" s="40"/>
      <c r="R315" s="34"/>
      <c r="S315" s="40">
        <v>1.0</v>
      </c>
      <c r="T315" s="14">
        <f t="shared" si="14"/>
        <v>1</v>
      </c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</row>
    <row r="316" ht="15.75" customHeight="1">
      <c r="A316" s="14" t="s">
        <v>470</v>
      </c>
      <c r="B316" s="14" t="s">
        <v>471</v>
      </c>
      <c r="C316" s="16"/>
      <c r="D316" s="47"/>
      <c r="E316" s="48"/>
      <c r="F316" s="87"/>
      <c r="G316" s="20"/>
      <c r="H316" s="14"/>
      <c r="I316" s="14"/>
      <c r="J316" s="14">
        <v>2.0</v>
      </c>
      <c r="K316" s="14">
        <v>1.0</v>
      </c>
      <c r="L316" s="14">
        <v>2.0</v>
      </c>
      <c r="M316" s="14">
        <v>1.0</v>
      </c>
      <c r="N316" s="14"/>
      <c r="O316" s="14">
        <v>1.0</v>
      </c>
      <c r="P316" s="14"/>
      <c r="Q316" s="19">
        <v>1.0</v>
      </c>
      <c r="R316" s="14"/>
      <c r="S316" s="19">
        <v>2.0</v>
      </c>
      <c r="T316" s="14">
        <f t="shared" si="14"/>
        <v>10</v>
      </c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</row>
    <row r="317" ht="15.75" customHeight="1">
      <c r="A317" s="27" t="s">
        <v>470</v>
      </c>
      <c r="B317" s="27" t="s">
        <v>62</v>
      </c>
      <c r="C317" s="25"/>
      <c r="D317" s="17"/>
      <c r="E317" s="18"/>
      <c r="F317" s="72" t="s">
        <v>382</v>
      </c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14">
        <f t="shared" si="14"/>
        <v>0</v>
      </c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ht="15.75" customHeight="1">
      <c r="A318" s="71" t="s">
        <v>470</v>
      </c>
      <c r="B318" s="72" t="s">
        <v>62</v>
      </c>
      <c r="C318" s="73"/>
      <c r="D318" s="72"/>
      <c r="E318" s="18"/>
      <c r="F318" s="72" t="s">
        <v>382</v>
      </c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14">
        <f t="shared" si="14"/>
        <v>0</v>
      </c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</row>
    <row r="319" ht="15.75" customHeight="1">
      <c r="A319" s="17" t="s">
        <v>472</v>
      </c>
      <c r="B319" s="27" t="s">
        <v>471</v>
      </c>
      <c r="C319" s="25"/>
      <c r="D319" s="17"/>
      <c r="E319" s="18"/>
      <c r="F319" s="27"/>
      <c r="G319" s="27" t="s">
        <v>40</v>
      </c>
      <c r="H319" s="27"/>
      <c r="I319" s="27"/>
      <c r="J319" s="27"/>
      <c r="K319" s="27"/>
      <c r="L319" s="27"/>
      <c r="M319" s="27"/>
      <c r="N319" s="27">
        <v>1.0</v>
      </c>
      <c r="O319" s="27"/>
      <c r="P319" s="27"/>
      <c r="Q319" s="27"/>
      <c r="R319" s="27"/>
      <c r="S319" s="27"/>
      <c r="T319" s="14">
        <f t="shared" si="14"/>
        <v>1</v>
      </c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 ht="15.75" customHeight="1">
      <c r="A320" s="19" t="s">
        <v>473</v>
      </c>
      <c r="B320" s="14" t="s">
        <v>471</v>
      </c>
      <c r="C320" s="16"/>
      <c r="D320" s="17"/>
      <c r="E320" s="18"/>
      <c r="F320" s="14"/>
      <c r="G320" s="20"/>
      <c r="H320" s="14"/>
      <c r="I320" s="14"/>
      <c r="J320" s="14"/>
      <c r="K320" s="14"/>
      <c r="L320" s="14"/>
      <c r="M320" s="14"/>
      <c r="N320" s="14">
        <v>2.0</v>
      </c>
      <c r="O320" s="14"/>
      <c r="P320" s="14">
        <v>3.0</v>
      </c>
      <c r="Q320" s="14"/>
      <c r="R320" s="14"/>
      <c r="S320" s="14"/>
      <c r="T320" s="14">
        <f t="shared" si="14"/>
        <v>5</v>
      </c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</row>
    <row r="321" ht="15.75" customHeight="1">
      <c r="A321" s="27" t="s">
        <v>474</v>
      </c>
      <c r="B321" s="27" t="s">
        <v>471</v>
      </c>
      <c r="C321" s="25"/>
      <c r="D321" s="17"/>
      <c r="E321" s="18"/>
      <c r="F321" s="27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14">
        <f t="shared" si="14"/>
        <v>0</v>
      </c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 ht="15.75" customHeight="1">
      <c r="A322" s="19" t="s">
        <v>475</v>
      </c>
      <c r="B322" s="14" t="s">
        <v>471</v>
      </c>
      <c r="C322" s="16"/>
      <c r="D322" s="17"/>
      <c r="E322" s="18"/>
      <c r="F322" s="14"/>
      <c r="G322" s="20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>
        <f t="shared" si="14"/>
        <v>0</v>
      </c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</row>
    <row r="323" ht="15.75" customHeight="1">
      <c r="A323" s="27" t="s">
        <v>476</v>
      </c>
      <c r="B323" s="27" t="s">
        <v>471</v>
      </c>
      <c r="C323" s="25"/>
      <c r="D323" s="17"/>
      <c r="E323" s="18"/>
      <c r="F323" s="27"/>
      <c r="G323" s="26"/>
      <c r="H323" s="27"/>
      <c r="I323" s="27"/>
      <c r="J323" s="27"/>
      <c r="K323" s="27">
        <v>1.0</v>
      </c>
      <c r="L323" s="27">
        <v>1.0</v>
      </c>
      <c r="M323" s="27"/>
      <c r="N323" s="27"/>
      <c r="O323" s="27"/>
      <c r="P323" s="27"/>
      <c r="Q323" s="27"/>
      <c r="R323" s="27"/>
      <c r="S323" s="27"/>
      <c r="T323" s="14">
        <f t="shared" si="14"/>
        <v>2</v>
      </c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 ht="15.75" customHeight="1">
      <c r="A324" s="14" t="s">
        <v>477</v>
      </c>
      <c r="B324" s="14" t="s">
        <v>471</v>
      </c>
      <c r="C324" s="16"/>
      <c r="D324" s="17"/>
      <c r="E324" s="18"/>
      <c r="F324" s="14"/>
      <c r="G324" s="14" t="s">
        <v>40</v>
      </c>
      <c r="H324" s="14" t="s">
        <v>116</v>
      </c>
      <c r="I324" s="14"/>
      <c r="J324" s="14"/>
      <c r="K324" s="14">
        <v>1.0</v>
      </c>
      <c r="L324" s="14"/>
      <c r="M324" s="14"/>
      <c r="N324" s="14">
        <v>1.0</v>
      </c>
      <c r="O324" s="14"/>
      <c r="P324" s="14"/>
      <c r="Q324" s="14"/>
      <c r="R324" s="14"/>
      <c r="S324" s="14"/>
      <c r="T324" s="14">
        <f t="shared" si="14"/>
        <v>2</v>
      </c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</row>
    <row r="325" ht="15.75" customHeight="1">
      <c r="A325" s="27" t="s">
        <v>478</v>
      </c>
      <c r="B325" s="17" t="s">
        <v>34</v>
      </c>
      <c r="C325" s="25"/>
      <c r="D325" s="17"/>
      <c r="E325" s="18"/>
      <c r="F325" s="51"/>
      <c r="G325" s="23" t="s">
        <v>479</v>
      </c>
      <c r="H325" s="27" t="s">
        <v>480</v>
      </c>
      <c r="I325" s="27"/>
      <c r="J325" s="27">
        <v>1.0</v>
      </c>
      <c r="K325" s="27">
        <v>2.0</v>
      </c>
      <c r="L325" s="27"/>
      <c r="M325" s="27"/>
      <c r="N325" s="27">
        <v>1.0</v>
      </c>
      <c r="O325" s="27"/>
      <c r="P325" s="27"/>
      <c r="Q325" s="27"/>
      <c r="R325" s="27"/>
      <c r="S325" s="27"/>
      <c r="T325" s="14">
        <f t="shared" si="14"/>
        <v>4</v>
      </c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 ht="15.75" customHeight="1">
      <c r="A326" s="14" t="s">
        <v>481</v>
      </c>
      <c r="B326" s="19" t="s">
        <v>34</v>
      </c>
      <c r="C326" s="16"/>
      <c r="D326" s="17"/>
      <c r="E326" s="18"/>
      <c r="F326" s="67"/>
      <c r="G326" s="20"/>
      <c r="H326" s="14"/>
      <c r="I326" s="14"/>
      <c r="J326" s="14">
        <v>3.0</v>
      </c>
      <c r="K326" s="14">
        <v>2.0</v>
      </c>
      <c r="L326" s="14"/>
      <c r="M326" s="14"/>
      <c r="N326" s="14">
        <v>2.0</v>
      </c>
      <c r="O326" s="14"/>
      <c r="P326" s="14"/>
      <c r="Q326" s="14"/>
      <c r="R326" s="14"/>
      <c r="S326" s="14"/>
      <c r="T326" s="14">
        <f t="shared" si="14"/>
        <v>7</v>
      </c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</row>
    <row r="327" ht="15.75" customHeight="1">
      <c r="A327" s="27" t="s">
        <v>482</v>
      </c>
      <c r="B327" s="37" t="s">
        <v>42</v>
      </c>
      <c r="C327" s="25"/>
      <c r="D327" s="17"/>
      <c r="E327" s="18"/>
      <c r="F327" s="27"/>
      <c r="G327" s="26"/>
      <c r="H327" s="27"/>
      <c r="I327" s="27"/>
      <c r="J327" s="27"/>
      <c r="K327" s="27"/>
      <c r="L327" s="27"/>
      <c r="M327" s="27"/>
      <c r="N327" s="27"/>
      <c r="O327" s="27">
        <v>1.0</v>
      </c>
      <c r="P327" s="27">
        <v>1.0</v>
      </c>
      <c r="Q327" s="27"/>
      <c r="R327" s="27"/>
      <c r="S327" s="27"/>
      <c r="T327" s="14">
        <f t="shared" si="14"/>
        <v>2</v>
      </c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 ht="15.75" customHeight="1">
      <c r="A328" s="14" t="s">
        <v>483</v>
      </c>
      <c r="B328" s="45" t="s">
        <v>471</v>
      </c>
      <c r="C328" s="16"/>
      <c r="D328" s="17"/>
      <c r="E328" s="18"/>
      <c r="F328" s="14"/>
      <c r="G328" s="14"/>
      <c r="H328" s="14"/>
      <c r="I328" s="14"/>
      <c r="J328" s="14"/>
      <c r="K328" s="14"/>
      <c r="L328" s="14"/>
      <c r="M328" s="14"/>
      <c r="N328" s="14"/>
      <c r="O328" s="14">
        <v>1.0</v>
      </c>
      <c r="P328" s="14"/>
      <c r="Q328" s="14"/>
      <c r="R328" s="14"/>
      <c r="S328" s="14"/>
      <c r="T328" s="14">
        <f t="shared" si="14"/>
        <v>1</v>
      </c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</row>
    <row r="329" ht="15.75" customHeight="1">
      <c r="A329" s="27" t="s">
        <v>484</v>
      </c>
      <c r="B329" s="37" t="s">
        <v>119</v>
      </c>
      <c r="C329" s="25"/>
      <c r="D329" s="17"/>
      <c r="E329" s="18"/>
      <c r="F329" s="27"/>
      <c r="G329" s="27" t="s">
        <v>40</v>
      </c>
      <c r="H329" s="27" t="s">
        <v>485</v>
      </c>
      <c r="I329" s="27"/>
      <c r="J329" s="27">
        <v>1.0</v>
      </c>
      <c r="K329" s="27"/>
      <c r="L329" s="27">
        <v>1.0</v>
      </c>
      <c r="M329" s="27">
        <v>3.0</v>
      </c>
      <c r="N329" s="27">
        <v>2.0</v>
      </c>
      <c r="O329" s="27">
        <v>5.0</v>
      </c>
      <c r="P329" s="27"/>
      <c r="Q329" s="27"/>
      <c r="R329" s="27"/>
      <c r="S329" s="27"/>
      <c r="T329" s="14">
        <f t="shared" si="14"/>
        <v>12</v>
      </c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 ht="15.75" customHeight="1">
      <c r="A330" s="14" t="s">
        <v>486</v>
      </c>
      <c r="B330" s="45" t="s">
        <v>136</v>
      </c>
      <c r="C330" s="16"/>
      <c r="D330" s="17"/>
      <c r="E330" s="18"/>
      <c r="F330" s="67"/>
      <c r="G330" s="20"/>
      <c r="H330" s="14"/>
      <c r="I330" s="14"/>
      <c r="J330" s="14">
        <v>1.0</v>
      </c>
      <c r="K330" s="14"/>
      <c r="L330" s="14">
        <v>3.0</v>
      </c>
      <c r="M330" s="14">
        <v>1.0</v>
      </c>
      <c r="N330" s="14">
        <v>1.0</v>
      </c>
      <c r="O330" s="14"/>
      <c r="P330" s="14">
        <v>1.0</v>
      </c>
      <c r="Q330" s="14"/>
      <c r="R330" s="14"/>
      <c r="S330" s="19">
        <v>2.0</v>
      </c>
      <c r="T330" s="14">
        <f t="shared" si="14"/>
        <v>9</v>
      </c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</row>
    <row r="331" ht="15.75" customHeight="1">
      <c r="A331" s="17" t="s">
        <v>487</v>
      </c>
      <c r="B331" s="37" t="s">
        <v>488</v>
      </c>
      <c r="C331" s="25"/>
      <c r="D331" s="17"/>
      <c r="E331" s="18"/>
      <c r="F331" s="27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17">
        <v>1.0</v>
      </c>
      <c r="R331" s="19"/>
      <c r="S331" s="19"/>
      <c r="T331" s="14">
        <f t="shared" si="14"/>
        <v>1</v>
      </c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 ht="15.75" customHeight="1">
      <c r="A332" s="27" t="s">
        <v>489</v>
      </c>
      <c r="B332" s="49" t="s">
        <v>83</v>
      </c>
      <c r="C332" s="25"/>
      <c r="D332" s="17"/>
      <c r="E332" s="18"/>
      <c r="F332" s="27"/>
      <c r="G332" s="23" t="s">
        <v>490</v>
      </c>
      <c r="H332" s="27" t="s">
        <v>491</v>
      </c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17">
        <v>1.0</v>
      </c>
      <c r="T332" s="14">
        <f t="shared" si="14"/>
        <v>1</v>
      </c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r="333" ht="15.75" customHeight="1">
      <c r="A333" s="19" t="s">
        <v>492</v>
      </c>
      <c r="B333" s="15" t="s">
        <v>250</v>
      </c>
      <c r="C333" s="16"/>
      <c r="D333" s="17"/>
      <c r="E333" s="18"/>
      <c r="F333" s="67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>
        <f t="shared" si="14"/>
        <v>0</v>
      </c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</row>
    <row r="334" ht="15.75" customHeight="1">
      <c r="A334" s="14" t="s">
        <v>493</v>
      </c>
      <c r="B334" s="15" t="s">
        <v>361</v>
      </c>
      <c r="C334" s="16"/>
      <c r="D334" s="47"/>
      <c r="E334" s="48"/>
      <c r="F334" s="67"/>
      <c r="G334" s="23" t="s">
        <v>494</v>
      </c>
      <c r="H334" s="14" t="s">
        <v>495</v>
      </c>
      <c r="I334" s="14"/>
      <c r="J334" s="14">
        <v>3.0</v>
      </c>
      <c r="K334" s="14"/>
      <c r="L334" s="14">
        <v>2.0</v>
      </c>
      <c r="M334" s="14"/>
      <c r="N334" s="14"/>
      <c r="O334" s="14"/>
      <c r="P334" s="14">
        <v>1.0</v>
      </c>
      <c r="Q334" s="19">
        <v>2.0</v>
      </c>
      <c r="R334" s="19">
        <v>1.0</v>
      </c>
      <c r="S334" s="19"/>
      <c r="T334" s="14">
        <f t="shared" si="14"/>
        <v>9</v>
      </c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</row>
    <row r="335" ht="15.75" customHeight="1">
      <c r="A335" s="27" t="s">
        <v>496</v>
      </c>
      <c r="B335" s="37" t="s">
        <v>87</v>
      </c>
      <c r="C335" s="25"/>
      <c r="D335" s="17"/>
      <c r="E335" s="18"/>
      <c r="F335" s="27"/>
      <c r="G335" s="26"/>
      <c r="H335" s="27"/>
      <c r="I335" s="27"/>
      <c r="J335" s="27"/>
      <c r="K335" s="27">
        <v>2.0</v>
      </c>
      <c r="L335" s="27">
        <v>1.0</v>
      </c>
      <c r="M335" s="27"/>
      <c r="N335" s="27"/>
      <c r="O335" s="27">
        <v>1.0</v>
      </c>
      <c r="P335" s="27"/>
      <c r="Q335" s="27"/>
      <c r="R335" s="27"/>
      <c r="S335" s="27"/>
      <c r="T335" s="14">
        <f t="shared" si="14"/>
        <v>4</v>
      </c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 ht="15.75" customHeight="1">
      <c r="A336" s="19" t="s">
        <v>497</v>
      </c>
      <c r="B336" s="15" t="s">
        <v>87</v>
      </c>
      <c r="C336" s="24" t="s">
        <v>141</v>
      </c>
      <c r="D336" s="17"/>
      <c r="E336" s="18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>
        <f t="shared" si="14"/>
        <v>0</v>
      </c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</row>
    <row r="337" ht="15.75" customHeight="1">
      <c r="A337" s="14" t="s">
        <v>498</v>
      </c>
      <c r="B337" s="15" t="s">
        <v>70</v>
      </c>
      <c r="C337" s="24" t="s">
        <v>141</v>
      </c>
      <c r="D337" s="17"/>
      <c r="E337" s="18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9">
        <v>2.0</v>
      </c>
      <c r="S337" s="19"/>
      <c r="T337" s="14">
        <f t="shared" si="14"/>
        <v>2</v>
      </c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</row>
    <row r="338" ht="15.75" customHeight="1">
      <c r="A338" s="27" t="s">
        <v>499</v>
      </c>
      <c r="B338" s="37" t="s">
        <v>29</v>
      </c>
      <c r="C338" s="25" t="s">
        <v>158</v>
      </c>
      <c r="D338" s="17"/>
      <c r="E338" s="18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9">
        <v>4.0</v>
      </c>
      <c r="S338" s="19"/>
      <c r="T338" s="14">
        <f t="shared" si="14"/>
        <v>4</v>
      </c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</row>
    <row r="339" ht="15.75" customHeight="1">
      <c r="A339" s="14" t="s">
        <v>500</v>
      </c>
      <c r="B339" s="15" t="s">
        <v>234</v>
      </c>
      <c r="C339" s="24" t="s">
        <v>141</v>
      </c>
      <c r="D339" s="17"/>
      <c r="E339" s="18"/>
      <c r="F339" s="14"/>
      <c r="G339" s="19" t="s">
        <v>40</v>
      </c>
      <c r="H339" s="90">
        <v>45882.0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9">
        <v>3.0</v>
      </c>
      <c r="S339" s="19">
        <v>2.0</v>
      </c>
      <c r="T339" s="14">
        <f t="shared" si="14"/>
        <v>5</v>
      </c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</row>
    <row r="340" ht="15.75" customHeight="1">
      <c r="A340" s="19" t="s">
        <v>501</v>
      </c>
      <c r="B340" s="15" t="s">
        <v>87</v>
      </c>
      <c r="C340" s="16"/>
      <c r="D340" s="17"/>
      <c r="E340" s="18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>
        <f t="shared" si="14"/>
        <v>0</v>
      </c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</row>
    <row r="341" ht="15.75" customHeight="1">
      <c r="A341" s="14" t="s">
        <v>502</v>
      </c>
      <c r="B341" s="15" t="s">
        <v>49</v>
      </c>
      <c r="C341" s="16"/>
      <c r="D341" s="17"/>
      <c r="E341" s="18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>
        <v>2.0</v>
      </c>
      <c r="Q341" s="14"/>
      <c r="R341" s="14"/>
      <c r="S341" s="14"/>
      <c r="T341" s="14">
        <f t="shared" si="14"/>
        <v>2</v>
      </c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</row>
    <row r="342" ht="15.75" customHeight="1">
      <c r="A342" s="27" t="s">
        <v>503</v>
      </c>
      <c r="B342" s="37" t="s">
        <v>68</v>
      </c>
      <c r="C342" s="25"/>
      <c r="D342" s="17"/>
      <c r="E342" s="18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14">
        <f t="shared" si="14"/>
        <v>0</v>
      </c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r="343" ht="15.75" customHeight="1">
      <c r="A343" s="14" t="s">
        <v>504</v>
      </c>
      <c r="B343" s="45" t="s">
        <v>194</v>
      </c>
      <c r="C343" s="16"/>
      <c r="D343" s="17"/>
      <c r="E343" s="18"/>
      <c r="F343" s="14"/>
      <c r="G343" s="14" t="s">
        <v>40</v>
      </c>
      <c r="H343" s="14" t="s">
        <v>91</v>
      </c>
      <c r="I343" s="14">
        <v>1.0</v>
      </c>
      <c r="J343" s="14">
        <v>3.0</v>
      </c>
      <c r="K343" s="14">
        <v>2.0</v>
      </c>
      <c r="L343" s="14">
        <v>2.0</v>
      </c>
      <c r="M343" s="14"/>
      <c r="N343" s="14">
        <v>2.0</v>
      </c>
      <c r="O343" s="14">
        <v>4.0</v>
      </c>
      <c r="P343" s="14"/>
      <c r="Q343" s="14"/>
      <c r="R343" s="14"/>
      <c r="S343" s="19">
        <v>1.0</v>
      </c>
      <c r="T343" s="14">
        <f t="shared" si="14"/>
        <v>15</v>
      </c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</row>
    <row r="344" ht="15.75" customHeight="1">
      <c r="A344" s="27" t="s">
        <v>505</v>
      </c>
      <c r="B344" s="49" t="s">
        <v>194</v>
      </c>
      <c r="C344" s="25"/>
      <c r="D344" s="17"/>
      <c r="E344" s="18"/>
      <c r="F344" s="27"/>
      <c r="G344" s="27" t="s">
        <v>40</v>
      </c>
      <c r="H344" s="27" t="s">
        <v>91</v>
      </c>
      <c r="I344" s="27"/>
      <c r="J344" s="27">
        <v>1.0</v>
      </c>
      <c r="K344" s="27">
        <v>1.0</v>
      </c>
      <c r="L344" s="27"/>
      <c r="M344" s="27"/>
      <c r="N344" s="27">
        <v>2.0</v>
      </c>
      <c r="O344" s="27"/>
      <c r="P344" s="27"/>
      <c r="Q344" s="27"/>
      <c r="R344" s="27"/>
      <c r="S344" s="27"/>
      <c r="T344" s="14">
        <f t="shared" si="14"/>
        <v>4</v>
      </c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r="345" ht="15.75" customHeight="1">
      <c r="A345" s="19" t="s">
        <v>506</v>
      </c>
      <c r="B345" s="45" t="s">
        <v>194</v>
      </c>
      <c r="C345" s="16"/>
      <c r="D345" s="17"/>
      <c r="E345" s="18"/>
      <c r="F345" s="14"/>
      <c r="G345" s="20"/>
      <c r="H345" s="14"/>
      <c r="I345" s="14"/>
      <c r="J345" s="14"/>
      <c r="K345" s="14">
        <v>1.0</v>
      </c>
      <c r="L345" s="14"/>
      <c r="M345" s="14"/>
      <c r="N345" s="14">
        <v>2.0</v>
      </c>
      <c r="O345" s="14">
        <v>2.0</v>
      </c>
      <c r="P345" s="14"/>
      <c r="Q345" s="14"/>
      <c r="R345" s="14"/>
      <c r="S345" s="14"/>
      <c r="T345" s="14">
        <f t="shared" si="14"/>
        <v>5</v>
      </c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</row>
    <row r="346" ht="15.75" customHeight="1">
      <c r="A346" s="27" t="s">
        <v>507</v>
      </c>
      <c r="B346" s="17" t="s">
        <v>49</v>
      </c>
      <c r="C346" s="25"/>
      <c r="D346" s="17"/>
      <c r="E346" s="18"/>
      <c r="F346" s="27"/>
      <c r="G346" s="27"/>
      <c r="H346" s="27"/>
      <c r="I346" s="27"/>
      <c r="J346" s="27"/>
      <c r="K346" s="27"/>
      <c r="L346" s="27"/>
      <c r="M346" s="27"/>
      <c r="N346" s="27">
        <v>3.0</v>
      </c>
      <c r="O346" s="27">
        <v>2.0</v>
      </c>
      <c r="P346" s="27"/>
      <c r="Q346" s="27"/>
      <c r="R346" s="27"/>
      <c r="S346" s="27"/>
      <c r="T346" s="14">
        <f t="shared" si="14"/>
        <v>5</v>
      </c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r="347" ht="15.75" customHeight="1">
      <c r="A347" s="14" t="s">
        <v>508</v>
      </c>
      <c r="B347" s="19" t="s">
        <v>42</v>
      </c>
      <c r="C347" s="16"/>
      <c r="D347" s="17"/>
      <c r="E347" s="18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9">
        <v>1.0</v>
      </c>
      <c r="S347" s="19"/>
      <c r="T347" s="14">
        <f t="shared" si="14"/>
        <v>1</v>
      </c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</row>
    <row r="348" ht="15.75" customHeight="1">
      <c r="A348" s="27" t="s">
        <v>509</v>
      </c>
      <c r="B348" s="27" t="s">
        <v>51</v>
      </c>
      <c r="C348" s="25"/>
      <c r="D348" s="17"/>
      <c r="E348" s="18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14">
        <f t="shared" si="14"/>
        <v>0</v>
      </c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r="349" ht="15.75" customHeight="1">
      <c r="A349" s="14" t="s">
        <v>510</v>
      </c>
      <c r="B349" s="40" t="s">
        <v>421</v>
      </c>
      <c r="C349" s="16"/>
      <c r="D349" s="17"/>
      <c r="E349" s="48"/>
      <c r="F349" s="14"/>
      <c r="G349" s="14"/>
      <c r="H349" s="14"/>
      <c r="I349" s="14"/>
      <c r="J349" s="14"/>
      <c r="K349" s="14"/>
      <c r="L349" s="14"/>
      <c r="M349" s="14"/>
      <c r="N349" s="34">
        <v>1.0</v>
      </c>
      <c r="O349" s="34">
        <v>5.0</v>
      </c>
      <c r="P349" s="34">
        <v>1.0</v>
      </c>
      <c r="Q349" s="34"/>
      <c r="R349" s="40">
        <v>1.0</v>
      </c>
      <c r="S349" s="40"/>
      <c r="T349" s="34">
        <f t="shared" si="14"/>
        <v>8</v>
      </c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</row>
    <row r="350" ht="15.75" customHeight="1">
      <c r="A350" s="17" t="s">
        <v>511</v>
      </c>
      <c r="B350" s="35"/>
      <c r="C350" s="25"/>
      <c r="D350" s="17"/>
      <c r="E350" s="18"/>
      <c r="F350" s="27"/>
      <c r="G350" s="27"/>
      <c r="H350" s="27"/>
      <c r="I350" s="27"/>
      <c r="J350" s="27"/>
      <c r="K350" s="27"/>
      <c r="L350" s="27"/>
      <c r="M350" s="27"/>
      <c r="N350" s="35"/>
      <c r="O350" s="35"/>
      <c r="P350" s="35"/>
      <c r="Q350" s="41"/>
      <c r="R350" s="41"/>
      <c r="S350" s="41"/>
      <c r="T350" s="35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r="351" ht="15.75" customHeight="1">
      <c r="A351" s="17" t="s">
        <v>512</v>
      </c>
      <c r="B351" s="15" t="s">
        <v>247</v>
      </c>
      <c r="C351" s="24"/>
      <c r="D351" s="17"/>
      <c r="E351" s="18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34"/>
      <c r="R351" s="40">
        <v>3.0</v>
      </c>
      <c r="S351" s="40">
        <v>1.0</v>
      </c>
      <c r="T351" s="14">
        <f t="shared" ref="T351:T362" si="15">SUM(I351:S351)</f>
        <v>4</v>
      </c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</row>
    <row r="352" ht="15.75" customHeight="1">
      <c r="A352" s="17" t="s">
        <v>513</v>
      </c>
      <c r="B352" s="15" t="s">
        <v>214</v>
      </c>
      <c r="C352" s="24" t="s">
        <v>158</v>
      </c>
      <c r="D352" s="17"/>
      <c r="E352" s="18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34"/>
      <c r="R352" s="40">
        <v>2.0</v>
      </c>
      <c r="S352" s="40"/>
      <c r="T352" s="14">
        <f t="shared" si="15"/>
        <v>2</v>
      </c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</row>
    <row r="353" ht="15.75" customHeight="1">
      <c r="A353" s="14" t="s">
        <v>514</v>
      </c>
      <c r="B353" s="14" t="s">
        <v>42</v>
      </c>
      <c r="C353" s="16"/>
      <c r="D353" s="17"/>
      <c r="E353" s="18"/>
      <c r="F353" s="14"/>
      <c r="G353" s="14" t="s">
        <v>40</v>
      </c>
      <c r="H353" s="14"/>
      <c r="I353" s="14"/>
      <c r="J353" s="14"/>
      <c r="K353" s="14"/>
      <c r="L353" s="14">
        <v>1.0</v>
      </c>
      <c r="M353" s="14">
        <v>1.0</v>
      </c>
      <c r="N353" s="14"/>
      <c r="O353" s="14"/>
      <c r="P353" s="14"/>
      <c r="Q353" s="14"/>
      <c r="R353" s="14"/>
      <c r="S353" s="14"/>
      <c r="T353" s="14">
        <f t="shared" si="15"/>
        <v>2</v>
      </c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</row>
    <row r="354" ht="15.75" customHeight="1">
      <c r="A354" s="17" t="s">
        <v>515</v>
      </c>
      <c r="B354" s="17" t="s">
        <v>230</v>
      </c>
      <c r="C354" s="25"/>
      <c r="D354" s="17"/>
      <c r="E354" s="18"/>
      <c r="F354" s="27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14">
        <f t="shared" si="15"/>
        <v>0</v>
      </c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ht="15.75" customHeight="1">
      <c r="A355" s="19" t="s">
        <v>516</v>
      </c>
      <c r="B355" s="45" t="s">
        <v>38</v>
      </c>
      <c r="C355" s="16"/>
      <c r="D355" s="17"/>
      <c r="E355" s="18"/>
      <c r="F355" s="14"/>
      <c r="G355" s="20"/>
      <c r="H355" s="14"/>
      <c r="I355" s="14"/>
      <c r="J355" s="14">
        <v>2.0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>
        <f t="shared" si="15"/>
        <v>2</v>
      </c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</row>
    <row r="356" ht="15.75" customHeight="1">
      <c r="A356" s="27" t="s">
        <v>517</v>
      </c>
      <c r="B356" s="17" t="s">
        <v>250</v>
      </c>
      <c r="C356" s="25"/>
      <c r="D356" s="17"/>
      <c r="E356" s="18"/>
      <c r="F356" s="27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14">
        <f t="shared" si="15"/>
        <v>0</v>
      </c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r="357" ht="15.75" customHeight="1">
      <c r="A357" s="19" t="s">
        <v>518</v>
      </c>
      <c r="B357" s="19" t="s">
        <v>250</v>
      </c>
      <c r="C357" s="16"/>
      <c r="D357" s="17"/>
      <c r="E357" s="18"/>
      <c r="F357" s="14"/>
      <c r="G357" s="20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9">
        <v>2.0</v>
      </c>
      <c r="S357" s="19">
        <v>1.0</v>
      </c>
      <c r="T357" s="14">
        <f t="shared" si="15"/>
        <v>3</v>
      </c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</row>
    <row r="358" ht="15.75" customHeight="1">
      <c r="A358" s="14" t="s">
        <v>519</v>
      </c>
      <c r="B358" s="19" t="s">
        <v>62</v>
      </c>
      <c r="C358" s="16"/>
      <c r="D358" s="17"/>
      <c r="E358" s="18"/>
      <c r="F358" s="14"/>
      <c r="G358" s="20"/>
      <c r="H358" s="14"/>
      <c r="I358" s="14"/>
      <c r="J358" s="14"/>
      <c r="K358" s="14"/>
      <c r="L358" s="14">
        <v>1.0</v>
      </c>
      <c r="M358" s="14"/>
      <c r="N358" s="14"/>
      <c r="O358" s="14"/>
      <c r="P358" s="14"/>
      <c r="Q358" s="14"/>
      <c r="R358" s="14"/>
      <c r="S358" s="14"/>
      <c r="T358" s="14">
        <f t="shared" si="15"/>
        <v>1</v>
      </c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</row>
    <row r="359" ht="15.75" customHeight="1">
      <c r="A359" s="27" t="s">
        <v>520</v>
      </c>
      <c r="B359" s="17" t="s">
        <v>386</v>
      </c>
      <c r="C359" s="25"/>
      <c r="D359" s="47"/>
      <c r="E359" s="48"/>
      <c r="F359" s="27"/>
      <c r="G359" s="27" t="s">
        <v>40</v>
      </c>
      <c r="H359" s="27" t="s">
        <v>435</v>
      </c>
      <c r="I359" s="27"/>
      <c r="J359" s="27">
        <v>1.0</v>
      </c>
      <c r="K359" s="27"/>
      <c r="L359" s="27">
        <v>1.0</v>
      </c>
      <c r="M359" s="27">
        <v>3.0</v>
      </c>
      <c r="N359" s="27">
        <v>1.0</v>
      </c>
      <c r="O359" s="27"/>
      <c r="P359" s="27"/>
      <c r="Q359" s="17">
        <v>1.0</v>
      </c>
      <c r="R359" s="17">
        <v>3.0</v>
      </c>
      <c r="S359" s="17">
        <v>2.0</v>
      </c>
      <c r="T359" s="14">
        <f t="shared" si="15"/>
        <v>12</v>
      </c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 ht="15.75" customHeight="1">
      <c r="A360" s="17" t="s">
        <v>521</v>
      </c>
      <c r="B360" s="17" t="s">
        <v>73</v>
      </c>
      <c r="C360" s="30" t="s">
        <v>32</v>
      </c>
      <c r="D360" s="47"/>
      <c r="E360" s="48"/>
      <c r="F360" s="17" t="s">
        <v>74</v>
      </c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17"/>
      <c r="R360" s="17"/>
      <c r="S360" s="17"/>
      <c r="T360" s="14">
        <f t="shared" si="15"/>
        <v>0</v>
      </c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r="361" ht="15.75" customHeight="1">
      <c r="A361" s="14" t="s">
        <v>522</v>
      </c>
      <c r="B361" s="15" t="s">
        <v>25</v>
      </c>
      <c r="C361" s="16"/>
      <c r="D361" s="17"/>
      <c r="E361" s="18"/>
      <c r="F361" s="14"/>
      <c r="G361" s="20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>
        <f t="shared" si="15"/>
        <v>0</v>
      </c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</row>
    <row r="362" ht="15.75" customHeight="1">
      <c r="A362" s="14" t="s">
        <v>523</v>
      </c>
      <c r="B362" s="15" t="s">
        <v>129</v>
      </c>
      <c r="C362" s="16"/>
      <c r="D362" s="50"/>
      <c r="E362" s="48"/>
      <c r="F362" s="14"/>
      <c r="G362" s="23" t="s">
        <v>524</v>
      </c>
      <c r="H362" s="14"/>
      <c r="I362" s="14"/>
      <c r="J362" s="14"/>
      <c r="K362" s="14"/>
      <c r="L362" s="14"/>
      <c r="M362" s="14">
        <v>5.0</v>
      </c>
      <c r="N362" s="34">
        <v>1.0</v>
      </c>
      <c r="O362" s="34"/>
      <c r="P362" s="34"/>
      <c r="Q362" s="40">
        <v>1.0</v>
      </c>
      <c r="R362" s="34"/>
      <c r="S362" s="34"/>
      <c r="T362" s="34">
        <f t="shared" si="15"/>
        <v>7</v>
      </c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</row>
    <row r="363" ht="15.75" customHeight="1">
      <c r="A363" s="27" t="s">
        <v>523</v>
      </c>
      <c r="B363" s="37" t="s">
        <v>214</v>
      </c>
      <c r="C363" s="25"/>
      <c r="D363" s="17"/>
      <c r="E363" s="18"/>
      <c r="F363" s="27"/>
      <c r="G363" s="27"/>
      <c r="H363" s="27"/>
      <c r="I363" s="27"/>
      <c r="J363" s="27"/>
      <c r="K363" s="27"/>
      <c r="L363" s="27"/>
      <c r="M363" s="27"/>
      <c r="N363" s="35"/>
      <c r="O363" s="35"/>
      <c r="P363" s="35"/>
      <c r="Q363" s="41"/>
      <c r="R363" s="41"/>
      <c r="S363" s="41"/>
      <c r="T363" s="35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 ht="15.75" customHeight="1">
      <c r="A364" s="27" t="s">
        <v>525</v>
      </c>
      <c r="B364" s="37" t="s">
        <v>286</v>
      </c>
      <c r="C364" s="25"/>
      <c r="D364" s="17"/>
      <c r="E364" s="18"/>
      <c r="F364" s="27"/>
      <c r="G364" s="26"/>
      <c r="H364" s="27"/>
      <c r="I364" s="27"/>
      <c r="J364" s="27"/>
      <c r="K364" s="27"/>
      <c r="L364" s="27"/>
      <c r="M364" s="27"/>
      <c r="N364" s="27"/>
      <c r="O364" s="27">
        <v>1.0</v>
      </c>
      <c r="P364" s="27">
        <v>1.0</v>
      </c>
      <c r="Q364" s="27"/>
      <c r="R364" s="27"/>
      <c r="S364" s="27"/>
      <c r="T364" s="14">
        <f t="shared" ref="T364:T372" si="16">SUM(I364:S364)</f>
        <v>2</v>
      </c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r="365" ht="15.75" customHeight="1">
      <c r="A365" s="14" t="s">
        <v>526</v>
      </c>
      <c r="B365" s="15" t="s">
        <v>38</v>
      </c>
      <c r="C365" s="16"/>
      <c r="D365" s="17"/>
      <c r="E365" s="48"/>
      <c r="F365" s="14"/>
      <c r="G365" s="20"/>
      <c r="H365" s="14"/>
      <c r="I365" s="14"/>
      <c r="J365" s="14"/>
      <c r="K365" s="14"/>
      <c r="L365" s="14"/>
      <c r="M365" s="14"/>
      <c r="N365" s="14"/>
      <c r="O365" s="14"/>
      <c r="P365" s="14">
        <v>1.0</v>
      </c>
      <c r="Q365" s="19">
        <v>2.0</v>
      </c>
      <c r="R365" s="14"/>
      <c r="S365" s="14"/>
      <c r="T365" s="14">
        <f t="shared" si="16"/>
        <v>3</v>
      </c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</row>
    <row r="366" ht="15.75" customHeight="1">
      <c r="A366" s="27" t="s">
        <v>527</v>
      </c>
      <c r="B366" s="37" t="s">
        <v>60</v>
      </c>
      <c r="C366" s="25"/>
      <c r="D366" s="17"/>
      <c r="E366" s="18"/>
      <c r="F366" s="27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17">
        <v>2.0</v>
      </c>
      <c r="S366" s="17"/>
      <c r="T366" s="14">
        <f t="shared" si="16"/>
        <v>2</v>
      </c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r="367" ht="15.75" customHeight="1">
      <c r="A367" s="27" t="s">
        <v>528</v>
      </c>
      <c r="B367" s="49" t="s">
        <v>46</v>
      </c>
      <c r="C367" s="25"/>
      <c r="D367" s="17"/>
      <c r="E367" s="18"/>
      <c r="F367" s="27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14">
        <f t="shared" si="16"/>
        <v>0</v>
      </c>
      <c r="U367" s="28"/>
      <c r="V367" s="62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 ht="15.75" customHeight="1">
      <c r="A368" s="14" t="s">
        <v>529</v>
      </c>
      <c r="B368" s="20" t="s">
        <v>62</v>
      </c>
      <c r="C368" s="16"/>
      <c r="D368" s="47"/>
      <c r="E368" s="48"/>
      <c r="F368" s="20"/>
      <c r="G368" s="20"/>
      <c r="H368" s="14"/>
      <c r="I368" s="14"/>
      <c r="J368" s="14">
        <v>2.0</v>
      </c>
      <c r="K368" s="14">
        <v>1.0</v>
      </c>
      <c r="L368" s="14"/>
      <c r="M368" s="14"/>
      <c r="N368" s="14"/>
      <c r="O368" s="14"/>
      <c r="P368" s="14"/>
      <c r="Q368" s="19">
        <v>4.0</v>
      </c>
      <c r="R368" s="17">
        <v>3.0</v>
      </c>
      <c r="S368" s="17"/>
      <c r="T368" s="14">
        <f t="shared" si="16"/>
        <v>10</v>
      </c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</row>
    <row r="369" ht="15.75" customHeight="1">
      <c r="A369" s="27" t="s">
        <v>529</v>
      </c>
      <c r="B369" s="49" t="s">
        <v>62</v>
      </c>
      <c r="C369" s="25"/>
      <c r="D369" s="17"/>
      <c r="E369" s="18"/>
      <c r="F369" s="27" t="s">
        <v>382</v>
      </c>
      <c r="G369" s="27"/>
      <c r="H369" s="27"/>
      <c r="I369" s="91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14">
        <f t="shared" si="16"/>
        <v>0</v>
      </c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 ht="15.75" customHeight="1">
      <c r="A370" s="19" t="s">
        <v>530</v>
      </c>
      <c r="B370" s="45" t="s">
        <v>38</v>
      </c>
      <c r="C370" s="16"/>
      <c r="D370" s="17"/>
      <c r="E370" s="18"/>
      <c r="F370" s="14"/>
      <c r="G370" s="14"/>
      <c r="H370" s="14"/>
      <c r="I370" s="14"/>
      <c r="J370" s="14"/>
      <c r="K370" s="14"/>
      <c r="L370" s="14">
        <v>2.0</v>
      </c>
      <c r="M370" s="14"/>
      <c r="N370" s="14"/>
      <c r="O370" s="14">
        <v>1.0</v>
      </c>
      <c r="P370" s="14"/>
      <c r="Q370" s="14"/>
      <c r="R370" s="19">
        <v>2.0</v>
      </c>
      <c r="S370" s="19"/>
      <c r="T370" s="14">
        <f t="shared" si="16"/>
        <v>5</v>
      </c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</row>
    <row r="371" ht="15.75" customHeight="1">
      <c r="A371" s="19" t="s">
        <v>531</v>
      </c>
      <c r="B371" s="15" t="s">
        <v>532</v>
      </c>
      <c r="C371" s="24" t="s">
        <v>533</v>
      </c>
      <c r="D371" s="17"/>
      <c r="E371" s="18"/>
      <c r="F371" s="40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34"/>
      <c r="R371" s="40">
        <v>1.0</v>
      </c>
      <c r="S371" s="40">
        <v>1.0</v>
      </c>
      <c r="T371" s="14">
        <f t="shared" si="16"/>
        <v>2</v>
      </c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</row>
    <row r="372" ht="15.75" customHeight="1">
      <c r="A372" s="17" t="s">
        <v>534</v>
      </c>
      <c r="B372" s="33" t="s">
        <v>535</v>
      </c>
      <c r="C372" s="25"/>
      <c r="D372" s="17" t="s">
        <v>536</v>
      </c>
      <c r="E372" s="18">
        <v>45931.0</v>
      </c>
      <c r="F372" s="33"/>
      <c r="G372" s="26"/>
      <c r="H372" s="27"/>
      <c r="I372" s="27"/>
      <c r="J372" s="27"/>
      <c r="K372" s="27"/>
      <c r="L372" s="27"/>
      <c r="M372" s="27"/>
      <c r="N372" s="33">
        <v>2.0</v>
      </c>
      <c r="O372" s="33">
        <v>8.0</v>
      </c>
      <c r="P372" s="33">
        <v>1.0</v>
      </c>
      <c r="Q372" s="33"/>
      <c r="R372" s="46">
        <v>1.0</v>
      </c>
      <c r="S372" s="46">
        <v>3.0</v>
      </c>
      <c r="T372" s="34">
        <f t="shared" si="16"/>
        <v>15</v>
      </c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r="373" ht="15.75" customHeight="1">
      <c r="A373" s="14" t="s">
        <v>537</v>
      </c>
      <c r="B373" s="41"/>
      <c r="C373" s="16"/>
      <c r="D373" s="17"/>
      <c r="E373" s="18"/>
      <c r="F373" s="14"/>
      <c r="G373" s="20"/>
      <c r="H373" s="14"/>
      <c r="I373" s="14"/>
      <c r="J373" s="14"/>
      <c r="K373" s="14"/>
      <c r="L373" s="14"/>
      <c r="M373" s="14"/>
      <c r="N373" s="41"/>
      <c r="O373" s="41"/>
      <c r="P373" s="41"/>
      <c r="Q373" s="41"/>
      <c r="R373" s="41"/>
      <c r="S373" s="41"/>
      <c r="T373" s="41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</row>
    <row r="374" ht="15.75" customHeight="1">
      <c r="A374" s="27" t="s">
        <v>538</v>
      </c>
      <c r="B374" s="41"/>
      <c r="C374" s="25"/>
      <c r="D374" s="17"/>
      <c r="E374" s="18"/>
      <c r="F374" s="93"/>
      <c r="G374" s="26"/>
      <c r="H374" s="27"/>
      <c r="I374" s="27"/>
      <c r="J374" s="27"/>
      <c r="K374" s="27"/>
      <c r="L374" s="27"/>
      <c r="M374" s="27"/>
      <c r="N374" s="41"/>
      <c r="O374" s="41"/>
      <c r="P374" s="41"/>
      <c r="Q374" s="41"/>
      <c r="R374" s="41"/>
      <c r="S374" s="41"/>
      <c r="T374" s="41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r="375" ht="15.75" customHeight="1">
      <c r="A375" s="22" t="s">
        <v>539</v>
      </c>
      <c r="B375" s="35"/>
      <c r="C375" s="16"/>
      <c r="D375" s="17"/>
      <c r="E375" s="18"/>
      <c r="F375" s="14"/>
      <c r="G375" s="20"/>
      <c r="H375" s="14"/>
      <c r="I375" s="14"/>
      <c r="J375" s="14"/>
      <c r="K375" s="14"/>
      <c r="L375" s="14"/>
      <c r="M375" s="14"/>
      <c r="N375" s="35"/>
      <c r="O375" s="35"/>
      <c r="P375" s="35"/>
      <c r="Q375" s="41"/>
      <c r="R375" s="41"/>
      <c r="S375" s="41"/>
      <c r="T375" s="35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</row>
    <row r="376" ht="15.75" customHeight="1">
      <c r="A376" s="27" t="s">
        <v>540</v>
      </c>
      <c r="B376" s="17" t="s">
        <v>225</v>
      </c>
      <c r="C376" s="25"/>
      <c r="D376" s="17"/>
      <c r="E376" s="18"/>
      <c r="F376" s="27"/>
      <c r="G376" s="26"/>
      <c r="H376" s="27"/>
      <c r="I376" s="27"/>
      <c r="J376" s="27"/>
      <c r="K376" s="27"/>
      <c r="L376" s="27"/>
      <c r="M376" s="27"/>
      <c r="N376" s="27"/>
      <c r="O376" s="27"/>
      <c r="P376" s="27">
        <v>1.0</v>
      </c>
      <c r="Q376" s="27"/>
      <c r="R376" s="17">
        <v>1.0</v>
      </c>
      <c r="S376" s="17"/>
      <c r="T376" s="14">
        <f t="shared" ref="T376:T385" si="17">SUM(I376:S376)</f>
        <v>2</v>
      </c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r="377" ht="15.75" customHeight="1">
      <c r="A377" s="17" t="s">
        <v>541</v>
      </c>
      <c r="B377" s="17" t="s">
        <v>21</v>
      </c>
      <c r="C377" s="30" t="s">
        <v>542</v>
      </c>
      <c r="D377" s="17"/>
      <c r="E377" s="18"/>
      <c r="F377" s="17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17"/>
      <c r="S377" s="17"/>
      <c r="T377" s="14">
        <f t="shared" si="17"/>
        <v>0</v>
      </c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 ht="15.75" customHeight="1">
      <c r="A378" s="14" t="s">
        <v>543</v>
      </c>
      <c r="B378" s="19" t="s">
        <v>535</v>
      </c>
      <c r="C378" s="16"/>
      <c r="D378" s="17"/>
      <c r="E378" s="18"/>
      <c r="F378" s="14"/>
      <c r="G378" s="20"/>
      <c r="H378" s="14"/>
      <c r="I378" s="14"/>
      <c r="J378" s="14"/>
      <c r="K378" s="14"/>
      <c r="L378" s="14"/>
      <c r="M378" s="14"/>
      <c r="N378" s="14">
        <v>4.0</v>
      </c>
      <c r="O378" s="14">
        <v>4.0</v>
      </c>
      <c r="P378" s="14">
        <v>1.0</v>
      </c>
      <c r="Q378" s="19">
        <v>1.0</v>
      </c>
      <c r="R378" s="19">
        <v>1.0</v>
      </c>
      <c r="S378" s="19">
        <v>2.0</v>
      </c>
      <c r="T378" s="14">
        <f t="shared" si="17"/>
        <v>13</v>
      </c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</row>
    <row r="379" ht="15.75" customHeight="1">
      <c r="A379" s="27" t="s">
        <v>544</v>
      </c>
      <c r="B379" s="17" t="s">
        <v>100</v>
      </c>
      <c r="C379" s="25"/>
      <c r="D379" s="17"/>
      <c r="E379" s="18"/>
      <c r="F379" s="27"/>
      <c r="G379" s="27"/>
      <c r="H379" s="27"/>
      <c r="I379" s="27"/>
      <c r="J379" s="27"/>
      <c r="K379" s="27"/>
      <c r="L379" s="27"/>
      <c r="M379" s="27"/>
      <c r="N379" s="27"/>
      <c r="O379" s="27">
        <v>6.0</v>
      </c>
      <c r="P379" s="27"/>
      <c r="Q379" s="27"/>
      <c r="R379" s="27"/>
      <c r="S379" s="27"/>
      <c r="T379" s="14">
        <f t="shared" si="17"/>
        <v>6</v>
      </c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 ht="15.75" customHeight="1">
      <c r="A380" s="14" t="s">
        <v>545</v>
      </c>
      <c r="B380" s="15" t="s">
        <v>62</v>
      </c>
      <c r="C380" s="16"/>
      <c r="D380" s="17"/>
      <c r="E380" s="18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>
        <f t="shared" si="17"/>
        <v>0</v>
      </c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</row>
    <row r="381" ht="15.75" customHeight="1">
      <c r="A381" s="17" t="s">
        <v>546</v>
      </c>
      <c r="B381" s="37" t="s">
        <v>62</v>
      </c>
      <c r="C381" s="25"/>
      <c r="D381" s="17"/>
      <c r="E381" s="18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33"/>
      <c r="R381" s="34"/>
      <c r="S381" s="34"/>
      <c r="T381" s="14">
        <f t="shared" si="17"/>
        <v>0</v>
      </c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ht="15.75" customHeight="1">
      <c r="A382" s="31" t="s">
        <v>547</v>
      </c>
      <c r="B382" s="37" t="s">
        <v>22</v>
      </c>
      <c r="C382" s="25"/>
      <c r="D382" s="17"/>
      <c r="E382" s="18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33"/>
      <c r="R382" s="34"/>
      <c r="S382" s="34"/>
      <c r="T382" s="14">
        <f t="shared" si="17"/>
        <v>0</v>
      </c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r="383" ht="15.75" customHeight="1">
      <c r="A383" s="17" t="s">
        <v>548</v>
      </c>
      <c r="B383" s="37" t="s">
        <v>227</v>
      </c>
      <c r="C383" s="30" t="s">
        <v>343</v>
      </c>
      <c r="D383" s="17"/>
      <c r="E383" s="18"/>
      <c r="F383" s="1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33"/>
      <c r="R383" s="34"/>
      <c r="S383" s="40">
        <v>3.0</v>
      </c>
      <c r="T383" s="14">
        <f t="shared" si="17"/>
        <v>3</v>
      </c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 ht="15.75" customHeight="1">
      <c r="A384" s="17" t="s">
        <v>549</v>
      </c>
      <c r="B384" s="37" t="s">
        <v>42</v>
      </c>
      <c r="C384" s="25"/>
      <c r="D384" s="17"/>
      <c r="E384" s="18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46">
        <v>1.0</v>
      </c>
      <c r="R384" s="34"/>
      <c r="S384" s="34"/>
      <c r="T384" s="14">
        <f t="shared" si="17"/>
        <v>1</v>
      </c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r="385" ht="15.75" customHeight="1">
      <c r="A385" s="27" t="s">
        <v>550</v>
      </c>
      <c r="B385" s="32" t="s">
        <v>119</v>
      </c>
      <c r="C385" s="25"/>
      <c r="D385" s="17"/>
      <c r="E385" s="18"/>
      <c r="F385" s="27"/>
      <c r="G385" s="27" t="s">
        <v>40</v>
      </c>
      <c r="H385" s="27" t="s">
        <v>551</v>
      </c>
      <c r="I385" s="27"/>
      <c r="J385" s="27">
        <v>1.0</v>
      </c>
      <c r="K385" s="27">
        <v>1.0</v>
      </c>
      <c r="L385" s="27"/>
      <c r="M385" s="27"/>
      <c r="N385" s="27">
        <v>1.0</v>
      </c>
      <c r="O385" s="33"/>
      <c r="P385" s="33"/>
      <c r="Q385" s="33"/>
      <c r="R385" s="33"/>
      <c r="S385" s="33"/>
      <c r="T385" s="34">
        <f t="shared" si="17"/>
        <v>3</v>
      </c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 ht="15.75" customHeight="1">
      <c r="A386" s="14" t="s">
        <v>552</v>
      </c>
      <c r="B386" s="41"/>
      <c r="C386" s="16"/>
      <c r="D386" s="17"/>
      <c r="E386" s="18"/>
      <c r="F386" s="14"/>
      <c r="G386" s="14"/>
      <c r="H386" s="14"/>
      <c r="I386" s="14"/>
      <c r="J386" s="14"/>
      <c r="K386" s="14"/>
      <c r="L386" s="14"/>
      <c r="M386" s="14"/>
      <c r="N386" s="14"/>
      <c r="O386" s="41"/>
      <c r="P386" s="41"/>
      <c r="Q386" s="41"/>
      <c r="R386" s="41"/>
      <c r="S386" s="41"/>
      <c r="T386" s="41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</row>
    <row r="387" ht="15.75" customHeight="1">
      <c r="A387" s="27" t="s">
        <v>553</v>
      </c>
      <c r="B387" s="41"/>
      <c r="C387" s="25"/>
      <c r="D387" s="17"/>
      <c r="E387" s="18"/>
      <c r="F387" s="27"/>
      <c r="G387" s="27"/>
      <c r="H387" s="27"/>
      <c r="I387" s="27"/>
      <c r="J387" s="27"/>
      <c r="K387" s="27"/>
      <c r="L387" s="27"/>
      <c r="M387" s="27"/>
      <c r="N387" s="27"/>
      <c r="O387" s="41"/>
      <c r="P387" s="41"/>
      <c r="Q387" s="41"/>
      <c r="R387" s="41"/>
      <c r="S387" s="41"/>
      <c r="T387" s="41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 ht="15.75" customHeight="1">
      <c r="A388" s="14" t="s">
        <v>554</v>
      </c>
      <c r="B388" s="41"/>
      <c r="C388" s="16"/>
      <c r="D388" s="17"/>
      <c r="E388" s="18"/>
      <c r="F388" s="14"/>
      <c r="G388" s="14"/>
      <c r="H388" s="14"/>
      <c r="I388" s="14"/>
      <c r="J388" s="14"/>
      <c r="K388" s="14"/>
      <c r="L388" s="14"/>
      <c r="M388" s="14"/>
      <c r="N388" s="14"/>
      <c r="O388" s="41"/>
      <c r="P388" s="41"/>
      <c r="Q388" s="41"/>
      <c r="R388" s="41"/>
      <c r="S388" s="41"/>
      <c r="T388" s="41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</row>
    <row r="389" ht="15.75" customHeight="1">
      <c r="A389" s="27" t="s">
        <v>555</v>
      </c>
      <c r="B389" s="35"/>
      <c r="C389" s="25"/>
      <c r="D389" s="17"/>
      <c r="E389" s="18"/>
      <c r="F389" s="27"/>
      <c r="G389" s="27"/>
      <c r="H389" s="27"/>
      <c r="I389" s="27"/>
      <c r="J389" s="27"/>
      <c r="K389" s="27"/>
      <c r="L389" s="27"/>
      <c r="M389" s="27"/>
      <c r="N389" s="27"/>
      <c r="O389" s="35"/>
      <c r="P389" s="35"/>
      <c r="Q389" s="41"/>
      <c r="R389" s="41"/>
      <c r="S389" s="41"/>
      <c r="T389" s="35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 ht="15.75" customHeight="1">
      <c r="A390" s="14" t="s">
        <v>556</v>
      </c>
      <c r="B390" s="19" t="s">
        <v>42</v>
      </c>
      <c r="C390" s="16"/>
      <c r="D390" s="17"/>
      <c r="E390" s="18"/>
      <c r="F390" s="14"/>
      <c r="G390" s="14"/>
      <c r="H390" s="14"/>
      <c r="I390" s="14"/>
      <c r="J390" s="14"/>
      <c r="K390" s="14"/>
      <c r="L390" s="14"/>
      <c r="M390" s="14"/>
      <c r="N390" s="14">
        <v>12.0</v>
      </c>
      <c r="O390" s="14">
        <v>4.0</v>
      </c>
      <c r="P390" s="14">
        <v>1.0</v>
      </c>
      <c r="Q390" s="19">
        <v>1.0</v>
      </c>
      <c r="R390" s="19">
        <v>1.0</v>
      </c>
      <c r="S390" s="19"/>
      <c r="T390" s="14">
        <f t="shared" ref="T390:T399" si="18">SUM(I390:S390)</f>
        <v>19</v>
      </c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</row>
    <row r="391" ht="15.75" customHeight="1">
      <c r="A391" s="17" t="s">
        <v>557</v>
      </c>
      <c r="B391" s="37" t="s">
        <v>421</v>
      </c>
      <c r="C391" s="25"/>
      <c r="D391" s="47"/>
      <c r="E391" s="48"/>
      <c r="F391" s="27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17">
        <v>2.0</v>
      </c>
      <c r="R391" s="19">
        <v>2.0</v>
      </c>
      <c r="S391" s="19">
        <v>1.0</v>
      </c>
      <c r="T391" s="14">
        <f t="shared" si="18"/>
        <v>5</v>
      </c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 ht="15.75" customHeight="1">
      <c r="A392" s="17" t="s">
        <v>558</v>
      </c>
      <c r="B392" s="37" t="s">
        <v>51</v>
      </c>
      <c r="C392" s="25"/>
      <c r="D392" s="17"/>
      <c r="E392" s="18"/>
      <c r="F392" s="27"/>
      <c r="G392" s="26"/>
      <c r="H392" s="27"/>
      <c r="I392" s="27"/>
      <c r="J392" s="27"/>
      <c r="K392" s="27"/>
      <c r="L392" s="27"/>
      <c r="M392" s="27"/>
      <c r="N392" s="27">
        <v>7.0</v>
      </c>
      <c r="O392" s="27"/>
      <c r="P392" s="27"/>
      <c r="Q392" s="27"/>
      <c r="R392" s="27"/>
      <c r="S392" s="27"/>
      <c r="T392" s="14">
        <f t="shared" si="18"/>
        <v>7</v>
      </c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r="393" ht="15.75" customHeight="1">
      <c r="A393" s="17" t="s">
        <v>559</v>
      </c>
      <c r="B393" s="37" t="s">
        <v>182</v>
      </c>
      <c r="C393" s="25"/>
      <c r="D393" s="17"/>
      <c r="E393" s="18"/>
      <c r="F393" s="27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14"/>
      <c r="S393" s="14"/>
      <c r="T393" s="14">
        <f t="shared" si="18"/>
        <v>0</v>
      </c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 ht="15.75" customHeight="1">
      <c r="A394" s="27" t="s">
        <v>560</v>
      </c>
      <c r="B394" s="37" t="s">
        <v>157</v>
      </c>
      <c r="C394" s="25"/>
      <c r="D394" s="17"/>
      <c r="E394" s="18"/>
      <c r="F394" s="27"/>
      <c r="G394" s="26"/>
      <c r="H394" s="27"/>
      <c r="I394" s="27"/>
      <c r="J394" s="27"/>
      <c r="K394" s="27"/>
      <c r="L394" s="27"/>
      <c r="M394" s="27"/>
      <c r="N394" s="27">
        <v>6.0</v>
      </c>
      <c r="O394" s="27">
        <v>3.0</v>
      </c>
      <c r="P394" s="27">
        <v>2.0</v>
      </c>
      <c r="Q394" s="27"/>
      <c r="R394" s="27"/>
      <c r="S394" s="17">
        <v>1.0</v>
      </c>
      <c r="T394" s="14">
        <f t="shared" si="18"/>
        <v>12</v>
      </c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r="395" ht="15.75" customHeight="1">
      <c r="A395" s="14" t="s">
        <v>561</v>
      </c>
      <c r="B395" s="15" t="s">
        <v>562</v>
      </c>
      <c r="C395" s="16"/>
      <c r="D395" s="17"/>
      <c r="E395" s="18"/>
      <c r="F395" s="14"/>
      <c r="G395" s="20"/>
      <c r="H395" s="14"/>
      <c r="I395" s="14"/>
      <c r="J395" s="14"/>
      <c r="K395" s="14"/>
      <c r="L395" s="14"/>
      <c r="M395" s="14"/>
      <c r="N395" s="14"/>
      <c r="O395" s="14">
        <v>1.0</v>
      </c>
      <c r="P395" s="14"/>
      <c r="Q395" s="14"/>
      <c r="R395" s="14"/>
      <c r="S395" s="14"/>
      <c r="T395" s="14">
        <f t="shared" si="18"/>
        <v>1</v>
      </c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</row>
    <row r="396" ht="15.75" customHeight="1">
      <c r="A396" s="14" t="s">
        <v>563</v>
      </c>
      <c r="B396" s="15" t="s">
        <v>564</v>
      </c>
      <c r="C396" s="16"/>
      <c r="D396" s="47"/>
      <c r="E396" s="18"/>
      <c r="F396" s="14"/>
      <c r="G396" s="20"/>
      <c r="H396" s="14"/>
      <c r="I396" s="14"/>
      <c r="J396" s="14"/>
      <c r="K396" s="14"/>
      <c r="L396" s="14"/>
      <c r="M396" s="14"/>
      <c r="N396" s="14">
        <v>3.0</v>
      </c>
      <c r="O396" s="14"/>
      <c r="P396" s="14"/>
      <c r="Q396" s="19">
        <v>1.0</v>
      </c>
      <c r="R396" s="14"/>
      <c r="S396" s="14"/>
      <c r="T396" s="14">
        <f t="shared" si="18"/>
        <v>4</v>
      </c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</row>
    <row r="397" ht="15.75" customHeight="1">
      <c r="A397" s="19" t="s">
        <v>565</v>
      </c>
      <c r="B397" s="15" t="s">
        <v>73</v>
      </c>
      <c r="C397" s="24" t="s">
        <v>32</v>
      </c>
      <c r="D397" s="47"/>
      <c r="E397" s="18"/>
      <c r="F397" s="19" t="s">
        <v>74</v>
      </c>
      <c r="G397" s="20"/>
      <c r="H397" s="14"/>
      <c r="I397" s="14"/>
      <c r="J397" s="14"/>
      <c r="K397" s="14"/>
      <c r="L397" s="14"/>
      <c r="M397" s="14"/>
      <c r="N397" s="14"/>
      <c r="O397" s="14"/>
      <c r="P397" s="14"/>
      <c r="Q397" s="19"/>
      <c r="R397" s="14"/>
      <c r="S397" s="14"/>
      <c r="T397" s="14">
        <f t="shared" si="18"/>
        <v>0</v>
      </c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</row>
    <row r="398" ht="15.75" customHeight="1">
      <c r="A398" s="27" t="s">
        <v>566</v>
      </c>
      <c r="B398" s="37" t="s">
        <v>90</v>
      </c>
      <c r="C398" s="25"/>
      <c r="D398" s="17"/>
      <c r="E398" s="18"/>
      <c r="F398" s="51"/>
      <c r="G398" s="26"/>
      <c r="H398" s="27"/>
      <c r="I398" s="27"/>
      <c r="J398" s="27">
        <v>1.0</v>
      </c>
      <c r="K398" s="27">
        <v>4.0</v>
      </c>
      <c r="L398" s="27">
        <v>2.0</v>
      </c>
      <c r="M398" s="27"/>
      <c r="N398" s="27">
        <v>2.0</v>
      </c>
      <c r="O398" s="27"/>
      <c r="P398" s="27">
        <v>1.0</v>
      </c>
      <c r="Q398" s="27"/>
      <c r="R398" s="27"/>
      <c r="S398" s="27"/>
      <c r="T398" s="14">
        <f t="shared" si="18"/>
        <v>10</v>
      </c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r="399" ht="15.75" customHeight="1">
      <c r="A399" s="14" t="s">
        <v>567</v>
      </c>
      <c r="B399" s="40" t="s">
        <v>119</v>
      </c>
      <c r="C399" s="16"/>
      <c r="D399" s="17"/>
      <c r="E399" s="18"/>
      <c r="F399" s="45"/>
      <c r="G399" s="20"/>
      <c r="H399" s="14"/>
      <c r="I399" s="14"/>
      <c r="J399" s="14"/>
      <c r="K399" s="14"/>
      <c r="L399" s="14"/>
      <c r="M399" s="14"/>
      <c r="N399" s="34"/>
      <c r="O399" s="14">
        <v>3.0</v>
      </c>
      <c r="P399" s="14"/>
      <c r="Q399" s="34"/>
      <c r="R399" s="34"/>
      <c r="S399" s="34"/>
      <c r="T399" s="34">
        <f t="shared" si="18"/>
        <v>3</v>
      </c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</row>
    <row r="400" ht="15.75" customHeight="1">
      <c r="A400" s="27" t="s">
        <v>568</v>
      </c>
      <c r="B400" s="35"/>
      <c r="C400" s="25"/>
      <c r="D400" s="17"/>
      <c r="E400" s="18"/>
      <c r="F400" s="49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41"/>
      <c r="R400" s="41"/>
      <c r="S400" s="41"/>
      <c r="T400" s="35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r="401" ht="15.75" customHeight="1">
      <c r="A401" s="14" t="s">
        <v>569</v>
      </c>
      <c r="B401" s="15" t="s">
        <v>286</v>
      </c>
      <c r="C401" s="16"/>
      <c r="D401" s="17"/>
      <c r="E401" s="18"/>
      <c r="F401" s="94"/>
      <c r="G401" s="20"/>
      <c r="H401" s="14"/>
      <c r="I401" s="14"/>
      <c r="J401" s="14"/>
      <c r="K401" s="14"/>
      <c r="L401" s="14">
        <v>3.0</v>
      </c>
      <c r="M401" s="14"/>
      <c r="N401" s="14"/>
      <c r="O401" s="14"/>
      <c r="P401" s="14"/>
      <c r="Q401" s="14"/>
      <c r="R401" s="14"/>
      <c r="S401" s="19">
        <v>1.0</v>
      </c>
      <c r="T401" s="14">
        <f t="shared" ref="T401:T425" si="19">SUM(I401:S401)</f>
        <v>4</v>
      </c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</row>
    <row r="402" ht="15.75" customHeight="1">
      <c r="A402" s="27" t="s">
        <v>570</v>
      </c>
      <c r="B402" s="17" t="s">
        <v>286</v>
      </c>
      <c r="C402" s="25"/>
      <c r="D402" s="17"/>
      <c r="E402" s="18"/>
      <c r="F402" s="27"/>
      <c r="G402" s="26"/>
      <c r="H402" s="27"/>
      <c r="I402" s="27"/>
      <c r="J402" s="27"/>
      <c r="K402" s="27"/>
      <c r="L402" s="27">
        <v>1.0</v>
      </c>
      <c r="M402" s="27"/>
      <c r="N402" s="27"/>
      <c r="O402" s="27"/>
      <c r="P402" s="27"/>
      <c r="Q402" s="27"/>
      <c r="R402" s="27"/>
      <c r="S402" s="27"/>
      <c r="T402" s="14">
        <f t="shared" si="19"/>
        <v>1</v>
      </c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r="403" ht="15.75" customHeight="1">
      <c r="A403" s="17" t="s">
        <v>571</v>
      </c>
      <c r="B403" s="17" t="s">
        <v>572</v>
      </c>
      <c r="C403" s="30" t="s">
        <v>533</v>
      </c>
      <c r="D403" s="17"/>
      <c r="E403" s="18"/>
      <c r="F403" s="17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17">
        <v>1.0</v>
      </c>
      <c r="S403" s="17"/>
      <c r="T403" s="14">
        <f t="shared" si="19"/>
        <v>1</v>
      </c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 ht="15.75" customHeight="1">
      <c r="A404" s="19" t="s">
        <v>573</v>
      </c>
      <c r="B404" s="19" t="s">
        <v>572</v>
      </c>
      <c r="C404" s="24" t="s">
        <v>368</v>
      </c>
      <c r="D404" s="17"/>
      <c r="E404" s="18"/>
      <c r="F404" s="19"/>
      <c r="G404" s="20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9">
        <v>3.0</v>
      </c>
      <c r="T404" s="14">
        <f t="shared" si="19"/>
        <v>3</v>
      </c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</row>
    <row r="405" ht="15.75" customHeight="1">
      <c r="A405" s="14" t="s">
        <v>574</v>
      </c>
      <c r="B405" s="14" t="s">
        <v>62</v>
      </c>
      <c r="C405" s="16"/>
      <c r="D405" s="17"/>
      <c r="E405" s="18"/>
      <c r="F405" s="14"/>
      <c r="G405" s="20"/>
      <c r="H405" s="14"/>
      <c r="I405" s="14"/>
      <c r="J405" s="14">
        <v>1.0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>
        <f t="shared" si="19"/>
        <v>1</v>
      </c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</row>
    <row r="406" ht="15.75" customHeight="1">
      <c r="A406" s="19" t="s">
        <v>575</v>
      </c>
      <c r="B406" s="19" t="s">
        <v>21</v>
      </c>
      <c r="C406" s="24" t="s">
        <v>576</v>
      </c>
      <c r="D406" s="17"/>
      <c r="E406" s="18"/>
      <c r="F406" s="19"/>
      <c r="G406" s="20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9">
        <v>2.0</v>
      </c>
      <c r="S406" s="19">
        <v>2.0</v>
      </c>
      <c r="T406" s="14">
        <f t="shared" si="19"/>
        <v>4</v>
      </c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</row>
    <row r="407" ht="15.75" customHeight="1">
      <c r="A407" s="19" t="s">
        <v>577</v>
      </c>
      <c r="B407" s="19" t="s">
        <v>572</v>
      </c>
      <c r="C407" s="24" t="s">
        <v>578</v>
      </c>
      <c r="D407" s="17"/>
      <c r="E407" s="18"/>
      <c r="F407" s="19"/>
      <c r="G407" s="20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9"/>
      <c r="S407" s="19">
        <v>3.0</v>
      </c>
      <c r="T407" s="14">
        <f t="shared" si="19"/>
        <v>3</v>
      </c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</row>
    <row r="408" ht="15.75" customHeight="1">
      <c r="A408" s="49" t="s">
        <v>579</v>
      </c>
      <c r="B408" s="49" t="s">
        <v>580</v>
      </c>
      <c r="C408" s="25"/>
      <c r="D408" s="17"/>
      <c r="E408" s="18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14">
        <f t="shared" si="19"/>
        <v>0</v>
      </c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r="409" ht="15.75" customHeight="1">
      <c r="A409" s="37" t="s">
        <v>581</v>
      </c>
      <c r="B409" s="37" t="s">
        <v>51</v>
      </c>
      <c r="C409" s="30" t="s">
        <v>343</v>
      </c>
      <c r="D409" s="17"/>
      <c r="E409" s="18"/>
      <c r="F409" s="1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14">
        <f t="shared" si="19"/>
        <v>0</v>
      </c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 ht="15.75" customHeight="1">
      <c r="A410" s="14" t="s">
        <v>582</v>
      </c>
      <c r="B410" s="15" t="s">
        <v>263</v>
      </c>
      <c r="C410" s="16"/>
      <c r="D410" s="17"/>
      <c r="E410" s="18"/>
      <c r="F410" s="14"/>
      <c r="G410" s="14"/>
      <c r="H410" s="14"/>
      <c r="I410" s="14"/>
      <c r="J410" s="14"/>
      <c r="K410" s="14"/>
      <c r="L410" s="14">
        <v>1.0</v>
      </c>
      <c r="M410" s="14"/>
      <c r="N410" s="14"/>
      <c r="O410" s="14"/>
      <c r="P410" s="14"/>
      <c r="Q410" s="14"/>
      <c r="R410" s="14"/>
      <c r="S410" s="14"/>
      <c r="T410" s="14">
        <f t="shared" si="19"/>
        <v>1</v>
      </c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</row>
    <row r="411" ht="15.75" customHeight="1">
      <c r="A411" s="19" t="s">
        <v>583</v>
      </c>
      <c r="B411" s="15" t="s">
        <v>227</v>
      </c>
      <c r="C411" s="24" t="s">
        <v>32</v>
      </c>
      <c r="D411" s="17"/>
      <c r="E411" s="18"/>
      <c r="F411" s="19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>
        <f t="shared" si="19"/>
        <v>0</v>
      </c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</row>
    <row r="412" ht="15.75" customHeight="1">
      <c r="A412" s="27" t="s">
        <v>584</v>
      </c>
      <c r="B412" s="37" t="s">
        <v>585</v>
      </c>
      <c r="C412" s="59"/>
      <c r="D412" s="17"/>
      <c r="E412" s="18"/>
      <c r="F412" s="36"/>
      <c r="G412" s="27" t="s">
        <v>40</v>
      </c>
      <c r="H412" s="27" t="s">
        <v>586</v>
      </c>
      <c r="I412" s="27"/>
      <c r="J412" s="27">
        <v>5.0</v>
      </c>
      <c r="K412" s="27">
        <v>3.0</v>
      </c>
      <c r="L412" s="27"/>
      <c r="M412" s="27">
        <v>1.0</v>
      </c>
      <c r="N412" s="27">
        <v>1.0</v>
      </c>
      <c r="O412" s="27"/>
      <c r="P412" s="27"/>
      <c r="Q412" s="27"/>
      <c r="R412" s="27"/>
      <c r="S412" s="17">
        <v>1.0</v>
      </c>
      <c r="T412" s="14">
        <f t="shared" si="19"/>
        <v>11</v>
      </c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r="413" ht="15.75" customHeight="1">
      <c r="A413" s="19" t="s">
        <v>587</v>
      </c>
      <c r="B413" s="15" t="s">
        <v>68</v>
      </c>
      <c r="C413" s="16"/>
      <c r="D413" s="17"/>
      <c r="E413" s="18"/>
      <c r="F413" s="14"/>
      <c r="G413" s="20"/>
      <c r="H413" s="14"/>
      <c r="I413" s="14"/>
      <c r="J413" s="14"/>
      <c r="K413" s="14"/>
      <c r="L413" s="14"/>
      <c r="M413" s="14">
        <v>1.0</v>
      </c>
      <c r="N413" s="14"/>
      <c r="O413" s="14"/>
      <c r="P413" s="14"/>
      <c r="Q413" s="14"/>
      <c r="R413" s="14"/>
      <c r="S413" s="14"/>
      <c r="T413" s="14">
        <f t="shared" si="19"/>
        <v>1</v>
      </c>
      <c r="U413" s="6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</row>
    <row r="414" ht="15.75" customHeight="1">
      <c r="A414" s="49" t="s">
        <v>588</v>
      </c>
      <c r="B414" s="49" t="s">
        <v>46</v>
      </c>
      <c r="C414" s="25"/>
      <c r="D414" s="17"/>
      <c r="E414" s="18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14">
        <f t="shared" si="19"/>
        <v>0</v>
      </c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r="415" ht="15.75" customHeight="1">
      <c r="A415" s="27" t="s">
        <v>589</v>
      </c>
      <c r="B415" s="49" t="s">
        <v>46</v>
      </c>
      <c r="C415" s="25"/>
      <c r="D415" s="17"/>
      <c r="E415" s="18"/>
      <c r="F415" s="27"/>
      <c r="G415" s="26"/>
      <c r="H415" s="27"/>
      <c r="I415" s="27"/>
      <c r="J415" s="27"/>
      <c r="K415" s="27"/>
      <c r="L415" s="27"/>
      <c r="M415" s="27"/>
      <c r="N415" s="27"/>
      <c r="O415" s="27"/>
      <c r="P415" s="27">
        <v>1.0</v>
      </c>
      <c r="Q415" s="27"/>
      <c r="R415" s="27"/>
      <c r="S415" s="27"/>
      <c r="T415" s="14">
        <f t="shared" si="19"/>
        <v>1</v>
      </c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 ht="15.75" customHeight="1">
      <c r="A416" s="14" t="s">
        <v>590</v>
      </c>
      <c r="B416" s="15" t="s">
        <v>250</v>
      </c>
      <c r="C416" s="16"/>
      <c r="D416" s="17"/>
      <c r="E416" s="48"/>
      <c r="F416" s="14"/>
      <c r="G416" s="20"/>
      <c r="H416" s="14"/>
      <c r="I416" s="14"/>
      <c r="J416" s="14"/>
      <c r="K416" s="14"/>
      <c r="L416" s="14">
        <v>2.0</v>
      </c>
      <c r="M416" s="14">
        <v>5.0</v>
      </c>
      <c r="N416" s="14"/>
      <c r="O416" s="14">
        <v>1.0</v>
      </c>
      <c r="P416" s="14"/>
      <c r="Q416" s="19">
        <v>1.0</v>
      </c>
      <c r="R416" s="14"/>
      <c r="S416" s="14"/>
      <c r="T416" s="14">
        <f t="shared" si="19"/>
        <v>9</v>
      </c>
      <c r="U416" s="95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</row>
    <row r="417" ht="15.75" customHeight="1">
      <c r="A417" s="14" t="s">
        <v>591</v>
      </c>
      <c r="B417" s="17" t="s">
        <v>51</v>
      </c>
      <c r="C417" s="30" t="s">
        <v>158</v>
      </c>
      <c r="D417" s="17"/>
      <c r="E417" s="54"/>
      <c r="F417" s="27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17">
        <v>2.0</v>
      </c>
      <c r="S417" s="17"/>
      <c r="T417" s="14">
        <f t="shared" si="19"/>
        <v>2</v>
      </c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 ht="15.75" customHeight="1">
      <c r="A418" s="27" t="s">
        <v>592</v>
      </c>
      <c r="B418" s="37" t="s">
        <v>38</v>
      </c>
      <c r="C418" s="25"/>
      <c r="D418" s="17"/>
      <c r="E418" s="18"/>
      <c r="F418" s="27"/>
      <c r="G418" s="26"/>
      <c r="H418" s="27"/>
      <c r="I418" s="27"/>
      <c r="J418" s="27"/>
      <c r="K418" s="27"/>
      <c r="L418" s="27"/>
      <c r="M418" s="27"/>
      <c r="N418" s="27">
        <v>2.0</v>
      </c>
      <c r="O418" s="27"/>
      <c r="P418" s="27">
        <v>1.0</v>
      </c>
      <c r="Q418" s="27"/>
      <c r="R418" s="27"/>
      <c r="S418" s="27"/>
      <c r="T418" s="14">
        <f t="shared" si="19"/>
        <v>3</v>
      </c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r="419" ht="15.75" customHeight="1">
      <c r="A419" s="14" t="s">
        <v>593</v>
      </c>
      <c r="B419" s="15" t="s">
        <v>60</v>
      </c>
      <c r="C419" s="16"/>
      <c r="D419" s="17"/>
      <c r="E419" s="18"/>
      <c r="F419" s="14"/>
      <c r="G419" s="14"/>
      <c r="H419" s="14"/>
      <c r="I419" s="14"/>
      <c r="J419" s="14"/>
      <c r="K419" s="14"/>
      <c r="L419" s="14"/>
      <c r="M419" s="14"/>
      <c r="N419" s="14">
        <v>1.0</v>
      </c>
      <c r="O419" s="14">
        <v>1.0</v>
      </c>
      <c r="P419" s="14">
        <v>1.0</v>
      </c>
      <c r="Q419" s="14"/>
      <c r="R419" s="14"/>
      <c r="S419" s="14"/>
      <c r="T419" s="14">
        <f t="shared" si="19"/>
        <v>3</v>
      </c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</row>
    <row r="420" ht="15.75" customHeight="1">
      <c r="A420" s="27" t="s">
        <v>594</v>
      </c>
      <c r="B420" s="37" t="s">
        <v>62</v>
      </c>
      <c r="C420" s="25"/>
      <c r="D420" s="17"/>
      <c r="E420" s="18"/>
      <c r="F420" s="27"/>
      <c r="G420" s="26"/>
      <c r="H420" s="27"/>
      <c r="I420" s="27"/>
      <c r="J420" s="27"/>
      <c r="K420" s="27"/>
      <c r="L420" s="27"/>
      <c r="M420" s="27">
        <v>2.0</v>
      </c>
      <c r="N420" s="27"/>
      <c r="O420" s="27"/>
      <c r="P420" s="27"/>
      <c r="Q420" s="27"/>
      <c r="R420" s="27"/>
      <c r="S420" s="27"/>
      <c r="T420" s="14">
        <f t="shared" si="19"/>
        <v>2</v>
      </c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r="421" ht="15.75" customHeight="1">
      <c r="A421" s="19" t="s">
        <v>595</v>
      </c>
      <c r="B421" s="15" t="s">
        <v>100</v>
      </c>
      <c r="C421" s="16"/>
      <c r="D421" s="17"/>
      <c r="E421" s="18"/>
      <c r="F421" s="14"/>
      <c r="G421" s="20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>
        <f t="shared" si="19"/>
        <v>0</v>
      </c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</row>
    <row r="422" ht="15.75" customHeight="1">
      <c r="A422" s="27" t="s">
        <v>596</v>
      </c>
      <c r="B422" s="49" t="s">
        <v>295</v>
      </c>
      <c r="C422" s="25"/>
      <c r="D422" s="17"/>
      <c r="E422" s="48"/>
      <c r="F422" s="51"/>
      <c r="G422" s="26"/>
      <c r="H422" s="27"/>
      <c r="I422" s="27"/>
      <c r="J422" s="27">
        <v>1.0</v>
      </c>
      <c r="K422" s="27">
        <v>1.0</v>
      </c>
      <c r="L422" s="27">
        <v>3.0</v>
      </c>
      <c r="M422" s="27">
        <v>1.0</v>
      </c>
      <c r="N422" s="27"/>
      <c r="O422" s="27">
        <v>1.0</v>
      </c>
      <c r="P422" s="27"/>
      <c r="Q422" s="17">
        <v>1.0</v>
      </c>
      <c r="R422" s="27"/>
      <c r="S422" s="27"/>
      <c r="T422" s="14">
        <f t="shared" si="19"/>
        <v>8</v>
      </c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r="423" ht="15.75" customHeight="1">
      <c r="A423" s="19" t="s">
        <v>597</v>
      </c>
      <c r="B423" s="15" t="s">
        <v>60</v>
      </c>
      <c r="C423" s="16"/>
      <c r="D423" s="17"/>
      <c r="E423" s="18"/>
      <c r="F423" s="14"/>
      <c r="G423" s="14"/>
      <c r="H423" s="14"/>
      <c r="I423" s="14"/>
      <c r="J423" s="14"/>
      <c r="K423" s="14"/>
      <c r="L423" s="14"/>
      <c r="M423" s="14"/>
      <c r="N423" s="14">
        <v>1.0</v>
      </c>
      <c r="O423" s="14"/>
      <c r="P423" s="14">
        <v>1.0</v>
      </c>
      <c r="Q423" s="19">
        <v>1.0</v>
      </c>
      <c r="R423" s="14"/>
      <c r="S423" s="14"/>
      <c r="T423" s="14">
        <f t="shared" si="19"/>
        <v>3</v>
      </c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</row>
    <row r="424" ht="15.75" customHeight="1">
      <c r="A424" s="14" t="s">
        <v>598</v>
      </c>
      <c r="B424" s="17" t="s">
        <v>51</v>
      </c>
      <c r="C424" s="30" t="s">
        <v>158</v>
      </c>
      <c r="D424" s="47"/>
      <c r="E424" s="48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9"/>
      <c r="R424" s="19">
        <v>2.0</v>
      </c>
      <c r="S424" s="19"/>
      <c r="T424" s="14">
        <f t="shared" si="19"/>
        <v>2</v>
      </c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</row>
    <row r="425" ht="15.75" customHeight="1">
      <c r="A425" s="19" t="s">
        <v>599</v>
      </c>
      <c r="B425" s="46" t="s">
        <v>600</v>
      </c>
      <c r="C425" s="30" t="s">
        <v>533</v>
      </c>
      <c r="D425" s="47" t="s">
        <v>536</v>
      </c>
      <c r="E425" s="48">
        <v>45931.0</v>
      </c>
      <c r="F425" s="19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9"/>
      <c r="R425" s="19">
        <v>6.0</v>
      </c>
      <c r="S425" s="40">
        <v>4.0</v>
      </c>
      <c r="T425" s="34">
        <f t="shared" si="19"/>
        <v>10</v>
      </c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</row>
    <row r="426" ht="15.75" customHeight="1">
      <c r="A426" s="19" t="s">
        <v>601</v>
      </c>
      <c r="B426" s="35"/>
      <c r="C426" s="30" t="s">
        <v>356</v>
      </c>
      <c r="D426" s="47"/>
      <c r="E426" s="48"/>
      <c r="F426" s="19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9"/>
      <c r="R426" s="19"/>
      <c r="S426" s="35"/>
      <c r="T426" s="35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</row>
    <row r="427" ht="15.75" customHeight="1">
      <c r="A427" s="19" t="s">
        <v>602</v>
      </c>
      <c r="B427" s="17" t="s">
        <v>46</v>
      </c>
      <c r="C427" s="30" t="s">
        <v>376</v>
      </c>
      <c r="D427" s="47"/>
      <c r="E427" s="48"/>
      <c r="F427" s="19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9"/>
      <c r="R427" s="19"/>
      <c r="S427" s="19"/>
      <c r="T427" s="14">
        <f t="shared" ref="T427:T439" si="20">SUM(I427:S427)</f>
        <v>0</v>
      </c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</row>
    <row r="428" ht="15.75" customHeight="1">
      <c r="A428" s="19" t="s">
        <v>603</v>
      </c>
      <c r="B428" s="45" t="s">
        <v>535</v>
      </c>
      <c r="C428" s="16"/>
      <c r="D428" s="47"/>
      <c r="E428" s="48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9">
        <v>1.0</v>
      </c>
      <c r="R428" s="14"/>
      <c r="S428" s="14"/>
      <c r="T428" s="14">
        <f t="shared" si="20"/>
        <v>1</v>
      </c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</row>
    <row r="429" ht="15.75" customHeight="1">
      <c r="A429" s="17" t="s">
        <v>604</v>
      </c>
      <c r="B429" s="49" t="s">
        <v>535</v>
      </c>
      <c r="C429" s="25"/>
      <c r="D429" s="17"/>
      <c r="E429" s="48"/>
      <c r="F429" s="27"/>
      <c r="G429" s="27"/>
      <c r="H429" s="27"/>
      <c r="I429" s="27"/>
      <c r="J429" s="27"/>
      <c r="K429" s="27"/>
      <c r="L429" s="27"/>
      <c r="M429" s="27"/>
      <c r="N429" s="27"/>
      <c r="O429" s="27">
        <v>3.0</v>
      </c>
      <c r="P429" s="27">
        <v>2.0</v>
      </c>
      <c r="Q429" s="17">
        <v>1.0</v>
      </c>
      <c r="R429" s="17">
        <v>1.0</v>
      </c>
      <c r="S429" s="17">
        <v>1.0</v>
      </c>
      <c r="T429" s="14">
        <f t="shared" si="20"/>
        <v>8</v>
      </c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 ht="15.75" customHeight="1">
      <c r="A430" s="19" t="s">
        <v>605</v>
      </c>
      <c r="B430" s="45" t="s">
        <v>535</v>
      </c>
      <c r="C430" s="16"/>
      <c r="D430" s="47"/>
      <c r="E430" s="48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9">
        <v>1.0</v>
      </c>
      <c r="R430" s="14"/>
      <c r="S430" s="19">
        <v>1.0</v>
      </c>
      <c r="T430" s="14">
        <f t="shared" si="20"/>
        <v>2</v>
      </c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</row>
    <row r="431" ht="15.75" customHeight="1">
      <c r="A431" s="14" t="s">
        <v>606</v>
      </c>
      <c r="B431" s="15" t="s">
        <v>535</v>
      </c>
      <c r="C431" s="16"/>
      <c r="D431" s="17"/>
      <c r="E431" s="18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>
        <v>2.0</v>
      </c>
      <c r="Q431" s="14"/>
      <c r="R431" s="14"/>
      <c r="S431" s="19">
        <v>1.0</v>
      </c>
      <c r="T431" s="14">
        <f t="shared" si="20"/>
        <v>3</v>
      </c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</row>
    <row r="432" ht="15.75" customHeight="1">
      <c r="A432" s="14" t="s">
        <v>607</v>
      </c>
      <c r="B432" s="15" t="s">
        <v>125</v>
      </c>
      <c r="C432" s="16"/>
      <c r="D432" s="47"/>
      <c r="E432" s="48"/>
      <c r="F432" s="14"/>
      <c r="G432" s="14"/>
      <c r="H432" s="14"/>
      <c r="I432" s="14"/>
      <c r="J432" s="14"/>
      <c r="K432" s="14"/>
      <c r="L432" s="14"/>
      <c r="M432" s="14">
        <v>4.0</v>
      </c>
      <c r="N432" s="14">
        <v>6.0</v>
      </c>
      <c r="O432" s="14">
        <v>4.0</v>
      </c>
      <c r="P432" s="14">
        <v>2.0</v>
      </c>
      <c r="Q432" s="14"/>
      <c r="R432" s="19">
        <v>2.0</v>
      </c>
      <c r="S432" s="19">
        <v>2.0</v>
      </c>
      <c r="T432" s="14">
        <f t="shared" si="20"/>
        <v>20</v>
      </c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</row>
    <row r="433" ht="15.75" customHeight="1">
      <c r="A433" s="17" t="s">
        <v>608</v>
      </c>
      <c r="B433" s="37" t="s">
        <v>87</v>
      </c>
      <c r="C433" s="25"/>
      <c r="D433" s="17"/>
      <c r="E433" s="18"/>
      <c r="F433" s="27"/>
      <c r="G433" s="27"/>
      <c r="H433" s="27"/>
      <c r="I433" s="27"/>
      <c r="J433" s="27"/>
      <c r="K433" s="27"/>
      <c r="L433" s="27">
        <v>4.0</v>
      </c>
      <c r="M433" s="27">
        <v>2.0</v>
      </c>
      <c r="N433" s="27"/>
      <c r="O433" s="27">
        <v>1.0</v>
      </c>
      <c r="P433" s="27"/>
      <c r="Q433" s="27"/>
      <c r="R433" s="27"/>
      <c r="S433" s="27"/>
      <c r="T433" s="14">
        <f t="shared" si="20"/>
        <v>7</v>
      </c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ht="15.75" customHeight="1">
      <c r="A434" s="14" t="s">
        <v>609</v>
      </c>
      <c r="B434" s="15" t="s">
        <v>62</v>
      </c>
      <c r="C434" s="16"/>
      <c r="D434" s="17"/>
      <c r="E434" s="48"/>
      <c r="F434" s="14"/>
      <c r="G434" s="14"/>
      <c r="H434" s="14"/>
      <c r="I434" s="34"/>
      <c r="J434" s="14"/>
      <c r="K434" s="14"/>
      <c r="L434" s="14"/>
      <c r="M434" s="14"/>
      <c r="N434" s="14"/>
      <c r="O434" s="14"/>
      <c r="P434" s="14"/>
      <c r="Q434" s="19">
        <v>1.0</v>
      </c>
      <c r="R434" s="14"/>
      <c r="S434" s="14"/>
      <c r="T434" s="14">
        <f t="shared" si="20"/>
        <v>1</v>
      </c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</row>
    <row r="435" ht="15.75" customHeight="1">
      <c r="A435" s="14" t="s">
        <v>610</v>
      </c>
      <c r="B435" s="45" t="s">
        <v>70</v>
      </c>
      <c r="C435" s="25"/>
      <c r="D435" s="17"/>
      <c r="E435" s="18"/>
      <c r="F435" s="27"/>
      <c r="G435" s="27"/>
      <c r="H435" s="27"/>
      <c r="I435" s="33"/>
      <c r="J435" s="27"/>
      <c r="K435" s="27"/>
      <c r="L435" s="27"/>
      <c r="M435" s="27"/>
      <c r="N435" s="27"/>
      <c r="O435" s="27"/>
      <c r="P435" s="27">
        <v>1.0</v>
      </c>
      <c r="Q435" s="27"/>
      <c r="R435" s="27"/>
      <c r="S435" s="27"/>
      <c r="T435" s="14">
        <f t="shared" si="20"/>
        <v>1</v>
      </c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 ht="15.75" customHeight="1">
      <c r="A436" s="85" t="s">
        <v>611</v>
      </c>
      <c r="B436" s="15" t="s">
        <v>230</v>
      </c>
      <c r="C436" s="16"/>
      <c r="D436" s="17"/>
      <c r="E436" s="18"/>
      <c r="F436" s="14"/>
      <c r="G436" s="14"/>
      <c r="H436" s="14"/>
      <c r="I436" s="3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>
        <f t="shared" si="20"/>
        <v>0</v>
      </c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</row>
    <row r="437" ht="15.75" customHeight="1">
      <c r="A437" s="17" t="s">
        <v>612</v>
      </c>
      <c r="B437" s="37" t="s">
        <v>149</v>
      </c>
      <c r="C437" s="25"/>
      <c r="D437" s="17"/>
      <c r="E437" s="18"/>
      <c r="F437" s="27"/>
      <c r="G437" s="27"/>
      <c r="H437" s="27"/>
      <c r="I437" s="33"/>
      <c r="J437" s="27"/>
      <c r="K437" s="27"/>
      <c r="L437" s="27">
        <v>2.0</v>
      </c>
      <c r="M437" s="27">
        <v>4.0</v>
      </c>
      <c r="N437" s="27">
        <v>1.0</v>
      </c>
      <c r="O437" s="27"/>
      <c r="P437" s="27"/>
      <c r="Q437" s="27"/>
      <c r="R437" s="17">
        <v>1.0</v>
      </c>
      <c r="S437" s="17"/>
      <c r="T437" s="14">
        <f t="shared" si="20"/>
        <v>8</v>
      </c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 ht="15.75" customHeight="1">
      <c r="A438" s="14" t="s">
        <v>613</v>
      </c>
      <c r="B438" s="15" t="s">
        <v>119</v>
      </c>
      <c r="C438" s="16"/>
      <c r="D438" s="17"/>
      <c r="E438" s="18"/>
      <c r="F438" s="14"/>
      <c r="G438" s="20"/>
      <c r="H438" s="14"/>
      <c r="I438" s="34"/>
      <c r="J438" s="14"/>
      <c r="K438" s="14"/>
      <c r="L438" s="14"/>
      <c r="M438" s="14"/>
      <c r="N438" s="14">
        <v>4.0</v>
      </c>
      <c r="O438" s="14">
        <v>1.0</v>
      </c>
      <c r="P438" s="14"/>
      <c r="Q438" s="14"/>
      <c r="R438" s="14"/>
      <c r="S438" s="14"/>
      <c r="T438" s="14">
        <f t="shared" si="20"/>
        <v>5</v>
      </c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</row>
    <row r="439" ht="15.75" customHeight="1">
      <c r="A439" s="17" t="s">
        <v>614</v>
      </c>
      <c r="B439" s="32" t="s">
        <v>225</v>
      </c>
      <c r="C439" s="25"/>
      <c r="D439" s="17" t="s">
        <v>180</v>
      </c>
      <c r="E439" s="18">
        <v>45933.0</v>
      </c>
      <c r="F439" s="27"/>
      <c r="G439" s="26"/>
      <c r="H439" s="27"/>
      <c r="I439" s="33">
        <v>1.0</v>
      </c>
      <c r="J439" s="33">
        <v>2.0</v>
      </c>
      <c r="K439" s="33">
        <v>1.0</v>
      </c>
      <c r="L439" s="33">
        <v>1.0</v>
      </c>
      <c r="M439" s="33">
        <v>3.0</v>
      </c>
      <c r="N439" s="33">
        <v>3.0</v>
      </c>
      <c r="O439" s="33">
        <v>3.0</v>
      </c>
      <c r="P439" s="33">
        <v>1.0</v>
      </c>
      <c r="Q439" s="46">
        <v>1.0</v>
      </c>
      <c r="R439" s="33"/>
      <c r="S439" s="46">
        <v>1.0</v>
      </c>
      <c r="T439" s="34">
        <f t="shared" si="20"/>
        <v>17</v>
      </c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 ht="15.75" customHeight="1">
      <c r="A440" s="14" t="s">
        <v>615</v>
      </c>
      <c r="B440" s="41"/>
      <c r="C440" s="16"/>
      <c r="D440" s="17"/>
      <c r="E440" s="18"/>
      <c r="F440" s="14"/>
      <c r="G440" s="20"/>
      <c r="H440" s="14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</row>
    <row r="441" ht="15.75" customHeight="1">
      <c r="A441" s="27" t="s">
        <v>616</v>
      </c>
      <c r="B441" s="41"/>
      <c r="C441" s="25"/>
      <c r="D441" s="17"/>
      <c r="E441" s="18"/>
      <c r="F441" s="27"/>
      <c r="G441" s="26"/>
      <c r="H441" s="27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 ht="15.75" customHeight="1">
      <c r="A442" s="14" t="s">
        <v>617</v>
      </c>
      <c r="B442" s="35"/>
      <c r="C442" s="16"/>
      <c r="D442" s="17"/>
      <c r="E442" s="18"/>
      <c r="F442" s="14"/>
      <c r="G442" s="20"/>
      <c r="H442" s="14"/>
      <c r="I442" s="35"/>
      <c r="J442" s="35"/>
      <c r="K442" s="35"/>
      <c r="L442" s="35"/>
      <c r="M442" s="35"/>
      <c r="N442" s="35"/>
      <c r="O442" s="35"/>
      <c r="P442" s="35"/>
      <c r="Q442" s="41"/>
      <c r="R442" s="41"/>
      <c r="S442" s="41"/>
      <c r="T442" s="35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</row>
    <row r="443" ht="15.75" customHeight="1">
      <c r="A443" s="27" t="s">
        <v>618</v>
      </c>
      <c r="B443" s="17" t="s">
        <v>619</v>
      </c>
      <c r="C443" s="25"/>
      <c r="D443" s="17"/>
      <c r="E443" s="18"/>
      <c r="F443" s="27"/>
      <c r="G443" s="26"/>
      <c r="H443" s="27"/>
      <c r="I443" s="27"/>
      <c r="J443" s="27"/>
      <c r="K443" s="27"/>
      <c r="L443" s="27"/>
      <c r="M443" s="27"/>
      <c r="N443" s="27">
        <v>1.0</v>
      </c>
      <c r="O443" s="27"/>
      <c r="P443" s="27"/>
      <c r="Q443" s="27"/>
      <c r="R443" s="27"/>
      <c r="S443" s="27"/>
      <c r="T443" s="14">
        <f t="shared" ref="T443:T461" si="21">SUM(I443:S443)</f>
        <v>1</v>
      </c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 ht="15.75" customHeight="1">
      <c r="A444" s="14" t="s">
        <v>620</v>
      </c>
      <c r="B444" s="15" t="s">
        <v>225</v>
      </c>
      <c r="C444" s="16"/>
      <c r="D444" s="17"/>
      <c r="E444" s="18"/>
      <c r="F444" s="14"/>
      <c r="G444" s="20"/>
      <c r="H444" s="14" t="s">
        <v>621</v>
      </c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>
        <f t="shared" si="21"/>
        <v>0</v>
      </c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</row>
    <row r="445" ht="15.75" customHeight="1">
      <c r="A445" s="27" t="s">
        <v>622</v>
      </c>
      <c r="B445" s="37" t="s">
        <v>100</v>
      </c>
      <c r="C445" s="25"/>
      <c r="D445" s="17"/>
      <c r="E445" s="18"/>
      <c r="F445" s="27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14">
        <f t="shared" si="21"/>
        <v>0</v>
      </c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 ht="15.75" customHeight="1">
      <c r="A446" s="19" t="s">
        <v>623</v>
      </c>
      <c r="B446" s="15" t="s">
        <v>129</v>
      </c>
      <c r="C446" s="16"/>
      <c r="D446" s="17"/>
      <c r="E446" s="18"/>
      <c r="F446" s="14"/>
      <c r="G446" s="20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9"/>
      <c r="S446" s="19">
        <v>2.0</v>
      </c>
      <c r="T446" s="14">
        <f t="shared" si="21"/>
        <v>2</v>
      </c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</row>
    <row r="447" ht="15.75" customHeight="1">
      <c r="A447" s="14" t="s">
        <v>624</v>
      </c>
      <c r="B447" s="15" t="s">
        <v>454</v>
      </c>
      <c r="C447" s="16"/>
      <c r="D447" s="17"/>
      <c r="E447" s="18"/>
      <c r="F447" s="14"/>
      <c r="G447" s="20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9">
        <v>1.0</v>
      </c>
      <c r="S447" s="19"/>
      <c r="T447" s="14">
        <f t="shared" si="21"/>
        <v>1</v>
      </c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</row>
    <row r="448" ht="15.75" customHeight="1">
      <c r="A448" s="27" t="s">
        <v>625</v>
      </c>
      <c r="B448" s="37" t="s">
        <v>129</v>
      </c>
      <c r="C448" s="25"/>
      <c r="D448" s="17"/>
      <c r="E448" s="18"/>
      <c r="F448" s="51"/>
      <c r="G448" s="26"/>
      <c r="H448" s="27"/>
      <c r="I448" s="27"/>
      <c r="J448" s="27">
        <v>2.0</v>
      </c>
      <c r="K448" s="27">
        <v>2.0</v>
      </c>
      <c r="L448" s="27">
        <v>1.0</v>
      </c>
      <c r="M448" s="27"/>
      <c r="N448" s="27">
        <v>1.0</v>
      </c>
      <c r="O448" s="27"/>
      <c r="P448" s="27"/>
      <c r="Q448" s="17">
        <v>1.0</v>
      </c>
      <c r="R448" s="17">
        <v>1.0</v>
      </c>
      <c r="S448" s="17"/>
      <c r="T448" s="14">
        <f t="shared" si="21"/>
        <v>8</v>
      </c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r="449" ht="15.75" customHeight="1">
      <c r="A449" s="96" t="s">
        <v>626</v>
      </c>
      <c r="B449" s="15" t="s">
        <v>564</v>
      </c>
      <c r="C449" s="16"/>
      <c r="D449" s="17"/>
      <c r="E449" s="18"/>
      <c r="F449" s="67"/>
      <c r="G449" s="20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>
        <f t="shared" si="21"/>
        <v>0</v>
      </c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</row>
    <row r="450" ht="15.75" customHeight="1">
      <c r="A450" s="14" t="s">
        <v>627</v>
      </c>
      <c r="B450" s="15" t="s">
        <v>580</v>
      </c>
      <c r="C450" s="16"/>
      <c r="D450" s="17"/>
      <c r="E450" s="18"/>
      <c r="F450" s="67"/>
      <c r="G450" s="20"/>
      <c r="H450" s="14"/>
      <c r="I450" s="14"/>
      <c r="J450" s="14">
        <v>3.0</v>
      </c>
      <c r="K450" s="14">
        <v>1.0</v>
      </c>
      <c r="L450" s="14"/>
      <c r="M450" s="14"/>
      <c r="N450" s="14"/>
      <c r="O450" s="14"/>
      <c r="P450" s="14"/>
      <c r="Q450" s="14"/>
      <c r="R450" s="14"/>
      <c r="S450" s="14"/>
      <c r="T450" s="14">
        <f t="shared" si="21"/>
        <v>4</v>
      </c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</row>
    <row r="451" ht="15.75" customHeight="1">
      <c r="A451" s="17" t="s">
        <v>628</v>
      </c>
      <c r="B451" s="17" t="s">
        <v>218</v>
      </c>
      <c r="C451" s="30" t="s">
        <v>629</v>
      </c>
      <c r="D451" s="17"/>
      <c r="E451" s="18"/>
      <c r="F451" s="17"/>
      <c r="G451" s="68" t="s">
        <v>40</v>
      </c>
      <c r="H451" s="29">
        <v>45907.0</v>
      </c>
      <c r="I451" s="27"/>
      <c r="J451" s="27"/>
      <c r="K451" s="27"/>
      <c r="L451" s="27"/>
      <c r="M451" s="27"/>
      <c r="N451" s="27"/>
      <c r="O451" s="27"/>
      <c r="P451" s="27"/>
      <c r="Q451" s="17"/>
      <c r="R451" s="27"/>
      <c r="S451" s="17">
        <v>1.0</v>
      </c>
      <c r="T451" s="14">
        <f t="shared" si="21"/>
        <v>1</v>
      </c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 ht="15.75" customHeight="1">
      <c r="A452" s="17" t="s">
        <v>630</v>
      </c>
      <c r="B452" s="17" t="s">
        <v>192</v>
      </c>
      <c r="C452" s="25"/>
      <c r="D452" s="17"/>
      <c r="E452" s="18"/>
      <c r="F452" s="51"/>
      <c r="G452" s="26"/>
      <c r="H452" s="27"/>
      <c r="I452" s="27"/>
      <c r="J452" s="27"/>
      <c r="K452" s="27">
        <v>3.0</v>
      </c>
      <c r="L452" s="27"/>
      <c r="M452" s="27"/>
      <c r="N452" s="27">
        <v>1.0</v>
      </c>
      <c r="O452" s="27">
        <v>1.0</v>
      </c>
      <c r="P452" s="27"/>
      <c r="Q452" s="17">
        <v>1.0</v>
      </c>
      <c r="R452" s="27"/>
      <c r="S452" s="27"/>
      <c r="T452" s="14">
        <f t="shared" si="21"/>
        <v>6</v>
      </c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r="453" ht="15.75" customHeight="1">
      <c r="A453" s="17" t="s">
        <v>631</v>
      </c>
      <c r="B453" s="17" t="s">
        <v>73</v>
      </c>
      <c r="C453" s="30" t="s">
        <v>32</v>
      </c>
      <c r="D453" s="17"/>
      <c r="E453" s="18"/>
      <c r="F453" s="17" t="s">
        <v>74</v>
      </c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17"/>
      <c r="R453" s="27"/>
      <c r="S453" s="27"/>
      <c r="T453" s="14">
        <f t="shared" si="21"/>
        <v>0</v>
      </c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 ht="15.75" customHeight="1">
      <c r="A454" s="17" t="s">
        <v>632</v>
      </c>
      <c r="B454" s="17" t="s">
        <v>73</v>
      </c>
      <c r="C454" s="30" t="s">
        <v>32</v>
      </c>
      <c r="D454" s="17" t="s">
        <v>633</v>
      </c>
      <c r="E454" s="18">
        <v>45953.0</v>
      </c>
      <c r="F454" s="17" t="s">
        <v>74</v>
      </c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17"/>
      <c r="R454" s="27"/>
      <c r="S454" s="17">
        <v>1.0</v>
      </c>
      <c r="T454" s="14">
        <f t="shared" si="21"/>
        <v>1</v>
      </c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r="455" ht="15.75" customHeight="1">
      <c r="A455" s="19" t="s">
        <v>634</v>
      </c>
      <c r="B455" s="19" t="s">
        <v>38</v>
      </c>
      <c r="C455" s="16"/>
      <c r="D455" s="17"/>
      <c r="E455" s="18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9">
        <v>2.0</v>
      </c>
      <c r="R455" s="27"/>
      <c r="S455" s="27"/>
      <c r="T455" s="14">
        <f t="shared" si="21"/>
        <v>2</v>
      </c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</row>
    <row r="456" ht="15.75" customHeight="1">
      <c r="A456" s="14" t="s">
        <v>635</v>
      </c>
      <c r="B456" s="14" t="s">
        <v>62</v>
      </c>
      <c r="C456" s="16"/>
      <c r="D456" s="17"/>
      <c r="E456" s="18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>
        <f t="shared" si="21"/>
        <v>0</v>
      </c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</row>
    <row r="457" ht="15.75" customHeight="1">
      <c r="A457" s="27" t="s">
        <v>636</v>
      </c>
      <c r="B457" s="17" t="s">
        <v>247</v>
      </c>
      <c r="C457" s="25"/>
      <c r="D457" s="17"/>
      <c r="E457" s="18"/>
      <c r="F457" s="27"/>
      <c r="G457" s="26"/>
      <c r="H457" s="27"/>
      <c r="I457" s="27"/>
      <c r="J457" s="27"/>
      <c r="K457" s="27"/>
      <c r="L457" s="27"/>
      <c r="M457" s="27"/>
      <c r="N457" s="27"/>
      <c r="O457" s="27"/>
      <c r="P457" s="27">
        <v>2.0</v>
      </c>
      <c r="Q457" s="27"/>
      <c r="R457" s="27"/>
      <c r="S457" s="27"/>
      <c r="T457" s="14">
        <f t="shared" si="21"/>
        <v>2</v>
      </c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 ht="15.75" customHeight="1">
      <c r="A458" s="19" t="s">
        <v>637</v>
      </c>
      <c r="B458" s="17" t="s">
        <v>68</v>
      </c>
      <c r="C458" s="30" t="s">
        <v>158</v>
      </c>
      <c r="D458" s="50"/>
      <c r="E458" s="48"/>
      <c r="F458" s="14"/>
      <c r="G458" s="20"/>
      <c r="H458" s="14"/>
      <c r="I458" s="14"/>
      <c r="J458" s="14"/>
      <c r="K458" s="14"/>
      <c r="L458" s="14"/>
      <c r="M458" s="14"/>
      <c r="N458" s="14"/>
      <c r="O458" s="14"/>
      <c r="P458" s="14"/>
      <c r="Q458" s="19"/>
      <c r="R458" s="14"/>
      <c r="S458" s="14"/>
      <c r="T458" s="14">
        <f t="shared" si="21"/>
        <v>0</v>
      </c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</row>
    <row r="459" ht="15.75" customHeight="1">
      <c r="A459" s="19" t="s">
        <v>638</v>
      </c>
      <c r="B459" s="15" t="s">
        <v>73</v>
      </c>
      <c r="C459" s="24" t="s">
        <v>32</v>
      </c>
      <c r="D459" s="47"/>
      <c r="E459" s="48"/>
      <c r="F459" s="19" t="s">
        <v>74</v>
      </c>
      <c r="G459" s="20"/>
      <c r="H459" s="14"/>
      <c r="I459" s="14"/>
      <c r="J459" s="14"/>
      <c r="K459" s="14"/>
      <c r="L459" s="14"/>
      <c r="M459" s="14"/>
      <c r="N459" s="14"/>
      <c r="O459" s="14"/>
      <c r="P459" s="14"/>
      <c r="Q459" s="19"/>
      <c r="R459" s="14"/>
      <c r="S459" s="19"/>
      <c r="T459" s="14">
        <f t="shared" si="21"/>
        <v>0</v>
      </c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</row>
    <row r="460" ht="15.75" customHeight="1">
      <c r="A460" s="19" t="s">
        <v>639</v>
      </c>
      <c r="B460" s="15" t="s">
        <v>361</v>
      </c>
      <c r="C460" s="16"/>
      <c r="D460" s="47"/>
      <c r="E460" s="48"/>
      <c r="F460" s="14"/>
      <c r="G460" s="20"/>
      <c r="H460" s="14"/>
      <c r="I460" s="14">
        <v>2.0</v>
      </c>
      <c r="J460" s="14">
        <v>7.0</v>
      </c>
      <c r="K460" s="14">
        <v>1.0</v>
      </c>
      <c r="L460" s="14">
        <v>2.0</v>
      </c>
      <c r="M460" s="14">
        <v>1.0</v>
      </c>
      <c r="N460" s="14">
        <v>4.0</v>
      </c>
      <c r="O460" s="14">
        <v>2.0</v>
      </c>
      <c r="P460" s="14">
        <v>2.0</v>
      </c>
      <c r="Q460" s="19">
        <v>1.0</v>
      </c>
      <c r="R460" s="14"/>
      <c r="S460" s="19">
        <v>1.0</v>
      </c>
      <c r="T460" s="14">
        <f t="shared" si="21"/>
        <v>23</v>
      </c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</row>
    <row r="461" ht="15.75" customHeight="1">
      <c r="A461" s="27" t="s">
        <v>640</v>
      </c>
      <c r="B461" s="27" t="s">
        <v>70</v>
      </c>
      <c r="C461" s="25"/>
      <c r="D461" s="17"/>
      <c r="E461" s="18"/>
      <c r="F461" s="27"/>
      <c r="G461" s="23" t="s">
        <v>641</v>
      </c>
      <c r="H461" s="27" t="s">
        <v>282</v>
      </c>
      <c r="I461" s="27">
        <v>3.0</v>
      </c>
      <c r="J461" s="33">
        <v>4.0</v>
      </c>
      <c r="K461" s="33">
        <v>1.0</v>
      </c>
      <c r="L461" s="33">
        <v>5.0</v>
      </c>
      <c r="M461" s="33"/>
      <c r="N461" s="33"/>
      <c r="O461" s="33"/>
      <c r="P461" s="33"/>
      <c r="Q461" s="33"/>
      <c r="R461" s="46">
        <v>1.0</v>
      </c>
      <c r="S461" s="46"/>
      <c r="T461" s="34">
        <f t="shared" si="21"/>
        <v>14</v>
      </c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 ht="15.75" customHeight="1">
      <c r="A462" s="14" t="s">
        <v>640</v>
      </c>
      <c r="B462" s="45" t="s">
        <v>70</v>
      </c>
      <c r="C462" s="16"/>
      <c r="D462" s="17"/>
      <c r="E462" s="18"/>
      <c r="F462" s="14"/>
      <c r="G462" s="20"/>
      <c r="H462" s="14"/>
      <c r="I462" s="14"/>
      <c r="J462" s="35"/>
      <c r="K462" s="35"/>
      <c r="L462" s="35"/>
      <c r="M462" s="35"/>
      <c r="N462" s="35"/>
      <c r="O462" s="35"/>
      <c r="P462" s="35"/>
      <c r="Q462" s="41"/>
      <c r="R462" s="41"/>
      <c r="S462" s="41"/>
      <c r="T462" s="35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</row>
    <row r="463" ht="15.75" customHeight="1">
      <c r="A463" s="27" t="s">
        <v>642</v>
      </c>
      <c r="B463" s="27" t="s">
        <v>70</v>
      </c>
      <c r="C463" s="25"/>
      <c r="D463" s="17"/>
      <c r="E463" s="18"/>
      <c r="F463" s="27"/>
      <c r="G463" s="27"/>
      <c r="H463" s="27"/>
      <c r="I463" s="27"/>
      <c r="J463" s="27"/>
      <c r="K463" s="27"/>
      <c r="L463" s="27"/>
      <c r="M463" s="27">
        <v>2.0</v>
      </c>
      <c r="N463" s="27"/>
      <c r="O463" s="27"/>
      <c r="P463" s="27"/>
      <c r="Q463" s="27"/>
      <c r="R463" s="27"/>
      <c r="S463" s="27"/>
      <c r="T463" s="14">
        <f t="shared" ref="T463:T474" si="22">SUM(I463:S463)</f>
        <v>2</v>
      </c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 ht="15.75" customHeight="1">
      <c r="A464" s="17" t="s">
        <v>643</v>
      </c>
      <c r="B464" s="17" t="s">
        <v>73</v>
      </c>
      <c r="C464" s="30" t="s">
        <v>32</v>
      </c>
      <c r="D464" s="17"/>
      <c r="E464" s="54"/>
      <c r="F464" s="17" t="s">
        <v>74</v>
      </c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33"/>
      <c r="R464" s="33"/>
      <c r="S464" s="33"/>
      <c r="T464" s="14">
        <f t="shared" si="22"/>
        <v>0</v>
      </c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r="465" ht="15.75" customHeight="1">
      <c r="A465" s="17" t="s">
        <v>644</v>
      </c>
      <c r="B465" s="17" t="s">
        <v>214</v>
      </c>
      <c r="C465" s="30" t="s">
        <v>645</v>
      </c>
      <c r="D465" s="17"/>
      <c r="E465" s="48"/>
      <c r="F465" s="1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46">
        <v>2.0</v>
      </c>
      <c r="R465" s="33"/>
      <c r="S465" s="46">
        <v>1.0</v>
      </c>
      <c r="T465" s="14">
        <f t="shared" si="22"/>
        <v>3</v>
      </c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 ht="15.75" customHeight="1">
      <c r="A466" s="19" t="s">
        <v>646</v>
      </c>
      <c r="B466" s="15" t="s">
        <v>34</v>
      </c>
      <c r="C466" s="16"/>
      <c r="D466" s="17"/>
      <c r="E466" s="18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9">
        <v>1.0</v>
      </c>
      <c r="R466" s="19">
        <v>3.0</v>
      </c>
      <c r="S466" s="19">
        <v>1.0</v>
      </c>
      <c r="T466" s="14">
        <f t="shared" si="22"/>
        <v>5</v>
      </c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</row>
    <row r="467" ht="15.75" customHeight="1">
      <c r="A467" s="27" t="s">
        <v>647</v>
      </c>
      <c r="B467" s="37" t="s">
        <v>234</v>
      </c>
      <c r="C467" s="25"/>
      <c r="D467" s="17"/>
      <c r="E467" s="18"/>
      <c r="F467" s="27"/>
      <c r="G467" s="27"/>
      <c r="H467" s="27"/>
      <c r="I467" s="27"/>
      <c r="J467" s="27"/>
      <c r="K467" s="27"/>
      <c r="L467" s="27"/>
      <c r="M467" s="27"/>
      <c r="N467" s="27"/>
      <c r="O467" s="27">
        <v>1.0</v>
      </c>
      <c r="P467" s="27"/>
      <c r="Q467" s="27"/>
      <c r="R467" s="27"/>
      <c r="S467" s="27"/>
      <c r="T467" s="14">
        <f t="shared" si="22"/>
        <v>1</v>
      </c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 ht="15.75" customHeight="1">
      <c r="A468" s="14" t="s">
        <v>648</v>
      </c>
      <c r="B468" s="15" t="s">
        <v>85</v>
      </c>
      <c r="C468" s="16"/>
      <c r="D468" s="17"/>
      <c r="E468" s="18"/>
      <c r="F468" s="14"/>
      <c r="G468" s="14"/>
      <c r="H468" s="14"/>
      <c r="I468" s="14"/>
      <c r="J468" s="14"/>
      <c r="K468" s="14"/>
      <c r="L468" s="14"/>
      <c r="M468" s="14"/>
      <c r="N468" s="14"/>
      <c r="O468" s="14">
        <v>1.0</v>
      </c>
      <c r="P468" s="14"/>
      <c r="Q468" s="14"/>
      <c r="R468" s="14"/>
      <c r="S468" s="14"/>
      <c r="T468" s="14">
        <f t="shared" si="22"/>
        <v>1</v>
      </c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</row>
    <row r="469" ht="15.75" customHeight="1">
      <c r="A469" s="17" t="s">
        <v>649</v>
      </c>
      <c r="B469" s="17" t="s">
        <v>100</v>
      </c>
      <c r="C469" s="25"/>
      <c r="D469" s="17"/>
      <c r="E469" s="18"/>
      <c r="F469" s="51"/>
      <c r="G469" s="27"/>
      <c r="H469" s="27"/>
      <c r="I469" s="27"/>
      <c r="J469" s="97"/>
      <c r="K469" s="97"/>
      <c r="L469" s="27"/>
      <c r="M469" s="27"/>
      <c r="N469" s="97"/>
      <c r="O469" s="97"/>
      <c r="P469" s="97"/>
      <c r="Q469" s="97"/>
      <c r="R469" s="97"/>
      <c r="S469" s="98">
        <v>1.0</v>
      </c>
      <c r="T469" s="14">
        <f t="shared" si="22"/>
        <v>1</v>
      </c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 ht="15.75" customHeight="1">
      <c r="A470" s="27" t="s">
        <v>650</v>
      </c>
      <c r="B470" s="17" t="s">
        <v>347</v>
      </c>
      <c r="C470" s="25"/>
      <c r="D470" s="17"/>
      <c r="E470" s="18"/>
      <c r="F470" s="51"/>
      <c r="G470" s="27"/>
      <c r="H470" s="27"/>
      <c r="I470" s="27"/>
      <c r="J470" s="97">
        <v>3.0</v>
      </c>
      <c r="K470" s="97">
        <v>2.0</v>
      </c>
      <c r="L470" s="27"/>
      <c r="M470" s="27"/>
      <c r="N470" s="97">
        <v>1.0</v>
      </c>
      <c r="O470" s="97"/>
      <c r="P470" s="97"/>
      <c r="Q470" s="97"/>
      <c r="R470" s="98">
        <v>2.0</v>
      </c>
      <c r="S470" s="98">
        <v>1.0</v>
      </c>
      <c r="T470" s="14">
        <f t="shared" si="22"/>
        <v>9</v>
      </c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r="471" ht="15.75" customHeight="1">
      <c r="A471" s="19" t="s">
        <v>651</v>
      </c>
      <c r="B471" s="19" t="s">
        <v>347</v>
      </c>
      <c r="C471" s="16"/>
      <c r="D471" s="17"/>
      <c r="E471" s="18"/>
      <c r="F471" s="14"/>
      <c r="G471" s="14" t="s">
        <v>40</v>
      </c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9">
        <v>1.0</v>
      </c>
      <c r="S471" s="19"/>
      <c r="T471" s="14">
        <f t="shared" si="22"/>
        <v>1</v>
      </c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</row>
    <row r="472" ht="15.75" customHeight="1">
      <c r="A472" s="66" t="s">
        <v>652</v>
      </c>
      <c r="B472" s="17" t="s">
        <v>25</v>
      </c>
      <c r="C472" s="25"/>
      <c r="D472" s="17"/>
      <c r="E472" s="18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17">
        <v>1.0</v>
      </c>
      <c r="R472" s="27"/>
      <c r="S472" s="27"/>
      <c r="T472" s="14">
        <f t="shared" si="22"/>
        <v>1</v>
      </c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r="473" ht="15.75" customHeight="1">
      <c r="A473" s="14" t="s">
        <v>653</v>
      </c>
      <c r="B473" s="19" t="s">
        <v>38</v>
      </c>
      <c r="C473" s="16"/>
      <c r="D473" s="17"/>
      <c r="E473" s="18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>
        <f t="shared" si="22"/>
        <v>0</v>
      </c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</row>
    <row r="474" ht="15.75" customHeight="1">
      <c r="A474" s="27" t="s">
        <v>654</v>
      </c>
      <c r="B474" s="46" t="s">
        <v>421</v>
      </c>
      <c r="C474" s="25"/>
      <c r="D474" s="47"/>
      <c r="E474" s="48"/>
      <c r="F474" s="27"/>
      <c r="G474" s="27"/>
      <c r="H474" s="27"/>
      <c r="I474" s="27"/>
      <c r="J474" s="27"/>
      <c r="K474" s="27"/>
      <c r="L474" s="27"/>
      <c r="M474" s="27"/>
      <c r="N474" s="27">
        <v>3.0</v>
      </c>
      <c r="O474" s="27">
        <v>6.0</v>
      </c>
      <c r="P474" s="27">
        <v>4.0</v>
      </c>
      <c r="Q474" s="46">
        <v>1.0</v>
      </c>
      <c r="R474" s="46">
        <v>1.0</v>
      </c>
      <c r="S474" s="46">
        <v>1.0</v>
      </c>
      <c r="T474" s="34">
        <f t="shared" si="22"/>
        <v>16</v>
      </c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r="475" ht="15.75" customHeight="1">
      <c r="A475" s="19" t="s">
        <v>655</v>
      </c>
      <c r="B475" s="35"/>
      <c r="C475" s="16"/>
      <c r="D475" s="17"/>
      <c r="E475" s="18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35"/>
      <c r="R475" s="35"/>
      <c r="S475" s="35"/>
      <c r="T475" s="35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</row>
    <row r="476" ht="15.75" customHeight="1">
      <c r="A476" s="14" t="s">
        <v>656</v>
      </c>
      <c r="B476" s="14" t="s">
        <v>102</v>
      </c>
      <c r="C476" s="16"/>
      <c r="D476" s="17"/>
      <c r="E476" s="18"/>
      <c r="F476" s="14"/>
      <c r="G476" s="14"/>
      <c r="H476" s="14" t="s">
        <v>657</v>
      </c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>
        <f t="shared" ref="T476:T521" si="23">SUM(I476:S476)</f>
        <v>0</v>
      </c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</row>
    <row r="477" ht="15.75" customHeight="1">
      <c r="A477" s="17" t="s">
        <v>658</v>
      </c>
      <c r="B477" s="17" t="s">
        <v>125</v>
      </c>
      <c r="C477" s="25"/>
      <c r="D477" s="17"/>
      <c r="E477" s="18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19">
        <v>1.0</v>
      </c>
      <c r="S477" s="19">
        <v>2.0</v>
      </c>
      <c r="T477" s="14">
        <f t="shared" si="23"/>
        <v>3</v>
      </c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 ht="15.75" customHeight="1">
      <c r="A478" s="17" t="s">
        <v>659</v>
      </c>
      <c r="B478" s="17" t="s">
        <v>182</v>
      </c>
      <c r="C478" s="25"/>
      <c r="D478" s="17"/>
      <c r="E478" s="18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17">
        <v>1.0</v>
      </c>
      <c r="R478" s="14"/>
      <c r="S478" s="19">
        <v>1.0</v>
      </c>
      <c r="T478" s="14">
        <f t="shared" si="23"/>
        <v>2</v>
      </c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r="479" ht="15.75" customHeight="1">
      <c r="A479" s="14" t="s">
        <v>660</v>
      </c>
      <c r="B479" s="19" t="s">
        <v>65</v>
      </c>
      <c r="C479" s="16"/>
      <c r="D479" s="17"/>
      <c r="E479" s="18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>
        <v>1.0</v>
      </c>
      <c r="Q479" s="14"/>
      <c r="R479" s="14"/>
      <c r="S479" s="14"/>
      <c r="T479" s="14">
        <f t="shared" si="23"/>
        <v>1</v>
      </c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</row>
    <row r="480" ht="15.75" customHeight="1">
      <c r="A480" s="27" t="s">
        <v>661</v>
      </c>
      <c r="B480" s="17" t="s">
        <v>214</v>
      </c>
      <c r="C480" s="25"/>
      <c r="D480" s="17"/>
      <c r="E480" s="18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17">
        <v>1.0</v>
      </c>
      <c r="S480" s="17"/>
      <c r="T480" s="14">
        <f t="shared" si="23"/>
        <v>1</v>
      </c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r="481" ht="15.75" customHeight="1">
      <c r="A481" s="17" t="s">
        <v>662</v>
      </c>
      <c r="B481" s="17" t="s">
        <v>73</v>
      </c>
      <c r="C481" s="30" t="s">
        <v>663</v>
      </c>
      <c r="D481" s="17"/>
      <c r="E481" s="18"/>
      <c r="F481" s="17" t="s">
        <v>74</v>
      </c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17">
        <v>1.0</v>
      </c>
      <c r="S481" s="17">
        <v>1.0</v>
      </c>
      <c r="T481" s="14">
        <f t="shared" si="23"/>
        <v>2</v>
      </c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 ht="15.75" customHeight="1">
      <c r="A482" s="27" t="s">
        <v>664</v>
      </c>
      <c r="B482" s="27" t="s">
        <v>136</v>
      </c>
      <c r="C482" s="25"/>
      <c r="D482" s="17"/>
      <c r="E482" s="18"/>
      <c r="F482" s="27"/>
      <c r="G482" s="27"/>
      <c r="H482" s="27"/>
      <c r="I482" s="27"/>
      <c r="J482" s="27"/>
      <c r="K482" s="27">
        <v>1.0</v>
      </c>
      <c r="L482" s="27">
        <v>1.0</v>
      </c>
      <c r="M482" s="27"/>
      <c r="N482" s="27"/>
      <c r="O482" s="27"/>
      <c r="P482" s="27"/>
      <c r="Q482" s="27"/>
      <c r="R482" s="27"/>
      <c r="S482" s="27"/>
      <c r="T482" s="14">
        <f t="shared" si="23"/>
        <v>2</v>
      </c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r="483" ht="15.75" customHeight="1">
      <c r="A483" s="14" t="s">
        <v>665</v>
      </c>
      <c r="B483" s="19" t="s">
        <v>62</v>
      </c>
      <c r="C483" s="16"/>
      <c r="D483" s="17"/>
      <c r="E483" s="18"/>
      <c r="F483" s="14"/>
      <c r="G483" s="14"/>
      <c r="H483" s="14"/>
      <c r="I483" s="14"/>
      <c r="J483" s="14"/>
      <c r="K483" s="14"/>
      <c r="L483" s="14"/>
      <c r="M483" s="14"/>
      <c r="N483" s="14"/>
      <c r="O483" s="14">
        <v>1.0</v>
      </c>
      <c r="P483" s="14"/>
      <c r="Q483" s="14"/>
      <c r="R483" s="14"/>
      <c r="S483" s="14"/>
      <c r="T483" s="14">
        <f t="shared" si="23"/>
        <v>1</v>
      </c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</row>
    <row r="484" ht="15.75" customHeight="1">
      <c r="A484" s="17" t="s">
        <v>666</v>
      </c>
      <c r="B484" s="27" t="s">
        <v>51</v>
      </c>
      <c r="C484" s="25"/>
      <c r="D484" s="17"/>
      <c r="E484" s="18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19">
        <v>1.0</v>
      </c>
      <c r="S484" s="19"/>
      <c r="T484" s="14">
        <f t="shared" si="23"/>
        <v>1</v>
      </c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r="485" ht="15.75" customHeight="1">
      <c r="A485" s="17" t="s">
        <v>667</v>
      </c>
      <c r="B485" s="17" t="s">
        <v>668</v>
      </c>
      <c r="C485" s="25"/>
      <c r="D485" s="17"/>
      <c r="E485" s="48"/>
      <c r="F485" s="27"/>
      <c r="G485" s="27"/>
      <c r="H485" s="27"/>
      <c r="I485" s="27"/>
      <c r="J485" s="27">
        <v>3.0</v>
      </c>
      <c r="K485" s="27"/>
      <c r="L485" s="27">
        <v>2.0</v>
      </c>
      <c r="M485" s="27">
        <v>1.0</v>
      </c>
      <c r="N485" s="27">
        <v>1.0</v>
      </c>
      <c r="O485" s="27">
        <v>1.0</v>
      </c>
      <c r="P485" s="27"/>
      <c r="Q485" s="27"/>
      <c r="R485" s="17">
        <v>1.0</v>
      </c>
      <c r="S485" s="17"/>
      <c r="T485" s="14">
        <f t="shared" si="23"/>
        <v>9</v>
      </c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 ht="15.75" customHeight="1">
      <c r="A486" s="14" t="s">
        <v>669</v>
      </c>
      <c r="B486" s="19" t="s">
        <v>62</v>
      </c>
      <c r="C486" s="16"/>
      <c r="D486" s="17"/>
      <c r="E486" s="18"/>
      <c r="F486" s="14"/>
      <c r="G486" s="20"/>
      <c r="H486" s="14"/>
      <c r="I486" s="14"/>
      <c r="J486" s="14">
        <v>2.0</v>
      </c>
      <c r="K486" s="14"/>
      <c r="L486" s="14"/>
      <c r="M486" s="14"/>
      <c r="N486" s="14"/>
      <c r="O486" s="14"/>
      <c r="P486" s="14"/>
      <c r="Q486" s="14"/>
      <c r="R486" s="19"/>
      <c r="S486" s="19"/>
      <c r="T486" s="14">
        <f t="shared" si="23"/>
        <v>2</v>
      </c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</row>
    <row r="487" ht="15.75" customHeight="1">
      <c r="A487" s="17" t="s">
        <v>670</v>
      </c>
      <c r="B487" s="37" t="s">
        <v>87</v>
      </c>
      <c r="C487" s="25"/>
      <c r="D487" s="17"/>
      <c r="E487" s="18"/>
      <c r="F487" s="27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17">
        <v>2.0</v>
      </c>
      <c r="S487" s="17">
        <v>1.0</v>
      </c>
      <c r="T487" s="14">
        <f t="shared" si="23"/>
        <v>3</v>
      </c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 ht="15.75" customHeight="1">
      <c r="A488" s="17" t="s">
        <v>671</v>
      </c>
      <c r="B488" s="37" t="s">
        <v>42</v>
      </c>
      <c r="C488" s="30" t="s">
        <v>400</v>
      </c>
      <c r="D488" s="17"/>
      <c r="E488" s="18"/>
      <c r="F488" s="17"/>
      <c r="G488" s="68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17"/>
      <c r="S488" s="17">
        <v>2.0</v>
      </c>
      <c r="T488" s="14">
        <f t="shared" si="23"/>
        <v>2</v>
      </c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r="489" ht="15.75" customHeight="1">
      <c r="A489" s="17" t="s">
        <v>672</v>
      </c>
      <c r="B489" s="37" t="s">
        <v>73</v>
      </c>
      <c r="C489" s="30" t="s">
        <v>32</v>
      </c>
      <c r="D489" s="17"/>
      <c r="E489" s="18"/>
      <c r="F489" s="17" t="s">
        <v>74</v>
      </c>
      <c r="G489" s="68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17"/>
      <c r="S489" s="17"/>
      <c r="T489" s="14">
        <f t="shared" si="23"/>
        <v>0</v>
      </c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 ht="15.75" customHeight="1">
      <c r="A490" s="14" t="s">
        <v>673</v>
      </c>
      <c r="B490" s="15" t="s">
        <v>347</v>
      </c>
      <c r="C490" s="16"/>
      <c r="D490" s="17"/>
      <c r="E490" s="18"/>
      <c r="F490" s="14"/>
      <c r="G490" s="20"/>
      <c r="H490" s="14"/>
      <c r="I490" s="14"/>
      <c r="J490" s="14"/>
      <c r="K490" s="14"/>
      <c r="L490" s="14"/>
      <c r="M490" s="14"/>
      <c r="N490" s="14"/>
      <c r="O490" s="14"/>
      <c r="P490" s="14"/>
      <c r="Q490" s="19">
        <v>1.0</v>
      </c>
      <c r="R490" s="19">
        <v>1.0</v>
      </c>
      <c r="S490" s="19">
        <v>1.0</v>
      </c>
      <c r="T490" s="14">
        <f t="shared" si="23"/>
        <v>3</v>
      </c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</row>
    <row r="491" ht="15.75" customHeight="1">
      <c r="A491" s="19" t="s">
        <v>674</v>
      </c>
      <c r="B491" s="15" t="s">
        <v>83</v>
      </c>
      <c r="C491" s="24" t="s">
        <v>675</v>
      </c>
      <c r="D491" s="17"/>
      <c r="E491" s="18"/>
      <c r="F491" s="19"/>
      <c r="G491" s="20"/>
      <c r="H491" s="14"/>
      <c r="I491" s="14"/>
      <c r="J491" s="14"/>
      <c r="K491" s="14"/>
      <c r="L491" s="14"/>
      <c r="M491" s="14"/>
      <c r="N491" s="14"/>
      <c r="O491" s="14"/>
      <c r="P491" s="14"/>
      <c r="Q491" s="19"/>
      <c r="R491" s="19"/>
      <c r="S491" s="19"/>
      <c r="T491" s="14">
        <f t="shared" si="23"/>
        <v>0</v>
      </c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</row>
    <row r="492" ht="15.75" customHeight="1">
      <c r="A492" s="27" t="s">
        <v>676</v>
      </c>
      <c r="B492" s="37" t="s">
        <v>46</v>
      </c>
      <c r="C492" s="25"/>
      <c r="D492" s="17"/>
      <c r="E492" s="18"/>
      <c r="F492" s="27"/>
      <c r="G492" s="26"/>
      <c r="H492" s="27"/>
      <c r="I492" s="27"/>
      <c r="J492" s="27"/>
      <c r="K492" s="27"/>
      <c r="L492" s="27"/>
      <c r="M492" s="27"/>
      <c r="N492" s="27"/>
      <c r="O492" s="27"/>
      <c r="P492" s="27">
        <v>1.0</v>
      </c>
      <c r="Q492" s="27"/>
      <c r="R492" s="27"/>
      <c r="S492" s="27"/>
      <c r="T492" s="14">
        <f t="shared" si="23"/>
        <v>1</v>
      </c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r="493" ht="15.75" customHeight="1">
      <c r="A493" s="14" t="s">
        <v>677</v>
      </c>
      <c r="B493" s="15" t="s">
        <v>678</v>
      </c>
      <c r="C493" s="16"/>
      <c r="D493" s="99"/>
      <c r="E493" s="18"/>
      <c r="F493" s="67"/>
      <c r="G493" s="20"/>
      <c r="H493" s="14"/>
      <c r="I493" s="14"/>
      <c r="J493" s="14"/>
      <c r="K493" s="14">
        <v>1.0</v>
      </c>
      <c r="L493" s="14"/>
      <c r="M493" s="14">
        <v>4.0</v>
      </c>
      <c r="N493" s="14"/>
      <c r="O493" s="14">
        <v>1.0</v>
      </c>
      <c r="P493" s="14"/>
      <c r="Q493" s="14"/>
      <c r="R493" s="19">
        <v>1.0</v>
      </c>
      <c r="S493" s="19"/>
      <c r="T493" s="14">
        <f t="shared" si="23"/>
        <v>7</v>
      </c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</row>
    <row r="494" ht="15.75" customHeight="1">
      <c r="A494" s="49" t="s">
        <v>679</v>
      </c>
      <c r="B494" s="37" t="s">
        <v>85</v>
      </c>
      <c r="C494" s="25"/>
      <c r="D494" s="17"/>
      <c r="E494" s="48"/>
      <c r="F494" s="27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17">
        <v>2.0</v>
      </c>
      <c r="S494" s="17"/>
      <c r="T494" s="14">
        <f t="shared" si="23"/>
        <v>2</v>
      </c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r="495" ht="15.75" customHeight="1">
      <c r="A495" s="14" t="s">
        <v>680</v>
      </c>
      <c r="B495" s="15" t="s">
        <v>62</v>
      </c>
      <c r="C495" s="16"/>
      <c r="D495" s="17"/>
      <c r="E495" s="18"/>
      <c r="F495" s="14"/>
      <c r="G495" s="20"/>
      <c r="H495" s="14"/>
      <c r="I495" s="14"/>
      <c r="J495" s="14">
        <v>1.0</v>
      </c>
      <c r="K495" s="14">
        <v>1.0</v>
      </c>
      <c r="L495" s="14"/>
      <c r="M495" s="14"/>
      <c r="N495" s="14"/>
      <c r="O495" s="14">
        <v>1.0</v>
      </c>
      <c r="P495" s="14">
        <v>2.0</v>
      </c>
      <c r="Q495" s="14"/>
      <c r="R495" s="14"/>
      <c r="S495" s="14"/>
      <c r="T495" s="14">
        <f t="shared" si="23"/>
        <v>5</v>
      </c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</row>
    <row r="496" ht="15.75" customHeight="1">
      <c r="A496" s="27" t="s">
        <v>681</v>
      </c>
      <c r="B496" s="49" t="s">
        <v>136</v>
      </c>
      <c r="C496" s="25"/>
      <c r="D496" s="17"/>
      <c r="E496" s="18"/>
      <c r="F496" s="27"/>
      <c r="G496" s="27"/>
      <c r="H496" s="27"/>
      <c r="I496" s="27"/>
      <c r="J496" s="27"/>
      <c r="K496" s="27"/>
      <c r="L496" s="27"/>
      <c r="M496" s="27"/>
      <c r="N496" s="27">
        <v>1.0</v>
      </c>
      <c r="O496" s="27"/>
      <c r="P496" s="27"/>
      <c r="Q496" s="27"/>
      <c r="R496" s="27"/>
      <c r="S496" s="17">
        <v>1.0</v>
      </c>
      <c r="T496" s="14">
        <f t="shared" si="23"/>
        <v>2</v>
      </c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r="497" ht="15.75" customHeight="1">
      <c r="A497" s="14" t="s">
        <v>682</v>
      </c>
      <c r="B497" s="45" t="s">
        <v>295</v>
      </c>
      <c r="C497" s="16"/>
      <c r="D497" s="17"/>
      <c r="E497" s="18"/>
      <c r="F497" s="14"/>
      <c r="G497" s="14"/>
      <c r="H497" s="14"/>
      <c r="I497" s="14"/>
      <c r="J497" s="14"/>
      <c r="K497" s="14"/>
      <c r="L497" s="14">
        <v>1.0</v>
      </c>
      <c r="M497" s="14"/>
      <c r="N497" s="14"/>
      <c r="O497" s="14">
        <v>1.0</v>
      </c>
      <c r="P497" s="14"/>
      <c r="Q497" s="14"/>
      <c r="R497" s="14"/>
      <c r="S497" s="14"/>
      <c r="T497" s="14">
        <f t="shared" si="23"/>
        <v>2</v>
      </c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</row>
    <row r="498" ht="15.75" customHeight="1">
      <c r="A498" s="17" t="s">
        <v>683</v>
      </c>
      <c r="B498" s="17" t="s">
        <v>136</v>
      </c>
      <c r="C498" s="25"/>
      <c r="D498" s="47"/>
      <c r="E498" s="48"/>
      <c r="F498" s="27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17">
        <v>2.0</v>
      </c>
      <c r="R498" s="14"/>
      <c r="S498" s="14"/>
      <c r="T498" s="14">
        <f t="shared" si="23"/>
        <v>2</v>
      </c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r="499" ht="15.75" customHeight="1">
      <c r="A499" s="27" t="s">
        <v>684</v>
      </c>
      <c r="B499" s="37" t="s">
        <v>62</v>
      </c>
      <c r="C499" s="25"/>
      <c r="D499" s="17"/>
      <c r="E499" s="18"/>
      <c r="F499" s="27"/>
      <c r="G499" s="26"/>
      <c r="H499" s="27"/>
      <c r="I499" s="27">
        <v>1.0</v>
      </c>
      <c r="J499" s="27">
        <v>3.0</v>
      </c>
      <c r="K499" s="27"/>
      <c r="L499" s="27"/>
      <c r="M499" s="27"/>
      <c r="N499" s="27"/>
      <c r="O499" s="27"/>
      <c r="P499" s="27"/>
      <c r="Q499" s="27"/>
      <c r="R499" s="27"/>
      <c r="S499" s="27"/>
      <c r="T499" s="14">
        <f t="shared" si="23"/>
        <v>4</v>
      </c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 ht="15.75" customHeight="1">
      <c r="A500" s="14" t="s">
        <v>685</v>
      </c>
      <c r="B500" s="15" t="s">
        <v>62</v>
      </c>
      <c r="C500" s="16"/>
      <c r="D500" s="17"/>
      <c r="E500" s="18"/>
      <c r="F500" s="14"/>
      <c r="G500" s="20"/>
      <c r="H500" s="14"/>
      <c r="I500" s="14">
        <v>1.0</v>
      </c>
      <c r="J500" s="14">
        <v>2.0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>
        <f t="shared" si="23"/>
        <v>3</v>
      </c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</row>
    <row r="501" ht="15.75" customHeight="1">
      <c r="A501" s="27" t="s">
        <v>686</v>
      </c>
      <c r="B501" s="37" t="s">
        <v>145</v>
      </c>
      <c r="C501" s="25"/>
      <c r="D501" s="17"/>
      <c r="E501" s="18"/>
      <c r="F501" s="51"/>
      <c r="G501" s="26"/>
      <c r="H501" s="27"/>
      <c r="I501" s="27">
        <v>1.0</v>
      </c>
      <c r="J501" s="27">
        <v>1.0</v>
      </c>
      <c r="K501" s="27">
        <v>3.0</v>
      </c>
      <c r="L501" s="27"/>
      <c r="M501" s="27"/>
      <c r="N501" s="27"/>
      <c r="O501" s="27">
        <v>1.0</v>
      </c>
      <c r="P501" s="27"/>
      <c r="Q501" s="27"/>
      <c r="R501" s="27"/>
      <c r="S501" s="27"/>
      <c r="T501" s="14">
        <f t="shared" si="23"/>
        <v>6</v>
      </c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 ht="15.75" customHeight="1">
      <c r="A502" s="14" t="s">
        <v>687</v>
      </c>
      <c r="B502" s="15" t="s">
        <v>70</v>
      </c>
      <c r="C502" s="16"/>
      <c r="D502" s="17"/>
      <c r="E502" s="18"/>
      <c r="F502" s="14"/>
      <c r="G502" s="14"/>
      <c r="H502" s="14"/>
      <c r="I502" s="14"/>
      <c r="J502" s="14"/>
      <c r="K502" s="14"/>
      <c r="L502" s="14">
        <v>1.0</v>
      </c>
      <c r="M502" s="14">
        <v>2.0</v>
      </c>
      <c r="N502" s="14">
        <v>3.0</v>
      </c>
      <c r="O502" s="14"/>
      <c r="P502" s="14"/>
      <c r="Q502" s="14"/>
      <c r="R502" s="14"/>
      <c r="S502" s="14"/>
      <c r="T502" s="14">
        <f t="shared" si="23"/>
        <v>6</v>
      </c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</row>
    <row r="503" ht="15.75" customHeight="1">
      <c r="A503" s="23" t="s">
        <v>688</v>
      </c>
      <c r="B503" s="37" t="s">
        <v>22</v>
      </c>
      <c r="C503" s="25"/>
      <c r="D503" s="17"/>
      <c r="E503" s="18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14">
        <f t="shared" si="23"/>
        <v>0</v>
      </c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 ht="15.75" customHeight="1">
      <c r="A504" s="23" t="s">
        <v>689</v>
      </c>
      <c r="B504" s="15" t="s">
        <v>22</v>
      </c>
      <c r="C504" s="16"/>
      <c r="D504" s="17"/>
      <c r="E504" s="18"/>
      <c r="F504" s="14"/>
      <c r="G504" s="14" t="s">
        <v>40</v>
      </c>
      <c r="H504" s="14"/>
      <c r="I504" s="14"/>
      <c r="J504" s="14"/>
      <c r="K504" s="14"/>
      <c r="L504" s="14"/>
      <c r="M504" s="14">
        <v>1.0</v>
      </c>
      <c r="N504" s="14">
        <v>1.0</v>
      </c>
      <c r="O504" s="14"/>
      <c r="P504" s="14"/>
      <c r="Q504" s="14"/>
      <c r="R504" s="14"/>
      <c r="S504" s="14"/>
      <c r="T504" s="14">
        <f t="shared" si="23"/>
        <v>2</v>
      </c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</row>
    <row r="505" ht="15.75" customHeight="1">
      <c r="A505" s="27" t="s">
        <v>690</v>
      </c>
      <c r="B505" s="37" t="s">
        <v>347</v>
      </c>
      <c r="C505" s="25"/>
      <c r="D505" s="17" t="s">
        <v>691</v>
      </c>
      <c r="E505" s="18">
        <v>45948.0</v>
      </c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14"/>
      <c r="S505" s="19">
        <v>1.0</v>
      </c>
      <c r="T505" s="14">
        <f t="shared" si="23"/>
        <v>1</v>
      </c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 ht="15.75" customHeight="1">
      <c r="A506" s="28" t="s">
        <v>692</v>
      </c>
      <c r="B506" s="37" t="s">
        <v>25</v>
      </c>
      <c r="C506" s="25"/>
      <c r="D506" s="17"/>
      <c r="E506" s="18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14">
        <f t="shared" si="23"/>
        <v>0</v>
      </c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r="507" ht="15.75" customHeight="1">
      <c r="A507" s="14" t="s">
        <v>693</v>
      </c>
      <c r="B507" s="15" t="s">
        <v>60</v>
      </c>
      <c r="C507" s="16"/>
      <c r="D507" s="50"/>
      <c r="E507" s="48"/>
      <c r="F507" s="14"/>
      <c r="G507" s="14"/>
      <c r="H507" s="14"/>
      <c r="I507" s="14"/>
      <c r="J507" s="14"/>
      <c r="K507" s="14"/>
      <c r="L507" s="14">
        <v>6.0</v>
      </c>
      <c r="M507" s="14">
        <v>1.0</v>
      </c>
      <c r="N507" s="14"/>
      <c r="O507" s="14"/>
      <c r="P507" s="14">
        <v>2.0</v>
      </c>
      <c r="Q507" s="19">
        <v>2.0</v>
      </c>
      <c r="R507" s="14"/>
      <c r="S507" s="14"/>
      <c r="T507" s="14">
        <f t="shared" si="23"/>
        <v>11</v>
      </c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</row>
    <row r="508" ht="15.75" customHeight="1">
      <c r="A508" s="27" t="s">
        <v>694</v>
      </c>
      <c r="B508" s="37" t="s">
        <v>173</v>
      </c>
      <c r="C508" s="25"/>
      <c r="D508" s="17"/>
      <c r="E508" s="18"/>
      <c r="F508" s="27"/>
      <c r="G508" s="26"/>
      <c r="H508" s="27"/>
      <c r="I508" s="27"/>
      <c r="J508" s="27"/>
      <c r="K508" s="27"/>
      <c r="L508" s="27">
        <v>2.0</v>
      </c>
      <c r="M508" s="27">
        <v>2.0</v>
      </c>
      <c r="N508" s="27"/>
      <c r="O508" s="27">
        <v>2.0</v>
      </c>
      <c r="P508" s="27"/>
      <c r="Q508" s="27"/>
      <c r="R508" s="17">
        <v>1.0</v>
      </c>
      <c r="S508" s="17">
        <v>1.0</v>
      </c>
      <c r="T508" s="14">
        <f t="shared" si="23"/>
        <v>8</v>
      </c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r="509" ht="15.75" customHeight="1">
      <c r="A509" s="19" t="s">
        <v>695</v>
      </c>
      <c r="B509" s="45" t="s">
        <v>256</v>
      </c>
      <c r="C509" s="16"/>
      <c r="D509" s="17"/>
      <c r="E509" s="18"/>
      <c r="F509" s="67"/>
      <c r="G509" s="20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9">
        <v>1.0</v>
      </c>
      <c r="T509" s="14">
        <f t="shared" si="23"/>
        <v>1</v>
      </c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</row>
    <row r="510" ht="15.75" customHeight="1">
      <c r="A510" s="27" t="s">
        <v>696</v>
      </c>
      <c r="B510" s="37" t="s">
        <v>46</v>
      </c>
      <c r="C510" s="25"/>
      <c r="D510" s="17"/>
      <c r="E510" s="18"/>
      <c r="F510" s="27"/>
      <c r="G510" s="26"/>
      <c r="H510" s="27"/>
      <c r="I510" s="27"/>
      <c r="J510" s="27">
        <v>1.0</v>
      </c>
      <c r="K510" s="27"/>
      <c r="L510" s="27">
        <v>1.0</v>
      </c>
      <c r="M510" s="27"/>
      <c r="N510" s="27"/>
      <c r="O510" s="27"/>
      <c r="P510" s="27">
        <v>1.0</v>
      </c>
      <c r="Q510" s="27"/>
      <c r="R510" s="27"/>
      <c r="S510" s="27"/>
      <c r="T510" s="14">
        <f t="shared" si="23"/>
        <v>3</v>
      </c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r="511" ht="15.75" customHeight="1">
      <c r="A511" s="14" t="s">
        <v>697</v>
      </c>
      <c r="B511" s="19" t="s">
        <v>27</v>
      </c>
      <c r="C511" s="16"/>
      <c r="D511" s="17"/>
      <c r="E511" s="18"/>
      <c r="F511" s="14"/>
      <c r="G511" s="20"/>
      <c r="H511" s="14"/>
      <c r="I511" s="14"/>
      <c r="J511" s="14"/>
      <c r="K511" s="14"/>
      <c r="L511" s="14"/>
      <c r="M511" s="14"/>
      <c r="N511" s="14">
        <v>3.0</v>
      </c>
      <c r="O511" s="14">
        <v>1.0</v>
      </c>
      <c r="P511" s="14">
        <v>3.0</v>
      </c>
      <c r="Q511" s="19">
        <v>2.0</v>
      </c>
      <c r="R511" s="14"/>
      <c r="S511" s="19">
        <v>1.0</v>
      </c>
      <c r="T511" s="14">
        <f t="shared" si="23"/>
        <v>10</v>
      </c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</row>
    <row r="512" ht="15.75" customHeight="1">
      <c r="A512" s="28" t="s">
        <v>698</v>
      </c>
      <c r="B512" s="49" t="s">
        <v>107</v>
      </c>
      <c r="C512" s="25"/>
      <c r="D512" s="17"/>
      <c r="E512" s="18"/>
      <c r="F512" s="27"/>
      <c r="G512" s="26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14">
        <f t="shared" si="23"/>
        <v>0</v>
      </c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r="513" ht="15.75" customHeight="1">
      <c r="A513" s="14" t="s">
        <v>699</v>
      </c>
      <c r="B513" s="15" t="s">
        <v>51</v>
      </c>
      <c r="C513" s="16"/>
      <c r="D513" s="17"/>
      <c r="E513" s="18"/>
      <c r="F513" s="14"/>
      <c r="G513" s="20"/>
      <c r="H513" s="14"/>
      <c r="I513" s="14"/>
      <c r="J513" s="14"/>
      <c r="K513" s="14"/>
      <c r="L513" s="14"/>
      <c r="M513" s="14">
        <v>4.0</v>
      </c>
      <c r="N513" s="14">
        <v>3.0</v>
      </c>
      <c r="O513" s="14"/>
      <c r="P513" s="14">
        <v>2.0</v>
      </c>
      <c r="Q513" s="14"/>
      <c r="R513" s="14"/>
      <c r="S513" s="14"/>
      <c r="T513" s="14">
        <f t="shared" si="23"/>
        <v>9</v>
      </c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</row>
    <row r="514" ht="15.75" customHeight="1">
      <c r="A514" s="100" t="s">
        <v>700</v>
      </c>
      <c r="B514" s="37" t="s">
        <v>129</v>
      </c>
      <c r="C514" s="25"/>
      <c r="D514" s="17"/>
      <c r="E514" s="18"/>
      <c r="F514" s="27"/>
      <c r="G514" s="26"/>
      <c r="H514" s="27"/>
      <c r="I514" s="27"/>
      <c r="J514" s="27"/>
      <c r="K514" s="27"/>
      <c r="L514" s="27"/>
      <c r="M514" s="27"/>
      <c r="N514" s="27">
        <v>1.0</v>
      </c>
      <c r="O514" s="27">
        <v>1.0</v>
      </c>
      <c r="P514" s="27"/>
      <c r="Q514" s="27"/>
      <c r="R514" s="27"/>
      <c r="S514" s="27"/>
      <c r="T514" s="14">
        <f t="shared" si="23"/>
        <v>2</v>
      </c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r="515" ht="15.75" customHeight="1">
      <c r="A515" s="14" t="s">
        <v>701</v>
      </c>
      <c r="B515" s="45" t="s">
        <v>107</v>
      </c>
      <c r="C515" s="16"/>
      <c r="D515" s="17"/>
      <c r="E515" s="18"/>
      <c r="F515" s="14"/>
      <c r="G515" s="20"/>
      <c r="H515" s="14"/>
      <c r="I515" s="14"/>
      <c r="J515" s="14"/>
      <c r="K515" s="14"/>
      <c r="L515" s="14">
        <v>1.0</v>
      </c>
      <c r="M515" s="14"/>
      <c r="N515" s="14"/>
      <c r="O515" s="14"/>
      <c r="P515" s="14"/>
      <c r="Q515" s="14"/>
      <c r="R515" s="14"/>
      <c r="S515" s="14"/>
      <c r="T515" s="14">
        <f t="shared" si="23"/>
        <v>1</v>
      </c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</row>
    <row r="516" ht="15.75" customHeight="1">
      <c r="A516" s="27" t="s">
        <v>702</v>
      </c>
      <c r="B516" s="17" t="s">
        <v>68</v>
      </c>
      <c r="C516" s="25"/>
      <c r="D516" s="17"/>
      <c r="E516" s="18"/>
      <c r="F516" s="27"/>
      <c r="G516" s="26"/>
      <c r="H516" s="27"/>
      <c r="I516" s="27"/>
      <c r="J516" s="27"/>
      <c r="K516" s="27"/>
      <c r="L516" s="27"/>
      <c r="M516" s="27"/>
      <c r="N516" s="27"/>
      <c r="O516" s="27">
        <v>3.0</v>
      </c>
      <c r="P516" s="27"/>
      <c r="Q516" s="27"/>
      <c r="R516" s="27"/>
      <c r="S516" s="27"/>
      <c r="T516" s="14">
        <f t="shared" si="23"/>
        <v>3</v>
      </c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r="517" ht="15.75" customHeight="1">
      <c r="A517" s="14" t="s">
        <v>703</v>
      </c>
      <c r="B517" s="45" t="s">
        <v>55</v>
      </c>
      <c r="C517" s="16"/>
      <c r="D517" s="17"/>
      <c r="E517" s="18"/>
      <c r="F517" s="14"/>
      <c r="G517" s="20" t="s">
        <v>40</v>
      </c>
      <c r="H517" s="14" t="s">
        <v>66</v>
      </c>
      <c r="I517" s="14"/>
      <c r="J517" s="14">
        <v>1.0</v>
      </c>
      <c r="K517" s="14"/>
      <c r="L517" s="14">
        <v>2.0</v>
      </c>
      <c r="M517" s="14"/>
      <c r="N517" s="14">
        <v>3.0</v>
      </c>
      <c r="O517" s="14">
        <v>3.0</v>
      </c>
      <c r="P517" s="14">
        <v>2.0</v>
      </c>
      <c r="Q517" s="14"/>
      <c r="R517" s="19">
        <v>2.0</v>
      </c>
      <c r="S517" s="19"/>
      <c r="T517" s="14">
        <f t="shared" si="23"/>
        <v>13</v>
      </c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</row>
    <row r="518" ht="15.75" customHeight="1">
      <c r="A518" s="27" t="s">
        <v>704</v>
      </c>
      <c r="B518" s="49" t="s">
        <v>107</v>
      </c>
      <c r="C518" s="25"/>
      <c r="D518" s="17"/>
      <c r="E518" s="18"/>
      <c r="F518" s="27"/>
      <c r="G518" s="26"/>
      <c r="H518" s="27"/>
      <c r="I518" s="27"/>
      <c r="J518" s="27"/>
      <c r="K518" s="27"/>
      <c r="L518" s="27"/>
      <c r="M518" s="27"/>
      <c r="N518" s="27">
        <v>2.0</v>
      </c>
      <c r="O518" s="27">
        <v>2.0</v>
      </c>
      <c r="P518" s="27"/>
      <c r="Q518" s="27"/>
      <c r="R518" s="27"/>
      <c r="S518" s="27"/>
      <c r="T518" s="14">
        <f t="shared" si="23"/>
        <v>4</v>
      </c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r="519" ht="15.75" customHeight="1">
      <c r="A519" s="19" t="s">
        <v>705</v>
      </c>
      <c r="B519" s="15" t="s">
        <v>250</v>
      </c>
      <c r="C519" s="16"/>
      <c r="D519" s="17"/>
      <c r="E519" s="18"/>
      <c r="F519" s="14"/>
      <c r="G519" s="20"/>
      <c r="H519" s="14"/>
      <c r="I519" s="14"/>
      <c r="J519" s="14"/>
      <c r="K519" s="14">
        <v>6.0</v>
      </c>
      <c r="L519" s="14"/>
      <c r="M519" s="14">
        <v>2.0</v>
      </c>
      <c r="N519" s="14">
        <v>5.0</v>
      </c>
      <c r="O519" s="14">
        <v>6.0</v>
      </c>
      <c r="P519" s="14">
        <v>2.0</v>
      </c>
      <c r="Q519" s="14"/>
      <c r="R519" s="19">
        <v>2.0</v>
      </c>
      <c r="S519" s="19">
        <v>1.0</v>
      </c>
      <c r="T519" s="14">
        <f t="shared" si="23"/>
        <v>24</v>
      </c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</row>
    <row r="520" ht="15.75" customHeight="1">
      <c r="A520" s="27" t="s">
        <v>706</v>
      </c>
      <c r="B520" s="37" t="s">
        <v>451</v>
      </c>
      <c r="C520" s="25"/>
      <c r="D520" s="17"/>
      <c r="E520" s="18"/>
      <c r="F520" s="27"/>
      <c r="G520" s="27" t="s">
        <v>40</v>
      </c>
      <c r="H520" s="27"/>
      <c r="I520" s="27"/>
      <c r="J520" s="27"/>
      <c r="K520" s="27">
        <v>2.0</v>
      </c>
      <c r="L520" s="27"/>
      <c r="M520" s="27"/>
      <c r="N520" s="27"/>
      <c r="O520" s="27"/>
      <c r="P520" s="27"/>
      <c r="Q520" s="27"/>
      <c r="R520" s="27"/>
      <c r="S520" s="27"/>
      <c r="T520" s="14">
        <f t="shared" si="23"/>
        <v>2</v>
      </c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r="521" ht="15.75" customHeight="1">
      <c r="A521" s="14" t="s">
        <v>707</v>
      </c>
      <c r="B521" s="40" t="s">
        <v>403</v>
      </c>
      <c r="C521" s="16"/>
      <c r="D521" s="47"/>
      <c r="E521" s="48"/>
      <c r="F521" s="14"/>
      <c r="G521" s="14" t="s">
        <v>40</v>
      </c>
      <c r="H521" s="14"/>
      <c r="I521" s="14"/>
      <c r="J521" s="14"/>
      <c r="K521" s="14"/>
      <c r="L521" s="14"/>
      <c r="M521" s="14">
        <v>1.0</v>
      </c>
      <c r="N521" s="14">
        <v>8.0</v>
      </c>
      <c r="O521" s="14">
        <v>2.0</v>
      </c>
      <c r="P521" s="14"/>
      <c r="Q521" s="40">
        <v>1.0</v>
      </c>
      <c r="R521" s="34"/>
      <c r="S521" s="40">
        <v>1.0</v>
      </c>
      <c r="T521" s="34">
        <f t="shared" si="23"/>
        <v>13</v>
      </c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</row>
    <row r="522" ht="15.75" customHeight="1">
      <c r="A522" s="17" t="s">
        <v>708</v>
      </c>
      <c r="B522" s="41"/>
      <c r="C522" s="25"/>
      <c r="D522" s="17"/>
      <c r="E522" s="18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41"/>
      <c r="R522" s="41"/>
      <c r="S522" s="41"/>
      <c r="T522" s="41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r="523" ht="15.75" customHeight="1">
      <c r="A523" s="17" t="s">
        <v>709</v>
      </c>
      <c r="B523" s="35"/>
      <c r="C523" s="25"/>
      <c r="D523" s="17"/>
      <c r="E523" s="18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35"/>
      <c r="R523" s="35"/>
      <c r="S523" s="35"/>
      <c r="T523" s="35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 ht="15.75" customHeight="1">
      <c r="A524" s="17" t="s">
        <v>710</v>
      </c>
      <c r="B524" s="17" t="s">
        <v>73</v>
      </c>
      <c r="C524" s="30" t="s">
        <v>711</v>
      </c>
      <c r="D524" s="17"/>
      <c r="E524" s="18"/>
      <c r="F524" s="17" t="s">
        <v>74</v>
      </c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17"/>
      <c r="S524" s="17"/>
      <c r="T524" s="14">
        <f t="shared" ref="T524:T564" si="24">SUM(I524:S524)</f>
        <v>0</v>
      </c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r="525" ht="15.75" customHeight="1">
      <c r="A525" s="17" t="s">
        <v>712</v>
      </c>
      <c r="B525" s="17" t="s">
        <v>152</v>
      </c>
      <c r="C525" s="25"/>
      <c r="D525" s="17"/>
      <c r="E525" s="18"/>
      <c r="F525" s="27"/>
      <c r="G525" s="27"/>
      <c r="H525" s="27"/>
      <c r="I525" s="27"/>
      <c r="J525" s="27"/>
      <c r="K525" s="27"/>
      <c r="L525" s="27">
        <v>3.0</v>
      </c>
      <c r="M525" s="27">
        <v>1.0</v>
      </c>
      <c r="N525" s="27">
        <v>1.0</v>
      </c>
      <c r="O525" s="27"/>
      <c r="P525" s="27"/>
      <c r="Q525" s="27"/>
      <c r="R525" s="17">
        <v>1.0</v>
      </c>
      <c r="S525" s="17"/>
      <c r="T525" s="14">
        <f t="shared" si="24"/>
        <v>6</v>
      </c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 ht="15.75" customHeight="1">
      <c r="A526" s="14" t="s">
        <v>713</v>
      </c>
      <c r="B526" s="14" t="s">
        <v>202</v>
      </c>
      <c r="C526" s="16"/>
      <c r="D526" s="17"/>
      <c r="E526" s="18"/>
      <c r="F526" s="14"/>
      <c r="G526" s="14" t="s">
        <v>40</v>
      </c>
      <c r="H526" s="14"/>
      <c r="I526" s="14"/>
      <c r="J526" s="14"/>
      <c r="K526" s="14">
        <v>1.0</v>
      </c>
      <c r="L526" s="14"/>
      <c r="M526" s="14"/>
      <c r="N526" s="14"/>
      <c r="O526" s="14"/>
      <c r="P526" s="14"/>
      <c r="Q526" s="14"/>
      <c r="R526" s="14"/>
      <c r="S526" s="14"/>
      <c r="T526" s="14">
        <f t="shared" si="24"/>
        <v>1</v>
      </c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</row>
    <row r="527" ht="15.75" customHeight="1">
      <c r="A527" s="17" t="s">
        <v>714</v>
      </c>
      <c r="B527" s="37" t="s">
        <v>562</v>
      </c>
      <c r="C527" s="30" t="s">
        <v>222</v>
      </c>
      <c r="D527" s="17"/>
      <c r="E527" s="18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17">
        <v>2.0</v>
      </c>
      <c r="S527" s="17"/>
      <c r="T527" s="14">
        <f t="shared" si="24"/>
        <v>2</v>
      </c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 ht="15.75" customHeight="1">
      <c r="A528" s="27" t="s">
        <v>715</v>
      </c>
      <c r="B528" s="37" t="s">
        <v>716</v>
      </c>
      <c r="C528" s="25"/>
      <c r="D528" s="17"/>
      <c r="E528" s="18"/>
      <c r="F528" s="27"/>
      <c r="G528" s="27" t="s">
        <v>40</v>
      </c>
      <c r="H528" s="27" t="s">
        <v>435</v>
      </c>
      <c r="I528" s="27"/>
      <c r="J528" s="27"/>
      <c r="K528" s="27"/>
      <c r="L528" s="27"/>
      <c r="M528" s="27">
        <v>1.0</v>
      </c>
      <c r="N528" s="27"/>
      <c r="O528" s="27"/>
      <c r="P528" s="27"/>
      <c r="Q528" s="27"/>
      <c r="R528" s="27"/>
      <c r="S528" s="27"/>
      <c r="T528" s="14">
        <f t="shared" si="24"/>
        <v>1</v>
      </c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r="529" ht="15.75" customHeight="1">
      <c r="A529" s="19" t="s">
        <v>717</v>
      </c>
      <c r="B529" s="15" t="s">
        <v>62</v>
      </c>
      <c r="C529" s="16"/>
      <c r="D529" s="17"/>
      <c r="E529" s="18"/>
      <c r="F529" s="14"/>
      <c r="G529" s="14" t="s">
        <v>40</v>
      </c>
      <c r="H529" s="14" t="s">
        <v>435</v>
      </c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>
        <f t="shared" si="24"/>
        <v>0</v>
      </c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</row>
    <row r="530" ht="15.75" customHeight="1">
      <c r="A530" s="17" t="s">
        <v>718</v>
      </c>
      <c r="B530" s="37" t="s">
        <v>62</v>
      </c>
      <c r="C530" s="25"/>
      <c r="D530" s="17"/>
      <c r="E530" s="18"/>
      <c r="F530" s="27"/>
      <c r="G530" s="27" t="s">
        <v>40</v>
      </c>
      <c r="H530" s="27" t="s">
        <v>435</v>
      </c>
      <c r="I530" s="27"/>
      <c r="J530" s="27">
        <v>1.0</v>
      </c>
      <c r="K530" s="27">
        <v>1.0</v>
      </c>
      <c r="L530" s="27"/>
      <c r="M530" s="27"/>
      <c r="N530" s="27"/>
      <c r="O530" s="27"/>
      <c r="P530" s="27"/>
      <c r="Q530" s="27"/>
      <c r="R530" s="27"/>
      <c r="S530" s="27"/>
      <c r="T530" s="14">
        <f t="shared" si="24"/>
        <v>2</v>
      </c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r="531" ht="15.75" customHeight="1">
      <c r="A531" s="14" t="s">
        <v>719</v>
      </c>
      <c r="B531" s="45" t="s">
        <v>107</v>
      </c>
      <c r="C531" s="16"/>
      <c r="D531" s="17"/>
      <c r="E531" s="18"/>
      <c r="F531" s="14"/>
      <c r="G531" s="14" t="s">
        <v>40</v>
      </c>
      <c r="H531" s="14" t="s">
        <v>91</v>
      </c>
      <c r="I531" s="14"/>
      <c r="J531" s="14">
        <v>3.0</v>
      </c>
      <c r="K531" s="14"/>
      <c r="L531" s="14"/>
      <c r="M531" s="14"/>
      <c r="N531" s="14"/>
      <c r="O531" s="14"/>
      <c r="P531" s="14"/>
      <c r="Q531" s="14"/>
      <c r="R531" s="14"/>
      <c r="S531" s="19">
        <v>1.0</v>
      </c>
      <c r="T531" s="14">
        <f t="shared" si="24"/>
        <v>4</v>
      </c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</row>
    <row r="532" ht="15.75" customHeight="1">
      <c r="A532" s="17" t="s">
        <v>720</v>
      </c>
      <c r="B532" s="49" t="s">
        <v>107</v>
      </c>
      <c r="C532" s="25"/>
      <c r="D532" s="17"/>
      <c r="E532" s="18"/>
      <c r="F532" s="27"/>
      <c r="G532" s="27" t="s">
        <v>40</v>
      </c>
      <c r="H532" s="27" t="s">
        <v>91</v>
      </c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14">
        <f t="shared" si="24"/>
        <v>0</v>
      </c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r="533" ht="15.75" customHeight="1">
      <c r="A533" s="14" t="s">
        <v>721</v>
      </c>
      <c r="B533" s="15" t="s">
        <v>34</v>
      </c>
      <c r="C533" s="16"/>
      <c r="D533" s="17"/>
      <c r="E533" s="18"/>
      <c r="F533" s="14"/>
      <c r="G533" s="14"/>
      <c r="H533" s="14"/>
      <c r="I533" s="14">
        <v>2.0</v>
      </c>
      <c r="J533" s="14">
        <v>4.0</v>
      </c>
      <c r="K533" s="14">
        <v>1.0</v>
      </c>
      <c r="L533" s="14">
        <v>3.0</v>
      </c>
      <c r="M533" s="14">
        <v>4.0</v>
      </c>
      <c r="N533" s="14">
        <v>5.0</v>
      </c>
      <c r="O533" s="14"/>
      <c r="P533" s="14">
        <v>1.0</v>
      </c>
      <c r="Q533" s="19">
        <v>2.0</v>
      </c>
      <c r="R533" s="19">
        <v>2.0</v>
      </c>
      <c r="S533" s="19">
        <v>1.0</v>
      </c>
      <c r="T533" s="14">
        <f t="shared" si="24"/>
        <v>25</v>
      </c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</row>
    <row r="534" ht="15.75" customHeight="1">
      <c r="A534" s="27" t="s">
        <v>722</v>
      </c>
      <c r="B534" s="37" t="s">
        <v>182</v>
      </c>
      <c r="C534" s="25"/>
      <c r="D534" s="17"/>
      <c r="E534" s="18"/>
      <c r="F534" s="27"/>
      <c r="G534" s="53"/>
      <c r="H534" s="27"/>
      <c r="I534" s="27"/>
      <c r="J534" s="27"/>
      <c r="K534" s="27"/>
      <c r="L534" s="27"/>
      <c r="M534" s="27"/>
      <c r="N534" s="27">
        <v>2.0</v>
      </c>
      <c r="O534" s="27">
        <v>2.0</v>
      </c>
      <c r="P534" s="27">
        <v>2.0</v>
      </c>
      <c r="Q534" s="27"/>
      <c r="R534" s="17">
        <v>1.0</v>
      </c>
      <c r="S534" s="17"/>
      <c r="T534" s="14">
        <f t="shared" si="24"/>
        <v>7</v>
      </c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r="535" ht="15.75" customHeight="1">
      <c r="A535" s="14" t="s">
        <v>723</v>
      </c>
      <c r="B535" s="15" t="s">
        <v>724</v>
      </c>
      <c r="C535" s="16"/>
      <c r="D535" s="17"/>
      <c r="E535" s="18"/>
      <c r="F535" s="14"/>
      <c r="G535" s="52"/>
      <c r="H535" s="14"/>
      <c r="I535" s="14"/>
      <c r="J535" s="14"/>
      <c r="K535" s="14"/>
      <c r="L535" s="14"/>
      <c r="M535" s="14">
        <v>1.0</v>
      </c>
      <c r="N535" s="14">
        <v>1.0</v>
      </c>
      <c r="O535" s="14"/>
      <c r="P535" s="14"/>
      <c r="Q535" s="14"/>
      <c r="R535" s="14"/>
      <c r="S535" s="14"/>
      <c r="T535" s="14">
        <f t="shared" si="24"/>
        <v>2</v>
      </c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</row>
    <row r="536" ht="15.75" customHeight="1">
      <c r="A536" s="27" t="s">
        <v>725</v>
      </c>
      <c r="B536" s="37" t="s">
        <v>532</v>
      </c>
      <c r="C536" s="25"/>
      <c r="D536" s="50"/>
      <c r="E536" s="48"/>
      <c r="F536" s="27"/>
      <c r="G536" s="27"/>
      <c r="H536" s="27"/>
      <c r="I536" s="27"/>
      <c r="J536" s="27"/>
      <c r="K536" s="27"/>
      <c r="L536" s="27"/>
      <c r="M536" s="27"/>
      <c r="N536" s="27">
        <v>2.0</v>
      </c>
      <c r="O536" s="27">
        <v>1.0</v>
      </c>
      <c r="P536" s="27">
        <v>1.0</v>
      </c>
      <c r="Q536" s="17">
        <v>2.0</v>
      </c>
      <c r="R536" s="27"/>
      <c r="S536" s="27"/>
      <c r="T536" s="14">
        <f t="shared" si="24"/>
        <v>6</v>
      </c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r="537" ht="15.75" customHeight="1">
      <c r="A537" s="19" t="s">
        <v>726</v>
      </c>
      <c r="B537" s="15" t="s">
        <v>25</v>
      </c>
      <c r="C537" s="16"/>
      <c r="D537" s="17"/>
      <c r="E537" s="18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9">
        <v>1.0</v>
      </c>
      <c r="R537" s="14"/>
      <c r="S537" s="14"/>
      <c r="T537" s="14">
        <f t="shared" si="24"/>
        <v>1</v>
      </c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</row>
    <row r="538" ht="15.75" customHeight="1">
      <c r="A538" s="14" t="s">
        <v>727</v>
      </c>
      <c r="B538" s="15" t="s">
        <v>46</v>
      </c>
      <c r="C538" s="16"/>
      <c r="D538" s="17"/>
      <c r="E538" s="18"/>
      <c r="F538" s="14"/>
      <c r="G538" s="14"/>
      <c r="H538" s="14"/>
      <c r="I538" s="14"/>
      <c r="J538" s="14"/>
      <c r="K538" s="14"/>
      <c r="L538" s="14"/>
      <c r="M538" s="14"/>
      <c r="N538" s="14">
        <v>2.0</v>
      </c>
      <c r="O538" s="14"/>
      <c r="P538" s="14"/>
      <c r="Q538" s="14"/>
      <c r="R538" s="19">
        <v>2.0</v>
      </c>
      <c r="S538" s="19"/>
      <c r="T538" s="14">
        <f t="shared" si="24"/>
        <v>4</v>
      </c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</row>
    <row r="539" ht="15.75" customHeight="1">
      <c r="A539" s="23" t="s">
        <v>728</v>
      </c>
      <c r="B539" s="37" t="s">
        <v>22</v>
      </c>
      <c r="C539" s="25"/>
      <c r="D539" s="17"/>
      <c r="E539" s="18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14">
        <f t="shared" si="24"/>
        <v>0</v>
      </c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 ht="15.75" customHeight="1">
      <c r="A540" s="14" t="s">
        <v>729</v>
      </c>
      <c r="B540" s="15" t="s">
        <v>225</v>
      </c>
      <c r="C540" s="16"/>
      <c r="D540" s="17"/>
      <c r="E540" s="18"/>
      <c r="F540" s="14"/>
      <c r="G540" s="14" t="s">
        <v>40</v>
      </c>
      <c r="H540" s="14"/>
      <c r="I540" s="14"/>
      <c r="J540" s="14"/>
      <c r="K540" s="14"/>
      <c r="L540" s="14">
        <v>2.0</v>
      </c>
      <c r="M540" s="14">
        <v>2.0</v>
      </c>
      <c r="N540" s="14">
        <v>1.0</v>
      </c>
      <c r="O540" s="14"/>
      <c r="P540" s="14">
        <v>3.0</v>
      </c>
      <c r="Q540" s="14"/>
      <c r="R540" s="14"/>
      <c r="S540" s="14"/>
      <c r="T540" s="14">
        <f t="shared" si="24"/>
        <v>8</v>
      </c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</row>
    <row r="541" ht="15.75" customHeight="1">
      <c r="A541" s="27" t="s">
        <v>730</v>
      </c>
      <c r="B541" s="17" t="s">
        <v>27</v>
      </c>
      <c r="C541" s="25"/>
      <c r="D541" s="17"/>
      <c r="E541" s="18"/>
      <c r="F541" s="27"/>
      <c r="G541" s="26"/>
      <c r="H541" s="27"/>
      <c r="I541" s="27"/>
      <c r="J541" s="27"/>
      <c r="K541" s="27"/>
      <c r="L541" s="27"/>
      <c r="M541" s="27"/>
      <c r="N541" s="27">
        <v>2.0</v>
      </c>
      <c r="O541" s="27">
        <v>2.0</v>
      </c>
      <c r="P541" s="27">
        <v>1.0</v>
      </c>
      <c r="Q541" s="17">
        <v>2.0</v>
      </c>
      <c r="R541" s="27"/>
      <c r="S541" s="27"/>
      <c r="T541" s="14">
        <f t="shared" si="24"/>
        <v>7</v>
      </c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 ht="15.75" customHeight="1">
      <c r="A542" s="14" t="s">
        <v>731</v>
      </c>
      <c r="B542" s="15" t="s">
        <v>295</v>
      </c>
      <c r="C542" s="16"/>
      <c r="D542" s="17"/>
      <c r="E542" s="18"/>
      <c r="F542" s="14"/>
      <c r="G542" s="20"/>
      <c r="H542" s="14"/>
      <c r="I542" s="14"/>
      <c r="J542" s="14"/>
      <c r="K542" s="14"/>
      <c r="L542" s="14">
        <v>1.0</v>
      </c>
      <c r="M542" s="14"/>
      <c r="N542" s="14"/>
      <c r="O542" s="14"/>
      <c r="P542" s="14"/>
      <c r="Q542" s="14"/>
      <c r="R542" s="14"/>
      <c r="S542" s="14"/>
      <c r="T542" s="14">
        <f t="shared" si="24"/>
        <v>1</v>
      </c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</row>
    <row r="543" ht="15.75" customHeight="1">
      <c r="A543" s="27" t="s">
        <v>732</v>
      </c>
      <c r="B543" s="49" t="s">
        <v>46</v>
      </c>
      <c r="C543" s="25"/>
      <c r="D543" s="17"/>
      <c r="E543" s="18"/>
      <c r="F543" s="27"/>
      <c r="G543" s="26"/>
      <c r="H543" s="27"/>
      <c r="I543" s="27"/>
      <c r="J543" s="27"/>
      <c r="K543" s="27">
        <v>2.0</v>
      </c>
      <c r="L543" s="27">
        <v>1.0</v>
      </c>
      <c r="M543" s="27"/>
      <c r="N543" s="27"/>
      <c r="O543" s="27"/>
      <c r="P543" s="27"/>
      <c r="Q543" s="27"/>
      <c r="R543" s="27"/>
      <c r="S543" s="27"/>
      <c r="T543" s="14">
        <f t="shared" si="24"/>
        <v>3</v>
      </c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 ht="15.75" customHeight="1">
      <c r="A544" s="14" t="s">
        <v>733</v>
      </c>
      <c r="B544" s="15" t="s">
        <v>42</v>
      </c>
      <c r="C544" s="16"/>
      <c r="D544" s="17"/>
      <c r="E544" s="18"/>
      <c r="F544" s="14"/>
      <c r="G544" s="20"/>
      <c r="H544" s="14"/>
      <c r="I544" s="14"/>
      <c r="J544" s="14"/>
      <c r="K544" s="14"/>
      <c r="L544" s="14"/>
      <c r="M544" s="14">
        <v>3.0</v>
      </c>
      <c r="N544" s="14">
        <v>9.0</v>
      </c>
      <c r="O544" s="14">
        <v>3.0</v>
      </c>
      <c r="P544" s="14">
        <v>3.0</v>
      </c>
      <c r="Q544" s="14"/>
      <c r="R544" s="14"/>
      <c r="S544" s="19">
        <v>1.0</v>
      </c>
      <c r="T544" s="14">
        <f t="shared" si="24"/>
        <v>19</v>
      </c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</row>
    <row r="545" ht="15.75" customHeight="1">
      <c r="A545" s="17" t="s">
        <v>734</v>
      </c>
      <c r="B545" s="17" t="s">
        <v>49</v>
      </c>
      <c r="C545" s="25"/>
      <c r="D545" s="17"/>
      <c r="E545" s="18"/>
      <c r="F545" s="27"/>
      <c r="G545" s="27"/>
      <c r="H545" s="27"/>
      <c r="I545" s="27"/>
      <c r="J545" s="27"/>
      <c r="K545" s="27"/>
      <c r="L545" s="27"/>
      <c r="M545" s="27"/>
      <c r="N545" s="27">
        <v>3.0</v>
      </c>
      <c r="O545" s="27">
        <v>4.0</v>
      </c>
      <c r="P545" s="27">
        <v>3.0</v>
      </c>
      <c r="Q545" s="17">
        <v>1.0</v>
      </c>
      <c r="R545" s="17">
        <v>1.0</v>
      </c>
      <c r="S545" s="17"/>
      <c r="T545" s="14">
        <f t="shared" si="24"/>
        <v>12</v>
      </c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 ht="15.75" customHeight="1">
      <c r="A546" s="19" t="s">
        <v>735</v>
      </c>
      <c r="B546" s="15" t="s">
        <v>129</v>
      </c>
      <c r="C546" s="16"/>
      <c r="D546" s="17"/>
      <c r="E546" s="18"/>
      <c r="F546" s="14"/>
      <c r="G546" s="20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9">
        <v>2.0</v>
      </c>
      <c r="T546" s="14">
        <f t="shared" si="24"/>
        <v>2</v>
      </c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</row>
    <row r="547" ht="15.75" customHeight="1">
      <c r="A547" s="19" t="s">
        <v>736</v>
      </c>
      <c r="B547" s="15" t="s">
        <v>38</v>
      </c>
      <c r="C547" s="16"/>
      <c r="D547" s="17"/>
      <c r="E547" s="18"/>
      <c r="F547" s="14"/>
      <c r="G547" s="20"/>
      <c r="H547" s="14"/>
      <c r="I547" s="14"/>
      <c r="J547" s="14"/>
      <c r="K547" s="14">
        <v>1.0</v>
      </c>
      <c r="L547" s="14"/>
      <c r="M547" s="14"/>
      <c r="N547" s="14"/>
      <c r="O547" s="14"/>
      <c r="P547" s="14"/>
      <c r="Q547" s="14"/>
      <c r="R547" s="14"/>
      <c r="S547" s="14"/>
      <c r="T547" s="14">
        <f t="shared" si="24"/>
        <v>1</v>
      </c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</row>
    <row r="548" ht="15.75" customHeight="1">
      <c r="A548" s="17" t="s">
        <v>737</v>
      </c>
      <c r="B548" s="49" t="s">
        <v>38</v>
      </c>
      <c r="C548" s="25"/>
      <c r="D548" s="17"/>
      <c r="E548" s="18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14">
        <f t="shared" si="24"/>
        <v>0</v>
      </c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r="549" ht="15.75" customHeight="1">
      <c r="A549" s="14" t="s">
        <v>738</v>
      </c>
      <c r="B549" s="15" t="s">
        <v>716</v>
      </c>
      <c r="C549" s="16"/>
      <c r="D549" s="17"/>
      <c r="E549" s="18"/>
      <c r="F549" s="14"/>
      <c r="G549" s="23" t="s">
        <v>739</v>
      </c>
      <c r="H549" s="14" t="s">
        <v>435</v>
      </c>
      <c r="I549" s="14"/>
      <c r="J549" s="14">
        <v>1.0</v>
      </c>
      <c r="K549" s="14"/>
      <c r="L549" s="14"/>
      <c r="M549" s="14">
        <v>3.0</v>
      </c>
      <c r="N549" s="14"/>
      <c r="O549" s="14"/>
      <c r="P549" s="14"/>
      <c r="Q549" s="14"/>
      <c r="R549" s="14"/>
      <c r="S549" s="14"/>
      <c r="T549" s="14">
        <f t="shared" si="24"/>
        <v>4</v>
      </c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</row>
    <row r="550" ht="15.75" customHeight="1">
      <c r="A550" s="17" t="s">
        <v>740</v>
      </c>
      <c r="B550" s="37" t="s">
        <v>46</v>
      </c>
      <c r="C550" s="25"/>
      <c r="D550" s="17"/>
      <c r="E550" s="18"/>
      <c r="F550" s="27"/>
      <c r="G550" s="26"/>
      <c r="H550" s="27"/>
      <c r="I550" s="27"/>
      <c r="J550" s="27"/>
      <c r="K550" s="27">
        <v>1.0</v>
      </c>
      <c r="L550" s="27"/>
      <c r="M550" s="27"/>
      <c r="N550" s="27"/>
      <c r="O550" s="27"/>
      <c r="P550" s="27"/>
      <c r="Q550" s="27"/>
      <c r="R550" s="27"/>
      <c r="S550" s="27"/>
      <c r="T550" s="14">
        <f t="shared" si="24"/>
        <v>1</v>
      </c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r="551" ht="15.75" customHeight="1">
      <c r="A551" s="14" t="s">
        <v>741</v>
      </c>
      <c r="B551" s="45" t="s">
        <v>38</v>
      </c>
      <c r="C551" s="16"/>
      <c r="D551" s="17"/>
      <c r="E551" s="18"/>
      <c r="F551" s="14"/>
      <c r="G551" s="20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9">
        <v>1.0</v>
      </c>
      <c r="S551" s="19"/>
      <c r="T551" s="14">
        <f t="shared" si="24"/>
        <v>1</v>
      </c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</row>
    <row r="552" ht="15.75" customHeight="1">
      <c r="A552" s="17" t="s">
        <v>742</v>
      </c>
      <c r="B552" s="37" t="s">
        <v>250</v>
      </c>
      <c r="C552" s="25"/>
      <c r="D552" s="17"/>
      <c r="E552" s="18"/>
      <c r="F552" s="27"/>
      <c r="G552" s="26"/>
      <c r="H552" s="27"/>
      <c r="I552" s="27"/>
      <c r="J552" s="27"/>
      <c r="K552" s="27">
        <v>6.0</v>
      </c>
      <c r="L552" s="27"/>
      <c r="M552" s="27"/>
      <c r="N552" s="27"/>
      <c r="O552" s="27"/>
      <c r="P552" s="27">
        <v>1.0</v>
      </c>
      <c r="Q552" s="27"/>
      <c r="R552" s="27"/>
      <c r="S552" s="27"/>
      <c r="T552" s="14">
        <f t="shared" si="24"/>
        <v>7</v>
      </c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r="553" ht="15.75" customHeight="1">
      <c r="A553" s="14" t="s">
        <v>743</v>
      </c>
      <c r="B553" s="15" t="s">
        <v>668</v>
      </c>
      <c r="C553" s="16"/>
      <c r="D553" s="17"/>
      <c r="E553" s="18"/>
      <c r="F553" s="14"/>
      <c r="G553" s="14"/>
      <c r="H553" s="14"/>
      <c r="I553" s="14"/>
      <c r="J553" s="14"/>
      <c r="K553" s="14"/>
      <c r="L553" s="14">
        <v>2.0</v>
      </c>
      <c r="M553" s="14"/>
      <c r="N553" s="14">
        <v>2.0</v>
      </c>
      <c r="O553" s="14"/>
      <c r="P553" s="14"/>
      <c r="Q553" s="14"/>
      <c r="R553" s="14"/>
      <c r="S553" s="14"/>
      <c r="T553" s="14">
        <f t="shared" si="24"/>
        <v>4</v>
      </c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</row>
    <row r="554" ht="15.75" customHeight="1">
      <c r="A554" s="17" t="s">
        <v>744</v>
      </c>
      <c r="B554" s="37" t="s">
        <v>107</v>
      </c>
      <c r="C554" s="25"/>
      <c r="D554" s="17"/>
      <c r="E554" s="48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17">
        <v>1.0</v>
      </c>
      <c r="R554" s="14"/>
      <c r="S554" s="19">
        <v>2.0</v>
      </c>
      <c r="T554" s="14">
        <f t="shared" si="24"/>
        <v>3</v>
      </c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r="555" ht="15.75" customHeight="1">
      <c r="A555" s="27" t="s">
        <v>745</v>
      </c>
      <c r="B555" s="37" t="s">
        <v>51</v>
      </c>
      <c r="C555" s="25"/>
      <c r="D555" s="17"/>
      <c r="E555" s="18"/>
      <c r="F555" s="27"/>
      <c r="G555" s="27" t="s">
        <v>40</v>
      </c>
      <c r="H555" s="27"/>
      <c r="I555" s="27"/>
      <c r="J555" s="27"/>
      <c r="K555" s="27"/>
      <c r="L555" s="27"/>
      <c r="M555" s="27">
        <v>1.0</v>
      </c>
      <c r="N555" s="27"/>
      <c r="O555" s="27"/>
      <c r="P555" s="27"/>
      <c r="Q555" s="27"/>
      <c r="R555" s="27"/>
      <c r="S555" s="27"/>
      <c r="T555" s="14">
        <f t="shared" si="24"/>
        <v>1</v>
      </c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 ht="15.75" customHeight="1">
      <c r="A556" s="14" t="s">
        <v>746</v>
      </c>
      <c r="B556" s="15" t="s">
        <v>46</v>
      </c>
      <c r="C556" s="16"/>
      <c r="D556" s="17"/>
      <c r="E556" s="18"/>
      <c r="F556" s="14"/>
      <c r="G556" s="20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>
        <f t="shared" si="24"/>
        <v>0</v>
      </c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</row>
    <row r="557" ht="15.75" customHeight="1">
      <c r="A557" s="27" t="s">
        <v>747</v>
      </c>
      <c r="B557" s="27" t="s">
        <v>107</v>
      </c>
      <c r="C557" s="25"/>
      <c r="D557" s="17"/>
      <c r="E557" s="18"/>
      <c r="F557" s="27"/>
      <c r="G557" s="26"/>
      <c r="H557" s="27"/>
      <c r="I557" s="27"/>
      <c r="J557" s="27"/>
      <c r="K557" s="27"/>
      <c r="L557" s="27"/>
      <c r="M557" s="27"/>
      <c r="N557" s="27">
        <v>1.0</v>
      </c>
      <c r="O557" s="27">
        <v>2.0</v>
      </c>
      <c r="P557" s="27"/>
      <c r="Q557" s="27"/>
      <c r="R557" s="27"/>
      <c r="S557" s="27"/>
      <c r="T557" s="14">
        <f t="shared" si="24"/>
        <v>3</v>
      </c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 ht="15.75" customHeight="1">
      <c r="A558" s="14" t="s">
        <v>748</v>
      </c>
      <c r="B558" s="15" t="s">
        <v>60</v>
      </c>
      <c r="C558" s="16"/>
      <c r="D558" s="17"/>
      <c r="E558" s="18"/>
      <c r="F558" s="14"/>
      <c r="G558" s="20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>
        <f t="shared" si="24"/>
        <v>0</v>
      </c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</row>
    <row r="559" ht="15.75" customHeight="1">
      <c r="A559" s="17" t="s">
        <v>749</v>
      </c>
      <c r="B559" s="37" t="s">
        <v>38</v>
      </c>
      <c r="C559" s="25"/>
      <c r="D559" s="17"/>
      <c r="E559" s="18"/>
      <c r="F559" s="27"/>
      <c r="G559" s="26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19">
        <v>4.0</v>
      </c>
      <c r="S559" s="19"/>
      <c r="T559" s="14">
        <f t="shared" si="24"/>
        <v>4</v>
      </c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 ht="15.75" customHeight="1">
      <c r="A560" s="27" t="s">
        <v>750</v>
      </c>
      <c r="B560" s="37" t="s">
        <v>107</v>
      </c>
      <c r="C560" s="25"/>
      <c r="D560" s="17"/>
      <c r="E560" s="18"/>
      <c r="F560" s="27"/>
      <c r="G560" s="26"/>
      <c r="H560" s="27"/>
      <c r="I560" s="27"/>
      <c r="J560" s="27"/>
      <c r="K560" s="27"/>
      <c r="L560" s="27">
        <v>4.0</v>
      </c>
      <c r="M560" s="27"/>
      <c r="N560" s="27"/>
      <c r="O560" s="27"/>
      <c r="P560" s="27"/>
      <c r="Q560" s="17">
        <v>1.0</v>
      </c>
      <c r="R560" s="27"/>
      <c r="S560" s="17">
        <v>1.0</v>
      </c>
      <c r="T560" s="14">
        <f t="shared" si="24"/>
        <v>6</v>
      </c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r="561" ht="15.75" customHeight="1">
      <c r="A561" s="17" t="s">
        <v>751</v>
      </c>
      <c r="B561" s="37" t="s">
        <v>572</v>
      </c>
      <c r="C561" s="30" t="s">
        <v>343</v>
      </c>
      <c r="D561" s="17"/>
      <c r="E561" s="18"/>
      <c r="F561" s="17"/>
      <c r="G561" s="26"/>
      <c r="H561" s="27"/>
      <c r="I561" s="27"/>
      <c r="J561" s="27"/>
      <c r="K561" s="27"/>
      <c r="L561" s="27"/>
      <c r="M561" s="27"/>
      <c r="N561" s="27"/>
      <c r="O561" s="27"/>
      <c r="P561" s="27"/>
      <c r="Q561" s="17"/>
      <c r="R561" s="17">
        <v>1.0</v>
      </c>
      <c r="S561" s="17">
        <v>2.0</v>
      </c>
      <c r="T561" s="14">
        <f t="shared" si="24"/>
        <v>3</v>
      </c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 ht="15.75" customHeight="1">
      <c r="A562" s="14" t="s">
        <v>752</v>
      </c>
      <c r="B562" s="15" t="s">
        <v>107</v>
      </c>
      <c r="C562" s="16"/>
      <c r="D562" s="17"/>
      <c r="E562" s="18"/>
      <c r="F562" s="14"/>
      <c r="G562" s="20"/>
      <c r="H562" s="14"/>
      <c r="I562" s="14"/>
      <c r="J562" s="14"/>
      <c r="K562" s="14"/>
      <c r="L562" s="14">
        <v>2.0</v>
      </c>
      <c r="M562" s="14"/>
      <c r="N562" s="14"/>
      <c r="O562" s="14">
        <v>1.0</v>
      </c>
      <c r="P562" s="14"/>
      <c r="Q562" s="14"/>
      <c r="R562" s="14"/>
      <c r="S562" s="14"/>
      <c r="T562" s="14">
        <f t="shared" si="24"/>
        <v>3</v>
      </c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</row>
    <row r="563" ht="15.75" customHeight="1">
      <c r="A563" s="17" t="s">
        <v>753</v>
      </c>
      <c r="B563" s="17" t="s">
        <v>214</v>
      </c>
      <c r="C563" s="25"/>
      <c r="D563" s="17"/>
      <c r="E563" s="18"/>
      <c r="F563" s="27"/>
      <c r="G563" s="26"/>
      <c r="H563" s="27"/>
      <c r="I563" s="27"/>
      <c r="J563" s="27"/>
      <c r="K563" s="27"/>
      <c r="L563" s="27"/>
      <c r="M563" s="27"/>
      <c r="N563" s="27">
        <v>4.0</v>
      </c>
      <c r="O563" s="27">
        <v>2.0</v>
      </c>
      <c r="P563" s="27">
        <v>3.0</v>
      </c>
      <c r="Q563" s="17">
        <v>1.0</v>
      </c>
      <c r="R563" s="17">
        <v>1.0</v>
      </c>
      <c r="S563" s="17"/>
      <c r="T563" s="14">
        <f t="shared" si="24"/>
        <v>11</v>
      </c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 ht="15.75" customHeight="1">
      <c r="A564" s="14" t="s">
        <v>754</v>
      </c>
      <c r="B564" s="38" t="s">
        <v>238</v>
      </c>
      <c r="C564" s="16"/>
      <c r="D564" s="17"/>
      <c r="E564" s="18"/>
      <c r="F564" s="14"/>
      <c r="G564" s="20"/>
      <c r="H564" s="14"/>
      <c r="I564" s="14"/>
      <c r="J564" s="14">
        <v>5.0</v>
      </c>
      <c r="K564" s="14">
        <v>5.0</v>
      </c>
      <c r="L564" s="14">
        <v>4.0</v>
      </c>
      <c r="M564" s="34">
        <v>1.0</v>
      </c>
      <c r="N564" s="34">
        <v>1.0</v>
      </c>
      <c r="O564" s="34">
        <v>1.0</v>
      </c>
      <c r="P564" s="34">
        <v>2.0</v>
      </c>
      <c r="Q564" s="34"/>
      <c r="R564" s="40">
        <v>1.0</v>
      </c>
      <c r="S564" s="40"/>
      <c r="T564" s="34">
        <f t="shared" si="24"/>
        <v>20</v>
      </c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</row>
    <row r="565" ht="15.75" customHeight="1">
      <c r="A565" s="17" t="s">
        <v>755</v>
      </c>
      <c r="B565" s="35"/>
      <c r="C565" s="25"/>
      <c r="D565" s="17"/>
      <c r="E565" s="18"/>
      <c r="F565" s="27"/>
      <c r="G565" s="26"/>
      <c r="H565" s="27"/>
      <c r="I565" s="27"/>
      <c r="J565" s="27"/>
      <c r="K565" s="27"/>
      <c r="L565" s="27"/>
      <c r="M565" s="35"/>
      <c r="N565" s="35"/>
      <c r="O565" s="35"/>
      <c r="P565" s="35"/>
      <c r="Q565" s="41"/>
      <c r="R565" s="41"/>
      <c r="S565" s="41"/>
      <c r="T565" s="35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 ht="15.75" customHeight="1">
      <c r="A566" s="14" t="s">
        <v>756</v>
      </c>
      <c r="B566" s="15" t="s">
        <v>119</v>
      </c>
      <c r="C566" s="16"/>
      <c r="D566" s="17"/>
      <c r="E566" s="48"/>
      <c r="F566" s="14"/>
      <c r="G566" s="20"/>
      <c r="H566" s="14"/>
      <c r="I566" s="14"/>
      <c r="J566" s="14"/>
      <c r="K566" s="14"/>
      <c r="L566" s="14"/>
      <c r="M566" s="14"/>
      <c r="N566" s="14"/>
      <c r="O566" s="14"/>
      <c r="P566" s="14"/>
      <c r="Q566" s="19">
        <v>1.0</v>
      </c>
      <c r="R566" s="14"/>
      <c r="S566" s="14"/>
      <c r="T566" s="14">
        <f t="shared" ref="T566:T572" si="25">SUM(I566:S566)</f>
        <v>1</v>
      </c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</row>
    <row r="567" ht="15.75" customHeight="1">
      <c r="A567" s="19" t="s">
        <v>757</v>
      </c>
      <c r="B567" s="15" t="s">
        <v>73</v>
      </c>
      <c r="C567" s="24" t="s">
        <v>150</v>
      </c>
      <c r="D567" s="17"/>
      <c r="E567" s="48"/>
      <c r="F567" s="19" t="s">
        <v>74</v>
      </c>
      <c r="G567" s="20"/>
      <c r="H567" s="14"/>
      <c r="I567" s="14"/>
      <c r="J567" s="14"/>
      <c r="K567" s="14"/>
      <c r="L567" s="14"/>
      <c r="M567" s="14"/>
      <c r="N567" s="14"/>
      <c r="O567" s="14"/>
      <c r="P567" s="14"/>
      <c r="Q567" s="19"/>
      <c r="R567" s="14"/>
      <c r="S567" s="19">
        <v>3.0</v>
      </c>
      <c r="T567" s="14">
        <f t="shared" si="25"/>
        <v>3</v>
      </c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</row>
    <row r="568" ht="15.75" customHeight="1">
      <c r="A568" s="27" t="s">
        <v>758</v>
      </c>
      <c r="B568" s="49" t="s">
        <v>46</v>
      </c>
      <c r="C568" s="25"/>
      <c r="D568" s="17"/>
      <c r="E568" s="18"/>
      <c r="F568" s="27"/>
      <c r="G568" s="26"/>
      <c r="H568" s="27"/>
      <c r="I568" s="27"/>
      <c r="J568" s="27"/>
      <c r="K568" s="27"/>
      <c r="L568" s="27"/>
      <c r="M568" s="27"/>
      <c r="N568" s="27">
        <v>1.0</v>
      </c>
      <c r="O568" s="27"/>
      <c r="P568" s="27"/>
      <c r="Q568" s="27"/>
      <c r="R568" s="27"/>
      <c r="S568" s="27"/>
      <c r="T568" s="14">
        <f t="shared" si="25"/>
        <v>1</v>
      </c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r="569" ht="15.75" customHeight="1">
      <c r="A569" s="17" t="s">
        <v>759</v>
      </c>
      <c r="B569" s="37" t="s">
        <v>38</v>
      </c>
      <c r="C569" s="25"/>
      <c r="D569" s="17"/>
      <c r="E569" s="18"/>
      <c r="F569" s="27"/>
      <c r="G569" s="26"/>
      <c r="H569" s="27"/>
      <c r="I569" s="27"/>
      <c r="J569" s="27"/>
      <c r="K569" s="27"/>
      <c r="L569" s="27"/>
      <c r="M569" s="27"/>
      <c r="N569" s="27"/>
      <c r="O569" s="27"/>
      <c r="P569" s="27"/>
      <c r="Q569" s="46"/>
      <c r="R569" s="40">
        <v>1.0</v>
      </c>
      <c r="S569" s="40"/>
      <c r="T569" s="14">
        <f t="shared" si="25"/>
        <v>1</v>
      </c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 ht="15.75" customHeight="1">
      <c r="A570" s="17" t="s">
        <v>760</v>
      </c>
      <c r="B570" s="37" t="s">
        <v>225</v>
      </c>
      <c r="C570" s="25"/>
      <c r="D570" s="17"/>
      <c r="E570" s="18"/>
      <c r="F570" s="27"/>
      <c r="G570" s="26"/>
      <c r="H570" s="27"/>
      <c r="I570" s="27"/>
      <c r="J570" s="27"/>
      <c r="K570" s="27"/>
      <c r="L570" s="27"/>
      <c r="M570" s="27"/>
      <c r="N570" s="27">
        <v>2.0</v>
      </c>
      <c r="O570" s="27"/>
      <c r="P570" s="27"/>
      <c r="Q570" s="27"/>
      <c r="R570" s="27"/>
      <c r="S570" s="27"/>
      <c r="T570" s="14">
        <f t="shared" si="25"/>
        <v>2</v>
      </c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r="571" ht="15.75" customHeight="1">
      <c r="A571" s="14" t="s">
        <v>761</v>
      </c>
      <c r="B571" s="15" t="s">
        <v>62</v>
      </c>
      <c r="C571" s="16"/>
      <c r="D571" s="17"/>
      <c r="E571" s="18"/>
      <c r="F571" s="14"/>
      <c r="G571" s="20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>
        <f t="shared" si="25"/>
        <v>0</v>
      </c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</row>
    <row r="572" ht="15.75" customHeight="1">
      <c r="A572" s="17" t="s">
        <v>762</v>
      </c>
      <c r="B572" s="32" t="s">
        <v>763</v>
      </c>
      <c r="C572" s="25"/>
      <c r="D572" s="17"/>
      <c r="E572" s="18"/>
      <c r="F572" s="27"/>
      <c r="G572" s="26"/>
      <c r="H572" s="27"/>
      <c r="I572" s="27"/>
      <c r="J572" s="27"/>
      <c r="K572" s="27"/>
      <c r="L572" s="27"/>
      <c r="M572" s="27"/>
      <c r="N572" s="27">
        <v>1.0</v>
      </c>
      <c r="O572" s="33"/>
      <c r="P572" s="33"/>
      <c r="Q572" s="33"/>
      <c r="R572" s="33"/>
      <c r="S572" s="33"/>
      <c r="T572" s="34">
        <f t="shared" si="25"/>
        <v>1</v>
      </c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r="573" ht="15.75" customHeight="1">
      <c r="A573" s="19" t="s">
        <v>764</v>
      </c>
      <c r="B573" s="41"/>
      <c r="C573" s="16"/>
      <c r="D573" s="17"/>
      <c r="E573" s="18"/>
      <c r="F573" s="14"/>
      <c r="G573" s="20"/>
      <c r="H573" s="14"/>
      <c r="I573" s="14"/>
      <c r="J573" s="14"/>
      <c r="K573" s="14"/>
      <c r="L573" s="14"/>
      <c r="M573" s="14"/>
      <c r="N573" s="14"/>
      <c r="O573" s="41"/>
      <c r="P573" s="41"/>
      <c r="Q573" s="41"/>
      <c r="R573" s="41"/>
      <c r="S573" s="41"/>
      <c r="T573" s="41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</row>
    <row r="574" ht="15.75" customHeight="1">
      <c r="A574" s="17" t="s">
        <v>765</v>
      </c>
      <c r="B574" s="35"/>
      <c r="C574" s="25"/>
      <c r="D574" s="17"/>
      <c r="E574" s="18"/>
      <c r="F574" s="27"/>
      <c r="G574" s="26"/>
      <c r="H574" s="27"/>
      <c r="I574" s="27"/>
      <c r="J574" s="27"/>
      <c r="K574" s="27"/>
      <c r="L574" s="27"/>
      <c r="M574" s="27"/>
      <c r="N574" s="27"/>
      <c r="O574" s="35"/>
      <c r="P574" s="35"/>
      <c r="Q574" s="41"/>
      <c r="R574" s="41"/>
      <c r="S574" s="41"/>
      <c r="T574" s="35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r="575" ht="15.75" customHeight="1">
      <c r="A575" s="19" t="s">
        <v>766</v>
      </c>
      <c r="B575" s="15" t="s">
        <v>456</v>
      </c>
      <c r="C575" s="24" t="s">
        <v>400</v>
      </c>
      <c r="D575" s="17"/>
      <c r="E575" s="48"/>
      <c r="F575" s="19"/>
      <c r="G575" s="20"/>
      <c r="H575" s="14"/>
      <c r="I575" s="14"/>
      <c r="J575" s="14"/>
      <c r="K575" s="14"/>
      <c r="L575" s="14"/>
      <c r="M575" s="14"/>
      <c r="N575" s="14"/>
      <c r="O575" s="14"/>
      <c r="P575" s="14"/>
      <c r="Q575" s="19"/>
      <c r="R575" s="14"/>
      <c r="S575" s="19">
        <v>3.0</v>
      </c>
      <c r="T575" s="14">
        <f t="shared" ref="T575:T628" si="26">SUM(I575:S575)</f>
        <v>3</v>
      </c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</row>
    <row r="576" ht="15.75" customHeight="1">
      <c r="A576" s="14" t="s">
        <v>767</v>
      </c>
      <c r="B576" s="45" t="s">
        <v>209</v>
      </c>
      <c r="C576" s="16"/>
      <c r="D576" s="17"/>
      <c r="E576" s="18"/>
      <c r="F576" s="14"/>
      <c r="G576" s="20"/>
      <c r="H576" s="14"/>
      <c r="I576" s="14"/>
      <c r="J576" s="14">
        <v>3.0</v>
      </c>
      <c r="K576" s="14"/>
      <c r="L576" s="14"/>
      <c r="M576" s="14">
        <v>3.0</v>
      </c>
      <c r="N576" s="14"/>
      <c r="O576" s="14"/>
      <c r="P576" s="14"/>
      <c r="Q576" s="14"/>
      <c r="R576" s="19">
        <v>1.0</v>
      </c>
      <c r="S576" s="19"/>
      <c r="T576" s="14">
        <f t="shared" si="26"/>
        <v>7</v>
      </c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</row>
    <row r="577" ht="15.75" customHeight="1">
      <c r="A577" s="14" t="s">
        <v>768</v>
      </c>
      <c r="B577" s="15" t="s">
        <v>51</v>
      </c>
      <c r="C577" s="16"/>
      <c r="D577" s="17"/>
      <c r="E577" s="18"/>
      <c r="F577" s="14"/>
      <c r="G577" s="14" t="s">
        <v>40</v>
      </c>
      <c r="H577" s="14"/>
      <c r="I577" s="14"/>
      <c r="J577" s="14">
        <v>1.0</v>
      </c>
      <c r="K577" s="14"/>
      <c r="L577" s="14">
        <v>1.0</v>
      </c>
      <c r="M577" s="14">
        <v>2.0</v>
      </c>
      <c r="N577" s="14">
        <v>1.0</v>
      </c>
      <c r="O577" s="14">
        <v>1.0</v>
      </c>
      <c r="P577" s="14"/>
      <c r="Q577" s="34"/>
      <c r="R577" s="34"/>
      <c r="S577" s="34"/>
      <c r="T577" s="14">
        <f t="shared" si="26"/>
        <v>6</v>
      </c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</row>
    <row r="578" ht="15.75" customHeight="1">
      <c r="A578" s="19" t="s">
        <v>769</v>
      </c>
      <c r="B578" s="19" t="s">
        <v>136</v>
      </c>
      <c r="C578" s="16"/>
      <c r="D578" s="17"/>
      <c r="E578" s="18"/>
      <c r="F578" s="45"/>
      <c r="G578" s="20"/>
      <c r="H578" s="14"/>
      <c r="I578" s="14"/>
      <c r="J578" s="14"/>
      <c r="K578" s="14"/>
      <c r="L578" s="14"/>
      <c r="M578" s="14"/>
      <c r="N578" s="14"/>
      <c r="O578" s="14"/>
      <c r="P578" s="14"/>
      <c r="Q578" s="34"/>
      <c r="R578" s="34"/>
      <c r="S578" s="40">
        <v>2.0</v>
      </c>
      <c r="T578" s="14">
        <f t="shared" si="26"/>
        <v>2</v>
      </c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</row>
    <row r="579" ht="15.75" customHeight="1">
      <c r="A579" s="14" t="s">
        <v>770</v>
      </c>
      <c r="B579" s="15" t="s">
        <v>403</v>
      </c>
      <c r="C579" s="16"/>
      <c r="D579" s="17"/>
      <c r="E579" s="18"/>
      <c r="F579" s="14"/>
      <c r="G579" s="20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9">
        <v>1.0</v>
      </c>
      <c r="T579" s="14">
        <f t="shared" si="26"/>
        <v>1</v>
      </c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</row>
    <row r="580" ht="15.75" customHeight="1">
      <c r="A580" s="14" t="s">
        <v>771</v>
      </c>
      <c r="B580" s="14" t="s">
        <v>46</v>
      </c>
      <c r="C580" s="16"/>
      <c r="D580" s="17"/>
      <c r="E580" s="18"/>
      <c r="F580" s="45"/>
      <c r="G580" s="20"/>
      <c r="H580" s="14"/>
      <c r="I580" s="14"/>
      <c r="J580" s="14"/>
      <c r="K580" s="14"/>
      <c r="L580" s="14">
        <v>2.0</v>
      </c>
      <c r="M580" s="14"/>
      <c r="N580" s="14"/>
      <c r="O580" s="14"/>
      <c r="P580" s="14"/>
      <c r="Q580" s="14"/>
      <c r="R580" s="14"/>
      <c r="S580" s="14"/>
      <c r="T580" s="14">
        <f t="shared" si="26"/>
        <v>2</v>
      </c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</row>
    <row r="581" ht="15.75" customHeight="1">
      <c r="A581" s="17" t="s">
        <v>772</v>
      </c>
      <c r="B581" s="17" t="s">
        <v>488</v>
      </c>
      <c r="C581" s="25"/>
      <c r="D581" s="47"/>
      <c r="E581" s="48"/>
      <c r="F581" s="49"/>
      <c r="G581" s="26"/>
      <c r="H581" s="27"/>
      <c r="I581" s="27"/>
      <c r="J581" s="27"/>
      <c r="K581" s="27"/>
      <c r="L581" s="27"/>
      <c r="M581" s="27"/>
      <c r="N581" s="27"/>
      <c r="O581" s="27"/>
      <c r="P581" s="27"/>
      <c r="Q581" s="17"/>
      <c r="R581" s="17">
        <v>2.0</v>
      </c>
      <c r="S581" s="17">
        <v>1.0</v>
      </c>
      <c r="T581" s="14">
        <f t="shared" si="26"/>
        <v>3</v>
      </c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 ht="15.75" customHeight="1">
      <c r="A582" s="27" t="s">
        <v>773</v>
      </c>
      <c r="B582" s="17" t="s">
        <v>182</v>
      </c>
      <c r="C582" s="25"/>
      <c r="D582" s="47"/>
      <c r="E582" s="48"/>
      <c r="F582" s="49"/>
      <c r="G582" s="26"/>
      <c r="H582" s="27"/>
      <c r="I582" s="27"/>
      <c r="J582" s="27"/>
      <c r="K582" s="27"/>
      <c r="L582" s="27"/>
      <c r="M582" s="27"/>
      <c r="N582" s="27"/>
      <c r="O582" s="27"/>
      <c r="P582" s="27"/>
      <c r="Q582" s="17">
        <v>3.0</v>
      </c>
      <c r="R582" s="17">
        <v>1.0</v>
      </c>
      <c r="S582" s="17">
        <v>1.0</v>
      </c>
      <c r="T582" s="14">
        <f t="shared" si="26"/>
        <v>5</v>
      </c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r="583" ht="15.75" customHeight="1">
      <c r="A583" s="14" t="s">
        <v>774</v>
      </c>
      <c r="B583" s="19" t="s">
        <v>129</v>
      </c>
      <c r="C583" s="16"/>
      <c r="D583" s="17"/>
      <c r="E583" s="18"/>
      <c r="F583" s="45"/>
      <c r="G583" s="20"/>
      <c r="H583" s="14"/>
      <c r="I583" s="14"/>
      <c r="J583" s="14">
        <v>1.0</v>
      </c>
      <c r="K583" s="14">
        <v>1.0</v>
      </c>
      <c r="L583" s="14">
        <v>1.0</v>
      </c>
      <c r="M583" s="14"/>
      <c r="N583" s="14"/>
      <c r="O583" s="14"/>
      <c r="P583" s="14"/>
      <c r="Q583" s="14"/>
      <c r="R583" s="14"/>
      <c r="S583" s="19">
        <v>1.0</v>
      </c>
      <c r="T583" s="14">
        <f t="shared" si="26"/>
        <v>4</v>
      </c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</row>
    <row r="584" ht="15.75" customHeight="1">
      <c r="A584" s="27" t="s">
        <v>775</v>
      </c>
      <c r="B584" s="17" t="s">
        <v>62</v>
      </c>
      <c r="C584" s="25"/>
      <c r="D584" s="17"/>
      <c r="E584" s="18"/>
      <c r="F584" s="27"/>
      <c r="G584" s="26"/>
      <c r="H584" s="27"/>
      <c r="I584" s="27"/>
      <c r="J584" s="27"/>
      <c r="K584" s="27"/>
      <c r="L584" s="27"/>
      <c r="M584" s="27">
        <v>1.0</v>
      </c>
      <c r="N584" s="27"/>
      <c r="O584" s="27"/>
      <c r="P584" s="27"/>
      <c r="Q584" s="27"/>
      <c r="R584" s="17">
        <v>1.0</v>
      </c>
      <c r="S584" s="17"/>
      <c r="T584" s="14">
        <f t="shared" si="26"/>
        <v>2</v>
      </c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r="585" ht="15.75" customHeight="1">
      <c r="A585" s="14" t="s">
        <v>776</v>
      </c>
      <c r="B585" s="19" t="s">
        <v>68</v>
      </c>
      <c r="C585" s="16"/>
      <c r="D585" s="17"/>
      <c r="E585" s="18"/>
      <c r="F585" s="14"/>
      <c r="G585" s="20"/>
      <c r="H585" s="14"/>
      <c r="I585" s="14"/>
      <c r="J585" s="14"/>
      <c r="K585" s="14"/>
      <c r="L585" s="14"/>
      <c r="M585" s="14"/>
      <c r="N585" s="14"/>
      <c r="O585" s="14"/>
      <c r="P585" s="14">
        <v>1.0</v>
      </c>
      <c r="Q585" s="14"/>
      <c r="R585" s="14"/>
      <c r="S585" s="14"/>
      <c r="T585" s="14">
        <f t="shared" si="26"/>
        <v>1</v>
      </c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</row>
    <row r="586" ht="15.75" customHeight="1">
      <c r="A586" s="17" t="s">
        <v>777</v>
      </c>
      <c r="B586" s="17" t="s">
        <v>778</v>
      </c>
      <c r="C586" s="25"/>
      <c r="D586" s="47"/>
      <c r="E586" s="48"/>
      <c r="F586" s="27"/>
      <c r="G586" s="26"/>
      <c r="H586" s="27"/>
      <c r="I586" s="27"/>
      <c r="J586" s="27"/>
      <c r="K586" s="27"/>
      <c r="L586" s="27"/>
      <c r="M586" s="27"/>
      <c r="N586" s="27"/>
      <c r="O586" s="27"/>
      <c r="P586" s="27"/>
      <c r="Q586" s="17">
        <v>1.0</v>
      </c>
      <c r="R586" s="14"/>
      <c r="S586" s="14"/>
      <c r="T586" s="14">
        <f t="shared" si="26"/>
        <v>1</v>
      </c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r="587" ht="15.75" customHeight="1">
      <c r="A587" s="17" t="s">
        <v>779</v>
      </c>
      <c r="B587" s="17" t="s">
        <v>562</v>
      </c>
      <c r="C587" s="25"/>
      <c r="D587" s="17"/>
      <c r="E587" s="48"/>
      <c r="F587" s="27"/>
      <c r="G587" s="26"/>
      <c r="H587" s="27"/>
      <c r="I587" s="27"/>
      <c r="J587" s="27">
        <v>2.0</v>
      </c>
      <c r="K587" s="27"/>
      <c r="L587" s="27">
        <v>3.0</v>
      </c>
      <c r="M587" s="27">
        <v>2.0</v>
      </c>
      <c r="N587" s="27"/>
      <c r="O587" s="27"/>
      <c r="P587" s="27">
        <v>1.0</v>
      </c>
      <c r="Q587" s="27"/>
      <c r="R587" s="17">
        <v>1.0</v>
      </c>
      <c r="S587" s="17"/>
      <c r="T587" s="14">
        <f t="shared" si="26"/>
        <v>9</v>
      </c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 ht="15.75" customHeight="1">
      <c r="A588" s="14" t="s">
        <v>780</v>
      </c>
      <c r="B588" s="14" t="s">
        <v>781</v>
      </c>
      <c r="C588" s="16"/>
      <c r="D588" s="17"/>
      <c r="E588" s="18"/>
      <c r="F588" s="14"/>
      <c r="G588" s="20"/>
      <c r="H588" s="14"/>
      <c r="I588" s="14"/>
      <c r="J588" s="14"/>
      <c r="K588" s="14"/>
      <c r="L588" s="14"/>
      <c r="M588" s="14"/>
      <c r="N588" s="14"/>
      <c r="O588" s="14">
        <v>1.0</v>
      </c>
      <c r="P588" s="14">
        <v>1.0</v>
      </c>
      <c r="Q588" s="14"/>
      <c r="R588" s="14"/>
      <c r="S588" s="19">
        <v>1.0</v>
      </c>
      <c r="T588" s="14">
        <f t="shared" si="26"/>
        <v>3</v>
      </c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</row>
    <row r="589" ht="15.75" customHeight="1">
      <c r="A589" s="27" t="s">
        <v>782</v>
      </c>
      <c r="B589" s="27" t="s">
        <v>781</v>
      </c>
      <c r="C589" s="25"/>
      <c r="D589" s="47"/>
      <c r="E589" s="48"/>
      <c r="F589" s="27"/>
      <c r="G589" s="26"/>
      <c r="H589" s="27"/>
      <c r="I589" s="27"/>
      <c r="J589" s="27"/>
      <c r="K589" s="27"/>
      <c r="L589" s="27"/>
      <c r="M589" s="27"/>
      <c r="N589" s="27"/>
      <c r="O589" s="27"/>
      <c r="P589" s="27"/>
      <c r="Q589" s="17">
        <v>1.0</v>
      </c>
      <c r="R589" s="19">
        <v>2.0</v>
      </c>
      <c r="S589" s="19"/>
      <c r="T589" s="14">
        <f t="shared" si="26"/>
        <v>3</v>
      </c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 ht="15.75" customHeight="1">
      <c r="A590" s="22" t="s">
        <v>783</v>
      </c>
      <c r="B590" s="19" t="s">
        <v>778</v>
      </c>
      <c r="C590" s="16"/>
      <c r="D590" s="17"/>
      <c r="E590" s="18"/>
      <c r="F590" s="14"/>
      <c r="G590" s="20"/>
      <c r="H590" s="14"/>
      <c r="I590" s="14"/>
      <c r="J590" s="14"/>
      <c r="K590" s="14"/>
      <c r="L590" s="14">
        <v>2.0</v>
      </c>
      <c r="M590" s="14">
        <v>4.0</v>
      </c>
      <c r="N590" s="14">
        <v>2.0</v>
      </c>
      <c r="O590" s="14">
        <v>1.0</v>
      </c>
      <c r="P590" s="14"/>
      <c r="Q590" s="14"/>
      <c r="R590" s="19">
        <v>1.0</v>
      </c>
      <c r="S590" s="19">
        <v>1.0</v>
      </c>
      <c r="T590" s="14">
        <f t="shared" si="26"/>
        <v>11</v>
      </c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</row>
    <row r="591" ht="15.75" customHeight="1">
      <c r="A591" s="17" t="s">
        <v>784</v>
      </c>
      <c r="B591" s="17" t="s">
        <v>454</v>
      </c>
      <c r="C591" s="25"/>
      <c r="D591" s="17"/>
      <c r="E591" s="18"/>
      <c r="F591" s="27"/>
      <c r="G591" s="23" t="s">
        <v>785</v>
      </c>
      <c r="H591" s="27"/>
      <c r="I591" s="27"/>
      <c r="J591" s="27"/>
      <c r="K591" s="27">
        <v>3.0</v>
      </c>
      <c r="L591" s="27">
        <v>1.0</v>
      </c>
      <c r="M591" s="27">
        <v>1.0</v>
      </c>
      <c r="N591" s="27"/>
      <c r="O591" s="27">
        <v>1.0</v>
      </c>
      <c r="P591" s="27"/>
      <c r="Q591" s="17">
        <v>1.0</v>
      </c>
      <c r="R591" s="27"/>
      <c r="S591" s="27"/>
      <c r="T591" s="14">
        <f t="shared" si="26"/>
        <v>7</v>
      </c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 ht="15.75" customHeight="1">
      <c r="A592" s="19" t="s">
        <v>786</v>
      </c>
      <c r="B592" s="19" t="s">
        <v>73</v>
      </c>
      <c r="C592" s="24" t="s">
        <v>150</v>
      </c>
      <c r="D592" s="17" t="s">
        <v>787</v>
      </c>
      <c r="E592" s="18">
        <v>45935.0</v>
      </c>
      <c r="F592" s="19" t="s">
        <v>74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9">
        <v>4.0</v>
      </c>
      <c r="T592" s="14">
        <f t="shared" si="26"/>
        <v>4</v>
      </c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</row>
    <row r="593" ht="15.75" customHeight="1">
      <c r="A593" s="19" t="s">
        <v>788</v>
      </c>
      <c r="B593" s="14" t="s">
        <v>46</v>
      </c>
      <c r="C593" s="16"/>
      <c r="D593" s="17"/>
      <c r="E593" s="18"/>
      <c r="F593" s="14"/>
      <c r="G593" s="14" t="s">
        <v>40</v>
      </c>
      <c r="H593" s="14" t="s">
        <v>435</v>
      </c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>
        <f t="shared" si="26"/>
        <v>0</v>
      </c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</row>
    <row r="594" ht="15.75" customHeight="1">
      <c r="A594" s="17" t="s">
        <v>789</v>
      </c>
      <c r="B594" s="17" t="s">
        <v>85</v>
      </c>
      <c r="C594" s="30" t="s">
        <v>177</v>
      </c>
      <c r="D594" s="17"/>
      <c r="E594" s="48"/>
      <c r="F594" s="27"/>
      <c r="G594" s="26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17">
        <v>2.0</v>
      </c>
      <c r="S594" s="17"/>
      <c r="T594" s="14">
        <f t="shared" si="26"/>
        <v>2</v>
      </c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r="595" ht="15.75" customHeight="1">
      <c r="A595" s="17" t="s">
        <v>790</v>
      </c>
      <c r="B595" s="17" t="s">
        <v>87</v>
      </c>
      <c r="C595" s="25"/>
      <c r="D595" s="17"/>
      <c r="E595" s="18"/>
      <c r="F595" s="27"/>
      <c r="G595" s="26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14">
        <f t="shared" si="26"/>
        <v>0</v>
      </c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 ht="15.75" customHeight="1">
      <c r="A596" s="19" t="s">
        <v>791</v>
      </c>
      <c r="B596" s="19" t="s">
        <v>204</v>
      </c>
      <c r="C596" s="16"/>
      <c r="D596" s="17"/>
      <c r="E596" s="18"/>
      <c r="F596" s="14"/>
      <c r="G596" s="20"/>
      <c r="H596" s="14"/>
      <c r="I596" s="14"/>
      <c r="J596" s="14"/>
      <c r="K596" s="14"/>
      <c r="L596" s="14"/>
      <c r="M596" s="14"/>
      <c r="N596" s="14"/>
      <c r="O596" s="14"/>
      <c r="P596" s="14">
        <v>1.0</v>
      </c>
      <c r="Q596" s="14"/>
      <c r="R596" s="14"/>
      <c r="S596" s="14"/>
      <c r="T596" s="14">
        <f t="shared" si="26"/>
        <v>1</v>
      </c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</row>
    <row r="597" ht="15.75" customHeight="1">
      <c r="A597" s="17" t="s">
        <v>792</v>
      </c>
      <c r="B597" s="17" t="s">
        <v>238</v>
      </c>
      <c r="C597" s="25"/>
      <c r="D597" s="17"/>
      <c r="E597" s="18"/>
      <c r="F597" s="27"/>
      <c r="G597" s="26"/>
      <c r="H597" s="27"/>
      <c r="I597" s="27"/>
      <c r="J597" s="27"/>
      <c r="K597" s="27"/>
      <c r="L597" s="27"/>
      <c r="M597" s="27"/>
      <c r="N597" s="27">
        <v>2.0</v>
      </c>
      <c r="O597" s="27"/>
      <c r="P597" s="27"/>
      <c r="Q597" s="27"/>
      <c r="R597" s="27"/>
      <c r="S597" s="27"/>
      <c r="T597" s="14">
        <f t="shared" si="26"/>
        <v>2</v>
      </c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 ht="15.75" customHeight="1">
      <c r="A598" s="15" t="s">
        <v>793</v>
      </c>
      <c r="B598" s="19" t="s">
        <v>258</v>
      </c>
      <c r="C598" s="16"/>
      <c r="D598" s="17"/>
      <c r="E598" s="18"/>
      <c r="F598" s="14"/>
      <c r="G598" s="14"/>
      <c r="H598" s="14"/>
      <c r="I598" s="14"/>
      <c r="J598" s="14"/>
      <c r="K598" s="14"/>
      <c r="L598" s="14"/>
      <c r="M598" s="14"/>
      <c r="N598" s="14"/>
      <c r="O598" s="14">
        <v>1.0</v>
      </c>
      <c r="P598" s="14"/>
      <c r="Q598" s="14"/>
      <c r="R598" s="14"/>
      <c r="S598" s="14"/>
      <c r="T598" s="14">
        <f t="shared" si="26"/>
        <v>1</v>
      </c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</row>
    <row r="599" ht="15.75" customHeight="1">
      <c r="A599" s="49" t="s">
        <v>794</v>
      </c>
      <c r="B599" s="17" t="s">
        <v>21</v>
      </c>
      <c r="C599" s="25"/>
      <c r="D599" s="17"/>
      <c r="E599" s="18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14">
        <f t="shared" si="26"/>
        <v>0</v>
      </c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 ht="15.75" customHeight="1">
      <c r="A600" s="15" t="s">
        <v>795</v>
      </c>
      <c r="B600" s="19" t="s">
        <v>192</v>
      </c>
      <c r="C600" s="16"/>
      <c r="D600" s="17"/>
      <c r="E600" s="18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9">
        <v>1.0</v>
      </c>
      <c r="R600" s="19">
        <v>2.0</v>
      </c>
      <c r="S600" s="19">
        <v>1.0</v>
      </c>
      <c r="T600" s="14">
        <f t="shared" si="26"/>
        <v>4</v>
      </c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</row>
    <row r="601" ht="15.75" customHeight="1">
      <c r="A601" s="45" t="s">
        <v>796</v>
      </c>
      <c r="B601" s="19" t="s">
        <v>403</v>
      </c>
      <c r="C601" s="16"/>
      <c r="D601" s="17"/>
      <c r="E601" s="18"/>
      <c r="F601" s="14"/>
      <c r="G601" s="14"/>
      <c r="H601" s="14"/>
      <c r="I601" s="14"/>
      <c r="J601" s="14"/>
      <c r="K601" s="14"/>
      <c r="L601" s="14"/>
      <c r="M601" s="14"/>
      <c r="N601" s="14"/>
      <c r="O601" s="14">
        <v>3.0</v>
      </c>
      <c r="P601" s="14">
        <v>1.0</v>
      </c>
      <c r="Q601" s="19">
        <v>1.0</v>
      </c>
      <c r="R601" s="19">
        <v>1.0</v>
      </c>
      <c r="S601" s="19"/>
      <c r="T601" s="14">
        <f t="shared" si="26"/>
        <v>6</v>
      </c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</row>
    <row r="602" ht="15.75" customHeight="1">
      <c r="A602" s="37" t="s">
        <v>797</v>
      </c>
      <c r="B602" s="17" t="s">
        <v>136</v>
      </c>
      <c r="C602" s="25"/>
      <c r="D602" s="17"/>
      <c r="E602" s="18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14"/>
      <c r="S602" s="14"/>
      <c r="T602" s="14">
        <f t="shared" si="26"/>
        <v>0</v>
      </c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r="603" ht="15.75" customHeight="1">
      <c r="A603" s="37" t="s">
        <v>798</v>
      </c>
      <c r="B603" s="17" t="s">
        <v>136</v>
      </c>
      <c r="C603" s="25"/>
      <c r="D603" s="17"/>
      <c r="E603" s="18"/>
      <c r="F603" s="27"/>
      <c r="G603" s="27"/>
      <c r="H603" s="27"/>
      <c r="I603" s="27"/>
      <c r="J603" s="27"/>
      <c r="K603" s="27"/>
      <c r="L603" s="27">
        <v>2.0</v>
      </c>
      <c r="M603" s="27">
        <v>4.0</v>
      </c>
      <c r="N603" s="27">
        <v>4.0</v>
      </c>
      <c r="O603" s="27"/>
      <c r="P603" s="27"/>
      <c r="Q603" s="27"/>
      <c r="R603" s="17">
        <v>2.0</v>
      </c>
      <c r="S603" s="17"/>
      <c r="T603" s="14">
        <f t="shared" si="26"/>
        <v>12</v>
      </c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 ht="15.75" customHeight="1">
      <c r="A604" s="37" t="s">
        <v>799</v>
      </c>
      <c r="B604" s="27" t="s">
        <v>136</v>
      </c>
      <c r="C604" s="25"/>
      <c r="D604" s="47"/>
      <c r="E604" s="48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17">
        <v>1.0</v>
      </c>
      <c r="R604" s="14"/>
      <c r="S604" s="19">
        <v>1.0</v>
      </c>
      <c r="T604" s="14">
        <f t="shared" si="26"/>
        <v>2</v>
      </c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r="605" ht="15.75" customHeight="1">
      <c r="A605" s="49" t="s">
        <v>800</v>
      </c>
      <c r="B605" s="27" t="s">
        <v>136</v>
      </c>
      <c r="C605" s="25"/>
      <c r="D605" s="17"/>
      <c r="E605" s="18"/>
      <c r="F605" s="27"/>
      <c r="G605" s="27"/>
      <c r="H605" s="27"/>
      <c r="I605" s="27"/>
      <c r="J605" s="27"/>
      <c r="K605" s="27"/>
      <c r="L605" s="27">
        <v>2.0</v>
      </c>
      <c r="M605" s="27">
        <v>5.0</v>
      </c>
      <c r="N605" s="27">
        <v>4.0</v>
      </c>
      <c r="O605" s="27">
        <v>1.0</v>
      </c>
      <c r="P605" s="27"/>
      <c r="Q605" s="17">
        <v>1.0</v>
      </c>
      <c r="R605" s="17">
        <v>1.0</v>
      </c>
      <c r="S605" s="17"/>
      <c r="T605" s="14">
        <f t="shared" si="26"/>
        <v>14</v>
      </c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 ht="15.75" customHeight="1">
      <c r="A606" s="37" t="s">
        <v>801</v>
      </c>
      <c r="B606" s="17" t="s">
        <v>136</v>
      </c>
      <c r="C606" s="30" t="s">
        <v>802</v>
      </c>
      <c r="D606" s="17"/>
      <c r="E606" s="18"/>
      <c r="F606" s="1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17"/>
      <c r="R606" s="17"/>
      <c r="S606" s="17"/>
      <c r="T606" s="14">
        <f t="shared" si="26"/>
        <v>0</v>
      </c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r="607" ht="15.75" customHeight="1">
      <c r="A607" s="49" t="s">
        <v>803</v>
      </c>
      <c r="B607" s="19" t="s">
        <v>136</v>
      </c>
      <c r="C607" s="16"/>
      <c r="D607" s="17"/>
      <c r="E607" s="18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9">
        <v>1.0</v>
      </c>
      <c r="R607" s="14"/>
      <c r="S607" s="14"/>
      <c r="T607" s="14">
        <f t="shared" si="26"/>
        <v>1</v>
      </c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</row>
    <row r="608" ht="15.75" customHeight="1">
      <c r="A608" s="15" t="s">
        <v>804</v>
      </c>
      <c r="B608" s="14" t="s">
        <v>136</v>
      </c>
      <c r="C608" s="16"/>
      <c r="D608" s="17"/>
      <c r="E608" s="18"/>
      <c r="F608" s="14"/>
      <c r="G608" s="14"/>
      <c r="H608" s="14"/>
      <c r="I608" s="14"/>
      <c r="J608" s="14"/>
      <c r="K608" s="14"/>
      <c r="L608" s="14">
        <v>2.0</v>
      </c>
      <c r="M608" s="14">
        <v>5.0</v>
      </c>
      <c r="N608" s="14">
        <v>5.0</v>
      </c>
      <c r="O608" s="14">
        <v>1.0</v>
      </c>
      <c r="P608" s="14"/>
      <c r="Q608" s="14"/>
      <c r="R608" s="14"/>
      <c r="S608" s="19">
        <v>1.0</v>
      </c>
      <c r="T608" s="14">
        <f t="shared" si="26"/>
        <v>14</v>
      </c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</row>
    <row r="609" ht="15.75" customHeight="1">
      <c r="A609" s="15" t="s">
        <v>805</v>
      </c>
      <c r="B609" s="19" t="s">
        <v>136</v>
      </c>
      <c r="C609" s="24" t="s">
        <v>806</v>
      </c>
      <c r="D609" s="17"/>
      <c r="E609" s="54"/>
      <c r="F609" s="19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>
        <f t="shared" si="26"/>
        <v>0</v>
      </c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</row>
    <row r="610" ht="15.75" customHeight="1">
      <c r="A610" s="19" t="s">
        <v>807</v>
      </c>
      <c r="B610" s="19" t="s">
        <v>136</v>
      </c>
      <c r="C610" s="24"/>
      <c r="D610" s="47"/>
      <c r="E610" s="48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9">
        <v>1.0</v>
      </c>
      <c r="R610" s="14"/>
      <c r="S610" s="19">
        <v>2.0</v>
      </c>
      <c r="T610" s="14">
        <f t="shared" si="26"/>
        <v>3</v>
      </c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</row>
    <row r="611" ht="15.75" customHeight="1">
      <c r="A611" s="19" t="s">
        <v>808</v>
      </c>
      <c r="B611" s="19" t="s">
        <v>136</v>
      </c>
      <c r="C611" s="16"/>
      <c r="D611" s="50"/>
      <c r="E611" s="48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>
        <f t="shared" si="26"/>
        <v>0</v>
      </c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</row>
    <row r="612" ht="15.75" customHeight="1">
      <c r="A612" s="19" t="s">
        <v>809</v>
      </c>
      <c r="B612" s="19" t="s">
        <v>136</v>
      </c>
      <c r="C612" s="24" t="s">
        <v>810</v>
      </c>
      <c r="D612" s="50"/>
      <c r="E612" s="48"/>
      <c r="F612" s="19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>
        <f t="shared" si="26"/>
        <v>0</v>
      </c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</row>
    <row r="613" ht="15.75" customHeight="1">
      <c r="A613" s="19" t="s">
        <v>811</v>
      </c>
      <c r="B613" s="19" t="s">
        <v>136</v>
      </c>
      <c r="C613" s="24" t="s">
        <v>241</v>
      </c>
      <c r="D613" s="47"/>
      <c r="E613" s="48"/>
      <c r="F613" s="19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9">
        <v>2.0</v>
      </c>
      <c r="S613" s="19">
        <v>1.0</v>
      </c>
      <c r="T613" s="14">
        <f t="shared" si="26"/>
        <v>3</v>
      </c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</row>
    <row r="614" ht="15.75" customHeight="1">
      <c r="A614" s="19" t="s">
        <v>812</v>
      </c>
      <c r="B614" s="19" t="s">
        <v>42</v>
      </c>
      <c r="C614" s="16"/>
      <c r="D614" s="17"/>
      <c r="E614" s="18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>
        <f t="shared" si="26"/>
        <v>0</v>
      </c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</row>
    <row r="615" ht="15.75" customHeight="1">
      <c r="A615" s="14" t="s">
        <v>813</v>
      </c>
      <c r="B615" s="19" t="s">
        <v>125</v>
      </c>
      <c r="C615" s="16"/>
      <c r="D615" s="50"/>
      <c r="E615" s="48"/>
      <c r="F615" s="14"/>
      <c r="G615" s="14" t="s">
        <v>40</v>
      </c>
      <c r="H615" s="14" t="s">
        <v>435</v>
      </c>
      <c r="I615" s="14"/>
      <c r="J615" s="14"/>
      <c r="K615" s="14">
        <v>3.0</v>
      </c>
      <c r="L615" s="14">
        <v>2.0</v>
      </c>
      <c r="M615" s="14"/>
      <c r="N615" s="14">
        <v>3.0</v>
      </c>
      <c r="O615" s="14">
        <v>1.0</v>
      </c>
      <c r="P615" s="14">
        <v>2.0</v>
      </c>
      <c r="Q615" s="19">
        <v>1.0</v>
      </c>
      <c r="R615" s="14"/>
      <c r="S615" s="14"/>
      <c r="T615" s="14">
        <f t="shared" si="26"/>
        <v>12</v>
      </c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</row>
    <row r="616" ht="15.75" customHeight="1">
      <c r="A616" s="27" t="s">
        <v>814</v>
      </c>
      <c r="B616" s="17" t="s">
        <v>27</v>
      </c>
      <c r="C616" s="25"/>
      <c r="D616" s="17"/>
      <c r="E616" s="48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>
        <v>1.0</v>
      </c>
      <c r="Q616" s="17">
        <v>1.0</v>
      </c>
      <c r="R616" s="27"/>
      <c r="S616" s="27"/>
      <c r="T616" s="14">
        <f t="shared" si="26"/>
        <v>2</v>
      </c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r="617" ht="15.75" customHeight="1">
      <c r="A617" s="14" t="s">
        <v>815</v>
      </c>
      <c r="B617" s="14" t="s">
        <v>46</v>
      </c>
      <c r="C617" s="16"/>
      <c r="D617" s="17"/>
      <c r="E617" s="18"/>
      <c r="F617" s="14"/>
      <c r="G617" s="14"/>
      <c r="H617" s="14"/>
      <c r="I617" s="14"/>
      <c r="J617" s="14"/>
      <c r="K617" s="14"/>
      <c r="L617" s="14">
        <v>1.0</v>
      </c>
      <c r="M617" s="14"/>
      <c r="N617" s="14">
        <v>1.0</v>
      </c>
      <c r="O617" s="14"/>
      <c r="P617" s="14"/>
      <c r="Q617" s="14"/>
      <c r="R617" s="14"/>
      <c r="S617" s="14"/>
      <c r="T617" s="14">
        <f t="shared" si="26"/>
        <v>2</v>
      </c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</row>
    <row r="618" ht="15.75" customHeight="1">
      <c r="A618" s="17" t="s">
        <v>816</v>
      </c>
      <c r="B618" s="17" t="s">
        <v>49</v>
      </c>
      <c r="C618" s="25"/>
      <c r="D618" s="17"/>
      <c r="E618" s="18"/>
      <c r="F618" s="27"/>
      <c r="G618" s="27"/>
      <c r="H618" s="27"/>
      <c r="I618" s="27"/>
      <c r="J618" s="27"/>
      <c r="K618" s="27"/>
      <c r="L618" s="27"/>
      <c r="M618" s="27"/>
      <c r="N618" s="27">
        <v>2.0</v>
      </c>
      <c r="O618" s="27"/>
      <c r="P618" s="27"/>
      <c r="Q618" s="27"/>
      <c r="R618" s="27"/>
      <c r="S618" s="27"/>
      <c r="T618" s="14">
        <f t="shared" si="26"/>
        <v>2</v>
      </c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r="619" ht="15.75" customHeight="1">
      <c r="A619" s="23" t="s">
        <v>817</v>
      </c>
      <c r="B619" s="17" t="s">
        <v>22</v>
      </c>
      <c r="C619" s="25"/>
      <c r="D619" s="17"/>
      <c r="E619" s="18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14">
        <f t="shared" si="26"/>
        <v>0</v>
      </c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 ht="15.75" customHeight="1">
      <c r="A620" s="19" t="s">
        <v>818</v>
      </c>
      <c r="B620" s="19" t="s">
        <v>60</v>
      </c>
      <c r="C620" s="16"/>
      <c r="D620" s="17"/>
      <c r="E620" s="18"/>
      <c r="F620" s="14"/>
      <c r="G620" s="14"/>
      <c r="H620" s="14"/>
      <c r="I620" s="14"/>
      <c r="J620" s="14"/>
      <c r="K620" s="14"/>
      <c r="L620" s="14"/>
      <c r="M620" s="14"/>
      <c r="N620" s="14"/>
      <c r="O620" s="14">
        <v>1.0</v>
      </c>
      <c r="P620" s="14"/>
      <c r="Q620" s="19">
        <v>2.0</v>
      </c>
      <c r="R620" s="14"/>
      <c r="S620" s="14"/>
      <c r="T620" s="14">
        <f t="shared" si="26"/>
        <v>3</v>
      </c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</row>
    <row r="621" ht="15.75" customHeight="1">
      <c r="A621" s="19" t="s">
        <v>819</v>
      </c>
      <c r="B621" s="19" t="s">
        <v>252</v>
      </c>
      <c r="C621" s="16"/>
      <c r="D621" s="17"/>
      <c r="E621" s="48"/>
      <c r="F621" s="14"/>
      <c r="G621" s="14"/>
      <c r="H621" s="14"/>
      <c r="I621" s="14"/>
      <c r="J621" s="14"/>
      <c r="K621" s="14"/>
      <c r="L621" s="14"/>
      <c r="M621" s="14"/>
      <c r="N621" s="14">
        <v>10.0</v>
      </c>
      <c r="O621" s="14">
        <v>5.0</v>
      </c>
      <c r="P621" s="14">
        <v>1.0</v>
      </c>
      <c r="Q621" s="19">
        <v>3.0</v>
      </c>
      <c r="R621" s="14"/>
      <c r="S621" s="14"/>
      <c r="T621" s="14">
        <f t="shared" si="26"/>
        <v>19</v>
      </c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</row>
    <row r="622" ht="15.75" customHeight="1">
      <c r="A622" s="17" t="s">
        <v>820</v>
      </c>
      <c r="B622" s="17" t="s">
        <v>49</v>
      </c>
      <c r="C622" s="25"/>
      <c r="D622" s="17"/>
      <c r="E622" s="18"/>
      <c r="F622" s="27"/>
      <c r="G622" s="27"/>
      <c r="H622" s="27"/>
      <c r="I622" s="27"/>
      <c r="J622" s="27"/>
      <c r="K622" s="27"/>
      <c r="L622" s="27"/>
      <c r="M622" s="27"/>
      <c r="N622" s="27">
        <v>4.0</v>
      </c>
      <c r="O622" s="27">
        <v>2.0</v>
      </c>
      <c r="P622" s="27">
        <v>1.0</v>
      </c>
      <c r="Q622" s="27"/>
      <c r="R622" s="17">
        <v>1.0</v>
      </c>
      <c r="S622" s="17"/>
      <c r="T622" s="14">
        <f t="shared" si="26"/>
        <v>8</v>
      </c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r="623" ht="15.75" customHeight="1">
      <c r="A623" s="14" t="s">
        <v>821</v>
      </c>
      <c r="B623" s="14" t="s">
        <v>62</v>
      </c>
      <c r="C623" s="16"/>
      <c r="D623" s="17"/>
      <c r="E623" s="18"/>
      <c r="F623" s="14"/>
      <c r="G623" s="20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>
        <f t="shared" si="26"/>
        <v>0</v>
      </c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</row>
    <row r="624" ht="15.75" customHeight="1">
      <c r="A624" s="27" t="s">
        <v>822</v>
      </c>
      <c r="B624" s="17" t="s">
        <v>65</v>
      </c>
      <c r="C624" s="25"/>
      <c r="D624" s="17"/>
      <c r="E624" s="18"/>
      <c r="F624" s="51"/>
      <c r="G624" s="27" t="s">
        <v>40</v>
      </c>
      <c r="H624" s="27"/>
      <c r="I624" s="27">
        <v>1.0</v>
      </c>
      <c r="J624" s="27">
        <v>1.0</v>
      </c>
      <c r="K624" s="27">
        <v>3.0</v>
      </c>
      <c r="L624" s="27"/>
      <c r="M624" s="27"/>
      <c r="N624" s="27"/>
      <c r="O624" s="27"/>
      <c r="P624" s="27"/>
      <c r="Q624" s="27"/>
      <c r="R624" s="27"/>
      <c r="S624" s="27"/>
      <c r="T624" s="14">
        <f t="shared" si="26"/>
        <v>5</v>
      </c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r="625" ht="15.75" customHeight="1">
      <c r="A625" s="14" t="s">
        <v>823</v>
      </c>
      <c r="B625" s="15" t="s">
        <v>62</v>
      </c>
      <c r="C625" s="60"/>
      <c r="D625" s="17"/>
      <c r="E625" s="18"/>
      <c r="F625" s="45"/>
      <c r="G625" s="14"/>
      <c r="H625" s="14"/>
      <c r="I625" s="14"/>
      <c r="J625" s="14"/>
      <c r="K625" s="14"/>
      <c r="L625" s="14"/>
      <c r="M625" s="14"/>
      <c r="N625" s="14">
        <v>1.0</v>
      </c>
      <c r="O625" s="14"/>
      <c r="P625" s="14"/>
      <c r="Q625" s="14"/>
      <c r="R625" s="14"/>
      <c r="S625" s="14"/>
      <c r="T625" s="14">
        <f t="shared" si="26"/>
        <v>1</v>
      </c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</row>
    <row r="626" ht="15.75" customHeight="1">
      <c r="A626" s="27" t="s">
        <v>824</v>
      </c>
      <c r="B626" s="37" t="s">
        <v>62</v>
      </c>
      <c r="C626" s="59"/>
      <c r="D626" s="17"/>
      <c r="E626" s="18"/>
      <c r="F626" s="49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14">
        <f t="shared" si="26"/>
        <v>0</v>
      </c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r="627" ht="15.75" customHeight="1">
      <c r="A627" s="14" t="s">
        <v>825</v>
      </c>
      <c r="B627" s="80" t="s">
        <v>62</v>
      </c>
      <c r="C627" s="60"/>
      <c r="D627" s="17"/>
      <c r="E627" s="18"/>
      <c r="F627" s="15"/>
      <c r="G627" s="14"/>
      <c r="H627" s="14"/>
      <c r="I627" s="14"/>
      <c r="J627" s="14"/>
      <c r="K627" s="14"/>
      <c r="L627" s="14"/>
      <c r="M627" s="14"/>
      <c r="N627" s="14">
        <v>1.0</v>
      </c>
      <c r="O627" s="14"/>
      <c r="P627" s="14"/>
      <c r="Q627" s="14"/>
      <c r="R627" s="14"/>
      <c r="S627" s="14"/>
      <c r="T627" s="14">
        <f t="shared" si="26"/>
        <v>1</v>
      </c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</row>
    <row r="628" ht="15.75" customHeight="1">
      <c r="A628" s="27" t="s">
        <v>826</v>
      </c>
      <c r="B628" s="37" t="s">
        <v>51</v>
      </c>
      <c r="C628" s="59"/>
      <c r="D628" s="50"/>
      <c r="E628" s="18"/>
      <c r="F628" s="49"/>
      <c r="G628" s="27" t="s">
        <v>40</v>
      </c>
      <c r="H628" s="27" t="s">
        <v>116</v>
      </c>
      <c r="I628" s="27">
        <v>1.0</v>
      </c>
      <c r="J628" s="33">
        <v>8.0</v>
      </c>
      <c r="K628" s="33">
        <v>7.0</v>
      </c>
      <c r="L628" s="33">
        <v>9.0</v>
      </c>
      <c r="M628" s="33">
        <v>3.0</v>
      </c>
      <c r="N628" s="33">
        <v>2.0</v>
      </c>
      <c r="O628" s="33"/>
      <c r="P628" s="33"/>
      <c r="Q628" s="46">
        <v>3.0</v>
      </c>
      <c r="R628" s="33"/>
      <c r="S628" s="33"/>
      <c r="T628" s="34">
        <f t="shared" si="26"/>
        <v>33</v>
      </c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r="629" ht="15.75" customHeight="1">
      <c r="A629" s="14" t="s">
        <v>826</v>
      </c>
      <c r="B629" s="15" t="s">
        <v>51</v>
      </c>
      <c r="C629" s="60"/>
      <c r="D629" s="17"/>
      <c r="E629" s="18"/>
      <c r="F629" s="45"/>
      <c r="G629" s="14" t="s">
        <v>40</v>
      </c>
      <c r="H629" s="14"/>
      <c r="I629" s="14"/>
      <c r="J629" s="35"/>
      <c r="K629" s="35"/>
      <c r="L629" s="35"/>
      <c r="M629" s="35"/>
      <c r="N629" s="35"/>
      <c r="O629" s="35"/>
      <c r="P629" s="35"/>
      <c r="Q629" s="41"/>
      <c r="R629" s="41"/>
      <c r="S629" s="41"/>
      <c r="T629" s="35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</row>
    <row r="630" ht="15.75" customHeight="1">
      <c r="A630" s="14" t="s">
        <v>827</v>
      </c>
      <c r="B630" s="19" t="s">
        <v>51</v>
      </c>
      <c r="C630" s="16"/>
      <c r="D630" s="17"/>
      <c r="E630" s="18"/>
      <c r="F630" s="14"/>
      <c r="G630" s="20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>
        <f t="shared" ref="T630:T644" si="27">SUM(I630:S630)</f>
        <v>0</v>
      </c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</row>
    <row r="631" ht="15.75" customHeight="1">
      <c r="A631" s="19" t="s">
        <v>828</v>
      </c>
      <c r="B631" s="19" t="s">
        <v>214</v>
      </c>
      <c r="C631" s="16"/>
      <c r="D631" s="17"/>
      <c r="E631" s="18"/>
      <c r="F631" s="45"/>
      <c r="G631" s="20"/>
      <c r="H631" s="14"/>
      <c r="I631" s="14"/>
      <c r="J631" s="14"/>
      <c r="K631" s="14">
        <v>3.0</v>
      </c>
      <c r="L631" s="14">
        <v>1.0</v>
      </c>
      <c r="M631" s="14"/>
      <c r="N631" s="14"/>
      <c r="O631" s="14"/>
      <c r="P631" s="14"/>
      <c r="Q631" s="19">
        <v>1.0</v>
      </c>
      <c r="R631" s="14"/>
      <c r="S631" s="14"/>
      <c r="T631" s="14">
        <f t="shared" si="27"/>
        <v>5</v>
      </c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</row>
    <row r="632" ht="15.75" customHeight="1">
      <c r="A632" s="27" t="s">
        <v>829</v>
      </c>
      <c r="B632" s="37" t="s">
        <v>70</v>
      </c>
      <c r="C632" s="25"/>
      <c r="D632" s="17"/>
      <c r="E632" s="18"/>
      <c r="F632" s="27"/>
      <c r="G632" s="26"/>
      <c r="H632" s="27"/>
      <c r="I632" s="27"/>
      <c r="J632" s="27"/>
      <c r="K632" s="27"/>
      <c r="L632" s="27"/>
      <c r="M632" s="27"/>
      <c r="N632" s="27"/>
      <c r="O632" s="27">
        <v>1.0</v>
      </c>
      <c r="P632" s="27"/>
      <c r="Q632" s="27"/>
      <c r="R632" s="27"/>
      <c r="S632" s="27"/>
      <c r="T632" s="14">
        <f t="shared" si="27"/>
        <v>1</v>
      </c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r="633" ht="15.75" customHeight="1">
      <c r="A633" s="27" t="s">
        <v>830</v>
      </c>
      <c r="B633" s="17" t="s">
        <v>291</v>
      </c>
      <c r="C633" s="25"/>
      <c r="D633" s="17"/>
      <c r="E633" s="18"/>
      <c r="F633" s="27"/>
      <c r="G633" s="26"/>
      <c r="H633" s="27"/>
      <c r="I633" s="27"/>
      <c r="J633" s="27"/>
      <c r="K633" s="27"/>
      <c r="L633" s="27"/>
      <c r="M633" s="27">
        <v>7.0</v>
      </c>
      <c r="N633" s="27">
        <v>5.0</v>
      </c>
      <c r="O633" s="27"/>
      <c r="P633" s="27"/>
      <c r="Q633" s="27"/>
      <c r="R633" s="17">
        <v>1.0</v>
      </c>
      <c r="S633" s="17"/>
      <c r="T633" s="14">
        <f t="shared" si="27"/>
        <v>13</v>
      </c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 ht="15.75" customHeight="1">
      <c r="A634" s="17" t="s">
        <v>831</v>
      </c>
      <c r="B634" s="17" t="s">
        <v>42</v>
      </c>
      <c r="C634" s="30" t="s">
        <v>23</v>
      </c>
      <c r="D634" s="17"/>
      <c r="E634" s="18"/>
      <c r="F634" s="17"/>
      <c r="G634" s="26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17"/>
      <c r="S634" s="17"/>
      <c r="T634" s="14">
        <f t="shared" si="27"/>
        <v>0</v>
      </c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r="635" ht="15.75" customHeight="1">
      <c r="A635" s="27" t="s">
        <v>832</v>
      </c>
      <c r="B635" s="17" t="s">
        <v>46</v>
      </c>
      <c r="C635" s="25"/>
      <c r="D635" s="17"/>
      <c r="E635" s="18"/>
      <c r="F635" s="27"/>
      <c r="G635" s="26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14">
        <f t="shared" si="27"/>
        <v>0</v>
      </c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 ht="15.75" customHeight="1">
      <c r="A636" s="14" t="s">
        <v>833</v>
      </c>
      <c r="B636" s="14" t="s">
        <v>38</v>
      </c>
      <c r="C636" s="16"/>
      <c r="D636" s="17"/>
      <c r="E636" s="18"/>
      <c r="F636" s="14"/>
      <c r="G636" s="20"/>
      <c r="H636" s="14"/>
      <c r="I636" s="14"/>
      <c r="J636" s="14"/>
      <c r="K636" s="14"/>
      <c r="L636" s="14"/>
      <c r="M636" s="14"/>
      <c r="N636" s="14">
        <v>4.0</v>
      </c>
      <c r="O636" s="14">
        <v>2.0</v>
      </c>
      <c r="P636" s="14"/>
      <c r="Q636" s="14"/>
      <c r="R636" s="14"/>
      <c r="S636" s="14"/>
      <c r="T636" s="14">
        <f t="shared" si="27"/>
        <v>6</v>
      </c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</row>
    <row r="637" ht="15.75" customHeight="1">
      <c r="A637" s="27" t="s">
        <v>834</v>
      </c>
      <c r="B637" s="17" t="s">
        <v>62</v>
      </c>
      <c r="C637" s="25"/>
      <c r="D637" s="17"/>
      <c r="E637" s="18"/>
      <c r="F637" s="27"/>
      <c r="G637" s="26"/>
      <c r="H637" s="27"/>
      <c r="I637" s="27"/>
      <c r="J637" s="27"/>
      <c r="K637" s="27"/>
      <c r="L637" s="27">
        <v>1.0</v>
      </c>
      <c r="M637" s="27">
        <v>1.0</v>
      </c>
      <c r="N637" s="27">
        <v>2.0</v>
      </c>
      <c r="O637" s="27">
        <v>2.0</v>
      </c>
      <c r="P637" s="27"/>
      <c r="Q637" s="27"/>
      <c r="R637" s="27"/>
      <c r="S637" s="27"/>
      <c r="T637" s="14">
        <f t="shared" si="27"/>
        <v>6</v>
      </c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 ht="15.75" customHeight="1">
      <c r="A638" s="14" t="s">
        <v>835</v>
      </c>
      <c r="B638" s="19" t="s">
        <v>155</v>
      </c>
      <c r="C638" s="16"/>
      <c r="D638" s="17"/>
      <c r="E638" s="18"/>
      <c r="F638" s="14"/>
      <c r="G638" s="14" t="s">
        <v>40</v>
      </c>
      <c r="H638" s="14"/>
      <c r="I638" s="14"/>
      <c r="J638" s="14">
        <v>1.0</v>
      </c>
      <c r="K638" s="14">
        <v>3.0</v>
      </c>
      <c r="L638" s="14">
        <v>1.0</v>
      </c>
      <c r="M638" s="14">
        <v>2.0</v>
      </c>
      <c r="N638" s="14">
        <v>1.0</v>
      </c>
      <c r="O638" s="14">
        <v>3.0</v>
      </c>
      <c r="P638" s="14"/>
      <c r="Q638" s="14"/>
      <c r="R638" s="19">
        <v>1.0</v>
      </c>
      <c r="S638" s="19"/>
      <c r="T638" s="14">
        <f t="shared" si="27"/>
        <v>12</v>
      </c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</row>
    <row r="639" ht="15.75" customHeight="1">
      <c r="A639" s="17" t="s">
        <v>836</v>
      </c>
      <c r="B639" s="17" t="s">
        <v>250</v>
      </c>
      <c r="C639" s="25"/>
      <c r="D639" s="47"/>
      <c r="E639" s="48"/>
      <c r="F639" s="27"/>
      <c r="G639" s="26"/>
      <c r="H639" s="27"/>
      <c r="I639" s="27"/>
      <c r="J639" s="27"/>
      <c r="K639" s="27"/>
      <c r="L639" s="27"/>
      <c r="M639" s="27"/>
      <c r="N639" s="27"/>
      <c r="O639" s="27"/>
      <c r="P639" s="27"/>
      <c r="Q639" s="17">
        <v>5.0</v>
      </c>
      <c r="R639" s="19">
        <v>2.0</v>
      </c>
      <c r="S639" s="19">
        <v>1.0</v>
      </c>
      <c r="T639" s="14">
        <f t="shared" si="27"/>
        <v>8</v>
      </c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 ht="15.75" customHeight="1">
      <c r="A640" s="27" t="s">
        <v>837</v>
      </c>
      <c r="B640" s="17" t="s">
        <v>60</v>
      </c>
      <c r="C640" s="25"/>
      <c r="D640" s="17"/>
      <c r="E640" s="18"/>
      <c r="F640" s="27"/>
      <c r="G640" s="26"/>
      <c r="H640" s="27"/>
      <c r="I640" s="27"/>
      <c r="J640" s="27"/>
      <c r="K640" s="27"/>
      <c r="L640" s="27"/>
      <c r="M640" s="27">
        <v>3.0</v>
      </c>
      <c r="N640" s="27">
        <v>1.0</v>
      </c>
      <c r="O640" s="27"/>
      <c r="P640" s="27">
        <v>1.0</v>
      </c>
      <c r="Q640" s="27"/>
      <c r="R640" s="27"/>
      <c r="S640" s="27"/>
      <c r="T640" s="14">
        <f t="shared" si="27"/>
        <v>5</v>
      </c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r="641" ht="15.75" customHeight="1">
      <c r="A641" s="19" t="s">
        <v>838</v>
      </c>
      <c r="B641" s="19" t="s">
        <v>136</v>
      </c>
      <c r="C641" s="24" t="s">
        <v>839</v>
      </c>
      <c r="D641" s="17"/>
      <c r="E641" s="18"/>
      <c r="F641" s="19"/>
      <c r="G641" s="20"/>
      <c r="H641" s="14"/>
      <c r="I641" s="14"/>
      <c r="J641" s="14"/>
      <c r="K641" s="14"/>
      <c r="L641" s="14"/>
      <c r="M641" s="14"/>
      <c r="N641" s="14"/>
      <c r="O641" s="14"/>
      <c r="P641" s="14"/>
      <c r="Q641" s="19"/>
      <c r="R641" s="19">
        <v>1.0</v>
      </c>
      <c r="S641" s="19">
        <v>3.0</v>
      </c>
      <c r="T641" s="14">
        <f t="shared" si="27"/>
        <v>4</v>
      </c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</row>
    <row r="642" ht="15.75" customHeight="1">
      <c r="A642" s="14" t="s">
        <v>840</v>
      </c>
      <c r="B642" s="19" t="s">
        <v>187</v>
      </c>
      <c r="C642" s="16"/>
      <c r="D642" s="17"/>
      <c r="E642" s="18"/>
      <c r="F642" s="14"/>
      <c r="G642" s="20"/>
      <c r="H642" s="14"/>
      <c r="I642" s="14"/>
      <c r="J642" s="14"/>
      <c r="K642" s="14"/>
      <c r="L642" s="14"/>
      <c r="M642" s="14"/>
      <c r="N642" s="14">
        <v>2.0</v>
      </c>
      <c r="O642" s="14">
        <v>8.0</v>
      </c>
      <c r="P642" s="14">
        <v>2.0</v>
      </c>
      <c r="Q642" s="19">
        <v>1.0</v>
      </c>
      <c r="R642" s="19">
        <v>2.0</v>
      </c>
      <c r="S642" s="19">
        <v>1.0</v>
      </c>
      <c r="T642" s="14">
        <f t="shared" si="27"/>
        <v>16</v>
      </c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</row>
    <row r="643" ht="15.75" customHeight="1">
      <c r="A643" s="66" t="s">
        <v>841</v>
      </c>
      <c r="B643" s="17" t="s">
        <v>85</v>
      </c>
      <c r="C643" s="25"/>
      <c r="D643" s="17"/>
      <c r="E643" s="18"/>
      <c r="F643" s="27"/>
      <c r="G643" s="26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14"/>
      <c r="S643" s="14"/>
      <c r="T643" s="14">
        <f t="shared" si="27"/>
        <v>0</v>
      </c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 ht="15.75" customHeight="1">
      <c r="A644" s="66" t="s">
        <v>842</v>
      </c>
      <c r="B644" s="46" t="s">
        <v>73</v>
      </c>
      <c r="C644" s="30" t="s">
        <v>309</v>
      </c>
      <c r="D644" s="17"/>
      <c r="E644" s="18"/>
      <c r="F644" s="17" t="s">
        <v>74</v>
      </c>
      <c r="G644" s="26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14"/>
      <c r="S644" s="34"/>
      <c r="T644" s="34">
        <f t="shared" si="27"/>
        <v>0</v>
      </c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r="645" ht="15.75" customHeight="1">
      <c r="A645" s="66" t="s">
        <v>843</v>
      </c>
      <c r="B645" s="35"/>
      <c r="C645" s="30" t="s">
        <v>309</v>
      </c>
      <c r="D645" s="17"/>
      <c r="E645" s="18"/>
      <c r="F645" s="17" t="s">
        <v>74</v>
      </c>
      <c r="G645" s="26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14"/>
      <c r="S645" s="35"/>
      <c r="T645" s="35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 ht="15.75" customHeight="1">
      <c r="A646" s="101" t="s">
        <v>844</v>
      </c>
      <c r="B646" s="17" t="s">
        <v>42</v>
      </c>
      <c r="C646" s="25"/>
      <c r="D646" s="17"/>
      <c r="E646" s="18"/>
      <c r="F646" s="27"/>
      <c r="G646" s="26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14">
        <f t="shared" ref="T646:T654" si="28">SUM(I646:S646)</f>
        <v>0</v>
      </c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r="647" ht="15.75" customHeight="1">
      <c r="A647" s="14" t="s">
        <v>845</v>
      </c>
      <c r="B647" s="14" t="s">
        <v>25</v>
      </c>
      <c r="C647" s="16"/>
      <c r="D647" s="17"/>
      <c r="E647" s="18"/>
      <c r="F647" s="14"/>
      <c r="G647" s="20"/>
      <c r="H647" s="14"/>
      <c r="I647" s="14"/>
      <c r="J647" s="14"/>
      <c r="K647" s="14"/>
      <c r="L647" s="14"/>
      <c r="M647" s="14"/>
      <c r="N647" s="14">
        <v>2.0</v>
      </c>
      <c r="O647" s="14"/>
      <c r="P647" s="14"/>
      <c r="Q647" s="14"/>
      <c r="R647" s="14"/>
      <c r="S647" s="14"/>
      <c r="T647" s="14">
        <f t="shared" si="28"/>
        <v>2</v>
      </c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</row>
    <row r="648" ht="15.75" customHeight="1">
      <c r="A648" s="27" t="s">
        <v>846</v>
      </c>
      <c r="B648" s="17" t="s">
        <v>34</v>
      </c>
      <c r="C648" s="25"/>
      <c r="D648" s="47"/>
      <c r="E648" s="18"/>
      <c r="F648" s="27"/>
      <c r="G648" s="23" t="s">
        <v>847</v>
      </c>
      <c r="H648" s="27" t="s">
        <v>848</v>
      </c>
      <c r="I648" s="27"/>
      <c r="J648" s="27">
        <v>1.0</v>
      </c>
      <c r="K648" s="27">
        <v>3.0</v>
      </c>
      <c r="L648" s="27">
        <v>1.0</v>
      </c>
      <c r="M648" s="27">
        <v>1.0</v>
      </c>
      <c r="N648" s="27">
        <v>2.0</v>
      </c>
      <c r="O648" s="27"/>
      <c r="P648" s="27"/>
      <c r="Q648" s="27"/>
      <c r="R648" s="17">
        <v>3.0</v>
      </c>
      <c r="S648" s="17">
        <v>1.0</v>
      </c>
      <c r="T648" s="14">
        <f t="shared" si="28"/>
        <v>12</v>
      </c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r="649" ht="15.75" customHeight="1">
      <c r="A649" s="31" t="s">
        <v>849</v>
      </c>
      <c r="B649" s="17" t="s">
        <v>22</v>
      </c>
      <c r="C649" s="25"/>
      <c r="D649" s="47"/>
      <c r="E649" s="18"/>
      <c r="F649" s="27"/>
      <c r="G649" s="26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17"/>
      <c r="S649" s="17"/>
      <c r="T649" s="14">
        <f t="shared" si="28"/>
        <v>0</v>
      </c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 ht="15.75" customHeight="1">
      <c r="A650" s="31" t="s">
        <v>849</v>
      </c>
      <c r="B650" s="17" t="s">
        <v>22</v>
      </c>
      <c r="C650" s="25"/>
      <c r="D650" s="47"/>
      <c r="E650" s="18"/>
      <c r="F650" s="27"/>
      <c r="G650" s="26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17"/>
      <c r="S650" s="17"/>
      <c r="T650" s="14">
        <f t="shared" si="28"/>
        <v>0</v>
      </c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r="651" ht="15.75" customHeight="1">
      <c r="A651" s="19" t="s">
        <v>850</v>
      </c>
      <c r="B651" s="19" t="s">
        <v>600</v>
      </c>
      <c r="C651" s="16"/>
      <c r="D651" s="17"/>
      <c r="E651" s="18"/>
      <c r="F651" s="67"/>
      <c r="G651" s="20"/>
      <c r="H651" s="14"/>
      <c r="I651" s="14"/>
      <c r="J651" s="14">
        <v>1.0</v>
      </c>
      <c r="K651" s="14">
        <v>2.0</v>
      </c>
      <c r="L651" s="14">
        <v>1.0</v>
      </c>
      <c r="M651" s="14"/>
      <c r="N651" s="14"/>
      <c r="O651" s="14">
        <v>1.0</v>
      </c>
      <c r="P651" s="14"/>
      <c r="Q651" s="14"/>
      <c r="R651" s="14"/>
      <c r="S651" s="14"/>
      <c r="T651" s="14">
        <f t="shared" si="28"/>
        <v>5</v>
      </c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</row>
    <row r="652" ht="15.75" customHeight="1">
      <c r="A652" s="17" t="s">
        <v>851</v>
      </c>
      <c r="B652" s="17" t="s">
        <v>166</v>
      </c>
      <c r="C652" s="25"/>
      <c r="D652" s="47"/>
      <c r="E652" s="48"/>
      <c r="F652" s="27"/>
      <c r="G652" s="23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17">
        <v>2.0</v>
      </c>
      <c r="S652" s="17">
        <v>1.0</v>
      </c>
      <c r="T652" s="14">
        <f t="shared" si="28"/>
        <v>3</v>
      </c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r="653" ht="15.75" customHeight="1">
      <c r="A653" s="17" t="s">
        <v>852</v>
      </c>
      <c r="B653" s="17" t="s">
        <v>187</v>
      </c>
      <c r="C653" s="25"/>
      <c r="D653" s="17"/>
      <c r="E653" s="18"/>
      <c r="F653" s="27"/>
      <c r="G653" s="23" t="s">
        <v>161</v>
      </c>
      <c r="H653" s="27" t="s">
        <v>280</v>
      </c>
      <c r="I653" s="27"/>
      <c r="J653" s="27"/>
      <c r="K653" s="27">
        <v>5.0</v>
      </c>
      <c r="L653" s="27">
        <v>2.0</v>
      </c>
      <c r="M653" s="27">
        <v>2.0</v>
      </c>
      <c r="N653" s="27">
        <v>2.0</v>
      </c>
      <c r="O653" s="27">
        <v>5.0</v>
      </c>
      <c r="P653" s="27">
        <v>2.0</v>
      </c>
      <c r="Q653" s="27"/>
      <c r="R653" s="17">
        <v>1.0</v>
      </c>
      <c r="S653" s="17"/>
      <c r="T653" s="14">
        <f t="shared" si="28"/>
        <v>19</v>
      </c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 ht="15.75" customHeight="1">
      <c r="A654" s="14" t="s">
        <v>853</v>
      </c>
      <c r="B654" s="40" t="s">
        <v>421</v>
      </c>
      <c r="C654" s="16"/>
      <c r="D654" s="17"/>
      <c r="E654" s="18"/>
      <c r="F654" s="14"/>
      <c r="G654" s="14"/>
      <c r="H654" s="14"/>
      <c r="I654" s="14"/>
      <c r="J654" s="14"/>
      <c r="K654" s="14"/>
      <c r="L654" s="14"/>
      <c r="M654" s="14">
        <v>2.0</v>
      </c>
      <c r="N654" s="14">
        <v>7.0</v>
      </c>
      <c r="O654" s="14">
        <v>1.0</v>
      </c>
      <c r="P654" s="14">
        <v>1.0</v>
      </c>
      <c r="Q654" s="34"/>
      <c r="R654" s="34"/>
      <c r="S654" s="34"/>
      <c r="T654" s="34">
        <f t="shared" si="28"/>
        <v>11</v>
      </c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</row>
    <row r="655" ht="15.75" customHeight="1">
      <c r="A655" s="27" t="s">
        <v>854</v>
      </c>
      <c r="B655" s="35"/>
      <c r="C655" s="25"/>
      <c r="D655" s="17"/>
      <c r="E655" s="18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41"/>
      <c r="R655" s="41"/>
      <c r="S655" s="41"/>
      <c r="T655" s="35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 ht="15.75" customHeight="1">
      <c r="A656" s="14" t="s">
        <v>855</v>
      </c>
      <c r="B656" s="19" t="s">
        <v>49</v>
      </c>
      <c r="C656" s="16"/>
      <c r="D656" s="50"/>
      <c r="E656" s="102"/>
      <c r="F656" s="14"/>
      <c r="G656" s="14"/>
      <c r="H656" s="14"/>
      <c r="I656" s="14"/>
      <c r="J656" s="14"/>
      <c r="K656" s="14"/>
      <c r="L656" s="14"/>
      <c r="M656" s="14">
        <v>5.0</v>
      </c>
      <c r="N656" s="14">
        <v>2.0</v>
      </c>
      <c r="O656" s="14">
        <v>1.0</v>
      </c>
      <c r="P656" s="14">
        <v>1.0</v>
      </c>
      <c r="Q656" s="19">
        <v>1.0</v>
      </c>
      <c r="R656" s="14"/>
      <c r="S656" s="14"/>
      <c r="T656" s="14">
        <f t="shared" ref="T656:T670" si="29">SUM(I656:S656)</f>
        <v>10</v>
      </c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</row>
    <row r="657" ht="15.75" customHeight="1">
      <c r="A657" s="27" t="s">
        <v>856</v>
      </c>
      <c r="B657" s="17" t="s">
        <v>176</v>
      </c>
      <c r="C657" s="25"/>
      <c r="D657" s="17"/>
      <c r="E657" s="18"/>
      <c r="F657" s="103"/>
      <c r="G657" s="104" t="s">
        <v>857</v>
      </c>
      <c r="H657" s="27" t="s">
        <v>858</v>
      </c>
      <c r="I657" s="27"/>
      <c r="J657" s="27"/>
      <c r="K657" s="27">
        <v>2.0</v>
      </c>
      <c r="L657" s="27">
        <v>3.0</v>
      </c>
      <c r="M657" s="27"/>
      <c r="N657" s="27"/>
      <c r="O657" s="27">
        <v>1.0</v>
      </c>
      <c r="P657" s="27">
        <v>1.0</v>
      </c>
      <c r="Q657" s="27"/>
      <c r="R657" s="17">
        <v>1.0</v>
      </c>
      <c r="S657" s="17"/>
      <c r="T657" s="14">
        <f t="shared" si="29"/>
        <v>8</v>
      </c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 ht="15.75" customHeight="1">
      <c r="A658" s="14" t="s">
        <v>859</v>
      </c>
      <c r="B658" s="17" t="s">
        <v>291</v>
      </c>
      <c r="C658" s="30" t="s">
        <v>141</v>
      </c>
      <c r="D658" s="17"/>
      <c r="E658" s="54"/>
      <c r="F658" s="103"/>
      <c r="G658" s="105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17">
        <v>3.0</v>
      </c>
      <c r="S658" s="17">
        <v>1.0</v>
      </c>
      <c r="T658" s="14">
        <f t="shared" si="29"/>
        <v>4</v>
      </c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r="659" ht="15.75" customHeight="1">
      <c r="A659" s="19" t="s">
        <v>860</v>
      </c>
      <c r="B659" s="19" t="s">
        <v>678</v>
      </c>
      <c r="C659" s="16"/>
      <c r="D659" s="17"/>
      <c r="E659" s="18"/>
      <c r="F659" s="14"/>
      <c r="G659" s="14"/>
      <c r="H659" s="14"/>
      <c r="I659" s="14"/>
      <c r="J659" s="14"/>
      <c r="K659" s="14">
        <v>1.0</v>
      </c>
      <c r="L659" s="14">
        <v>1.0</v>
      </c>
      <c r="M659" s="14">
        <v>1.0</v>
      </c>
      <c r="N659" s="14"/>
      <c r="O659" s="14"/>
      <c r="P659" s="14"/>
      <c r="Q659" s="19">
        <v>1.0</v>
      </c>
      <c r="R659" s="14"/>
      <c r="S659" s="19">
        <v>1.0</v>
      </c>
      <c r="T659" s="14">
        <f t="shared" si="29"/>
        <v>5</v>
      </c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</row>
    <row r="660" ht="15.75" customHeight="1">
      <c r="A660" s="19" t="s">
        <v>861</v>
      </c>
      <c r="B660" s="19" t="s">
        <v>42</v>
      </c>
      <c r="C660" s="24" t="s">
        <v>356</v>
      </c>
      <c r="D660" s="17"/>
      <c r="E660" s="18"/>
      <c r="F660" s="19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9"/>
      <c r="R660" s="14"/>
      <c r="S660" s="19">
        <v>1.0</v>
      </c>
      <c r="T660" s="14">
        <f t="shared" si="29"/>
        <v>1</v>
      </c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</row>
    <row r="661" ht="15.75" customHeight="1">
      <c r="A661" s="17" t="s">
        <v>862</v>
      </c>
      <c r="B661" s="17" t="s">
        <v>160</v>
      </c>
      <c r="C661" s="25"/>
      <c r="D661" s="17"/>
      <c r="E661" s="18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14"/>
      <c r="S661" s="14"/>
      <c r="T661" s="14">
        <f t="shared" si="29"/>
        <v>0</v>
      </c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 ht="15.75" customHeight="1">
      <c r="A662" s="17" t="s">
        <v>863</v>
      </c>
      <c r="B662" s="17" t="s">
        <v>338</v>
      </c>
      <c r="C662" s="63" t="s">
        <v>864</v>
      </c>
      <c r="D662" s="17"/>
      <c r="E662" s="18"/>
      <c r="F662" s="1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17">
        <v>1.0</v>
      </c>
      <c r="R662" s="14"/>
      <c r="S662" s="14"/>
      <c r="T662" s="14">
        <f t="shared" si="29"/>
        <v>1</v>
      </c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r="663" ht="15.75" customHeight="1">
      <c r="A663" s="27" t="s">
        <v>865</v>
      </c>
      <c r="B663" s="17" t="s">
        <v>421</v>
      </c>
      <c r="C663" s="25"/>
      <c r="D663" s="17"/>
      <c r="E663" s="18"/>
      <c r="F663" s="27"/>
      <c r="G663" s="23" t="s">
        <v>866</v>
      </c>
      <c r="H663" s="27"/>
      <c r="I663" s="27">
        <v>2.0</v>
      </c>
      <c r="J663" s="27">
        <v>4.0</v>
      </c>
      <c r="K663" s="27"/>
      <c r="L663" s="27">
        <v>1.0</v>
      </c>
      <c r="M663" s="27"/>
      <c r="N663" s="27"/>
      <c r="O663" s="27">
        <v>1.0</v>
      </c>
      <c r="P663" s="27">
        <v>1.0</v>
      </c>
      <c r="Q663" s="27"/>
      <c r="R663" s="27"/>
      <c r="S663" s="27"/>
      <c r="T663" s="14">
        <f t="shared" si="29"/>
        <v>9</v>
      </c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 ht="15.75" customHeight="1">
      <c r="A664" s="14" t="s">
        <v>867</v>
      </c>
      <c r="B664" s="19" t="s">
        <v>51</v>
      </c>
      <c r="C664" s="16"/>
      <c r="D664" s="17"/>
      <c r="E664" s="18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9">
        <v>1.0</v>
      </c>
      <c r="S664" s="19"/>
      <c r="T664" s="14">
        <f t="shared" si="29"/>
        <v>1</v>
      </c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</row>
    <row r="665" ht="15.75" customHeight="1">
      <c r="A665" s="27" t="s">
        <v>868</v>
      </c>
      <c r="B665" s="27" t="s">
        <v>102</v>
      </c>
      <c r="C665" s="25"/>
      <c r="D665" s="17"/>
      <c r="E665" s="18"/>
      <c r="F665" s="27"/>
      <c r="G665" s="23" t="s">
        <v>739</v>
      </c>
      <c r="H665" s="27"/>
      <c r="I665" s="27">
        <v>1.0</v>
      </c>
      <c r="J665" s="27"/>
      <c r="K665" s="27">
        <v>1.0</v>
      </c>
      <c r="L665" s="27"/>
      <c r="M665" s="27"/>
      <c r="N665" s="27"/>
      <c r="O665" s="27"/>
      <c r="P665" s="27"/>
      <c r="Q665" s="27"/>
      <c r="R665" s="27"/>
      <c r="S665" s="27"/>
      <c r="T665" s="14">
        <f t="shared" si="29"/>
        <v>2</v>
      </c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 ht="15.75" customHeight="1">
      <c r="A666" s="14" t="s">
        <v>869</v>
      </c>
      <c r="B666" s="19" t="s">
        <v>38</v>
      </c>
      <c r="C666" s="16"/>
      <c r="D666" s="17"/>
      <c r="E666" s="18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>
        <f t="shared" si="29"/>
        <v>0</v>
      </c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</row>
    <row r="667" ht="15.75" customHeight="1">
      <c r="A667" s="27" t="s">
        <v>870</v>
      </c>
      <c r="B667" s="17" t="s">
        <v>187</v>
      </c>
      <c r="C667" s="25"/>
      <c r="D667" s="17"/>
      <c r="E667" s="18"/>
      <c r="F667" s="27"/>
      <c r="G667" s="27"/>
      <c r="H667" s="27"/>
      <c r="I667" s="27"/>
      <c r="J667" s="27"/>
      <c r="K667" s="27">
        <v>1.0</v>
      </c>
      <c r="L667" s="27">
        <v>2.0</v>
      </c>
      <c r="M667" s="27">
        <v>1.0</v>
      </c>
      <c r="N667" s="27">
        <v>1.0</v>
      </c>
      <c r="O667" s="27">
        <v>2.0</v>
      </c>
      <c r="P667" s="27">
        <v>1.0</v>
      </c>
      <c r="Q667" s="17">
        <v>1.0</v>
      </c>
      <c r="R667" s="27"/>
      <c r="S667" s="27"/>
      <c r="T667" s="14">
        <f t="shared" si="29"/>
        <v>9</v>
      </c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 ht="15.75" customHeight="1">
      <c r="A668" s="19" t="s">
        <v>871</v>
      </c>
      <c r="B668" s="19" t="s">
        <v>187</v>
      </c>
      <c r="C668" s="16"/>
      <c r="D668" s="17"/>
      <c r="E668" s="18"/>
      <c r="F668" s="14"/>
      <c r="G668" s="14"/>
      <c r="H668" s="14"/>
      <c r="I668" s="14"/>
      <c r="J668" s="14"/>
      <c r="K668" s="14">
        <v>1.0</v>
      </c>
      <c r="L668" s="14"/>
      <c r="M668" s="14"/>
      <c r="N668" s="14"/>
      <c r="O668" s="14"/>
      <c r="P668" s="14"/>
      <c r="Q668" s="19">
        <v>1.0</v>
      </c>
      <c r="R668" s="14"/>
      <c r="S668" s="14"/>
      <c r="T668" s="14">
        <f t="shared" si="29"/>
        <v>2</v>
      </c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</row>
    <row r="669" ht="15.75" customHeight="1">
      <c r="A669" s="17" t="s">
        <v>872</v>
      </c>
      <c r="B669" s="17" t="s">
        <v>21</v>
      </c>
      <c r="C669" s="25"/>
      <c r="D669" s="17"/>
      <c r="E669" s="18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33"/>
      <c r="R669" s="40">
        <v>1.0</v>
      </c>
      <c r="S669" s="40"/>
      <c r="T669" s="14">
        <f t="shared" si="29"/>
        <v>1</v>
      </c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 ht="15.75" customHeight="1">
      <c r="A670" s="27" t="s">
        <v>873</v>
      </c>
      <c r="B670" s="46" t="s">
        <v>83</v>
      </c>
      <c r="C670" s="25"/>
      <c r="D670" s="17"/>
      <c r="E670" s="18"/>
      <c r="F670" s="27"/>
      <c r="G670" s="27"/>
      <c r="H670" s="27"/>
      <c r="I670" s="27"/>
      <c r="J670" s="27"/>
      <c r="K670" s="27"/>
      <c r="L670" s="27"/>
      <c r="M670" s="27">
        <v>5.0</v>
      </c>
      <c r="N670" s="27">
        <v>3.0</v>
      </c>
      <c r="O670" s="27"/>
      <c r="P670" s="27"/>
      <c r="Q670" s="33"/>
      <c r="R670" s="33"/>
      <c r="S670" s="33"/>
      <c r="T670" s="34">
        <f t="shared" si="29"/>
        <v>8</v>
      </c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r="671" ht="15.75" customHeight="1">
      <c r="A671" s="19" t="s">
        <v>874</v>
      </c>
      <c r="B671" s="35"/>
      <c r="C671" s="16"/>
      <c r="D671" s="17"/>
      <c r="E671" s="18"/>
      <c r="F671" s="14"/>
      <c r="G671" s="106"/>
      <c r="H671" s="14"/>
      <c r="I671" s="14"/>
      <c r="J671" s="14"/>
      <c r="K671" s="14"/>
      <c r="L671" s="14"/>
      <c r="M671" s="14"/>
      <c r="N671" s="14"/>
      <c r="O671" s="14"/>
      <c r="P671" s="14"/>
      <c r="Q671" s="41"/>
      <c r="R671" s="41"/>
      <c r="S671" s="41"/>
      <c r="T671" s="35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</row>
    <row r="672" ht="15.75" customHeight="1">
      <c r="A672" s="27" t="s">
        <v>875</v>
      </c>
      <c r="B672" s="17" t="s">
        <v>157</v>
      </c>
      <c r="C672" s="25"/>
      <c r="D672" s="17"/>
      <c r="E672" s="18"/>
      <c r="F672" s="27"/>
      <c r="G672" s="107"/>
      <c r="H672" s="27"/>
      <c r="I672" s="27"/>
      <c r="J672" s="27"/>
      <c r="K672" s="27"/>
      <c r="L672" s="27"/>
      <c r="M672" s="27"/>
      <c r="N672" s="27"/>
      <c r="O672" s="27"/>
      <c r="P672" s="27">
        <v>1.0</v>
      </c>
      <c r="Q672" s="27"/>
      <c r="R672" s="27"/>
      <c r="S672" s="27"/>
      <c r="T672" s="14">
        <f t="shared" ref="T672:T700" si="30">SUM(I672:S672)</f>
        <v>1</v>
      </c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r="673" ht="15.75" customHeight="1">
      <c r="A673" s="14" t="s">
        <v>876</v>
      </c>
      <c r="B673" s="14" t="s">
        <v>46</v>
      </c>
      <c r="C673" s="16"/>
      <c r="D673" s="17"/>
      <c r="E673" s="18"/>
      <c r="F673" s="14"/>
      <c r="G673" s="106"/>
      <c r="H673" s="14"/>
      <c r="I673" s="14"/>
      <c r="J673" s="14"/>
      <c r="K673" s="14"/>
      <c r="L673" s="14"/>
      <c r="M673" s="14"/>
      <c r="N673" s="14">
        <v>1.0</v>
      </c>
      <c r="O673" s="14">
        <v>2.0</v>
      </c>
      <c r="P673" s="14"/>
      <c r="Q673" s="14"/>
      <c r="R673" s="14"/>
      <c r="S673" s="14"/>
      <c r="T673" s="14">
        <f t="shared" si="30"/>
        <v>3</v>
      </c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</row>
    <row r="674" ht="15.75" customHeight="1">
      <c r="A674" s="17" t="s">
        <v>877</v>
      </c>
      <c r="B674" s="17" t="s">
        <v>70</v>
      </c>
      <c r="C674" s="25"/>
      <c r="D674" s="17"/>
      <c r="E674" s="18"/>
      <c r="F674" s="27"/>
      <c r="G674" s="10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14"/>
      <c r="S674" s="19">
        <v>1.0</v>
      </c>
      <c r="T674" s="14">
        <f t="shared" si="30"/>
        <v>1</v>
      </c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r="675" ht="15.75" customHeight="1">
      <c r="A675" s="17" t="s">
        <v>878</v>
      </c>
      <c r="B675" s="17" t="s">
        <v>879</v>
      </c>
      <c r="C675" s="25"/>
      <c r="D675" s="17"/>
      <c r="E675" s="18"/>
      <c r="F675" s="27"/>
      <c r="G675" s="10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14">
        <f t="shared" si="30"/>
        <v>0</v>
      </c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 ht="15.75" customHeight="1">
      <c r="A676" s="17" t="s">
        <v>880</v>
      </c>
      <c r="B676" s="17" t="s">
        <v>107</v>
      </c>
      <c r="C676" s="30" t="s">
        <v>533</v>
      </c>
      <c r="D676" s="17"/>
      <c r="E676" s="18"/>
      <c r="F676" s="17"/>
      <c r="G676" s="10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17">
        <v>1.0</v>
      </c>
      <c r="S676" s="17"/>
      <c r="T676" s="14">
        <f t="shared" si="30"/>
        <v>1</v>
      </c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r="677" ht="15.75" customHeight="1">
      <c r="A677" s="27" t="s">
        <v>881</v>
      </c>
      <c r="B677" s="17" t="s">
        <v>572</v>
      </c>
      <c r="C677" s="25"/>
      <c r="D677" s="47"/>
      <c r="E677" s="48"/>
      <c r="F677" s="27"/>
      <c r="G677" s="107"/>
      <c r="H677" s="27"/>
      <c r="I677" s="27"/>
      <c r="J677" s="27"/>
      <c r="K677" s="27"/>
      <c r="L677" s="27"/>
      <c r="M677" s="27">
        <v>1.0</v>
      </c>
      <c r="N677" s="27">
        <v>6.0</v>
      </c>
      <c r="O677" s="27">
        <v>1.0</v>
      </c>
      <c r="P677" s="27">
        <v>1.0</v>
      </c>
      <c r="Q677" s="27"/>
      <c r="R677" s="17">
        <v>2.0</v>
      </c>
      <c r="S677" s="17"/>
      <c r="T677" s="14">
        <f t="shared" si="30"/>
        <v>11</v>
      </c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 ht="15.75" customHeight="1">
      <c r="A678" s="14" t="s">
        <v>882</v>
      </c>
      <c r="B678" s="19" t="s">
        <v>62</v>
      </c>
      <c r="C678" s="16"/>
      <c r="D678" s="17"/>
      <c r="E678" s="18"/>
      <c r="F678" s="14"/>
      <c r="G678" s="106"/>
      <c r="H678" s="14" t="s">
        <v>657</v>
      </c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>
        <f t="shared" si="30"/>
        <v>0</v>
      </c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</row>
    <row r="679" ht="15.75" customHeight="1">
      <c r="A679" s="14" t="s">
        <v>883</v>
      </c>
      <c r="B679" s="19" t="s">
        <v>119</v>
      </c>
      <c r="C679" s="16"/>
      <c r="D679" s="17"/>
      <c r="E679" s="18"/>
      <c r="F679" s="14"/>
      <c r="G679" s="20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9">
        <v>3.0</v>
      </c>
      <c r="S679" s="19">
        <v>1.0</v>
      </c>
      <c r="T679" s="14">
        <f t="shared" si="30"/>
        <v>4</v>
      </c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</row>
    <row r="680" ht="15.75" customHeight="1">
      <c r="A680" s="27" t="s">
        <v>884</v>
      </c>
      <c r="B680" s="27" t="s">
        <v>46</v>
      </c>
      <c r="C680" s="25"/>
      <c r="D680" s="17"/>
      <c r="E680" s="18"/>
      <c r="F680" s="101"/>
      <c r="G680" s="101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14">
        <f t="shared" si="30"/>
        <v>0</v>
      </c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r="681" ht="15.75" customHeight="1">
      <c r="A681" s="14" t="s">
        <v>885</v>
      </c>
      <c r="B681" s="19" t="s">
        <v>189</v>
      </c>
      <c r="C681" s="16"/>
      <c r="D681" s="17"/>
      <c r="E681" s="18"/>
      <c r="F681" s="14"/>
      <c r="G681" s="20"/>
      <c r="H681" s="14"/>
      <c r="I681" s="14"/>
      <c r="J681" s="14"/>
      <c r="K681" s="14"/>
      <c r="L681" s="14"/>
      <c r="M681" s="14"/>
      <c r="N681" s="14">
        <v>3.0</v>
      </c>
      <c r="O681" s="14">
        <v>1.0</v>
      </c>
      <c r="P681" s="14"/>
      <c r="Q681" s="19">
        <v>1.0</v>
      </c>
      <c r="R681" s="14"/>
      <c r="S681" s="14"/>
      <c r="T681" s="14">
        <f t="shared" si="30"/>
        <v>5</v>
      </c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</row>
    <row r="682" ht="15.75" customHeight="1">
      <c r="A682" s="27" t="s">
        <v>886</v>
      </c>
      <c r="B682" s="17" t="s">
        <v>155</v>
      </c>
      <c r="C682" s="25"/>
      <c r="D682" s="17"/>
      <c r="E682" s="18"/>
      <c r="F682" s="27"/>
      <c r="G682" s="26"/>
      <c r="H682" s="27"/>
      <c r="I682" s="27"/>
      <c r="J682" s="27">
        <v>3.0</v>
      </c>
      <c r="K682" s="27"/>
      <c r="L682" s="27">
        <v>1.0</v>
      </c>
      <c r="M682" s="27"/>
      <c r="N682" s="27">
        <v>1.0</v>
      </c>
      <c r="O682" s="27">
        <v>1.0</v>
      </c>
      <c r="P682" s="27">
        <v>1.0</v>
      </c>
      <c r="Q682" s="27"/>
      <c r="R682" s="27"/>
      <c r="S682" s="27"/>
      <c r="T682" s="14">
        <f t="shared" si="30"/>
        <v>7</v>
      </c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r="683" ht="15.75" customHeight="1">
      <c r="A683" s="14" t="s">
        <v>887</v>
      </c>
      <c r="B683" s="15" t="s">
        <v>471</v>
      </c>
      <c r="C683" s="60"/>
      <c r="D683" s="17"/>
      <c r="E683" s="18"/>
      <c r="F683" s="45"/>
      <c r="G683" s="14" t="s">
        <v>888</v>
      </c>
      <c r="H683" s="14"/>
      <c r="I683" s="14">
        <v>2.0</v>
      </c>
      <c r="J683" s="14">
        <v>4.0</v>
      </c>
      <c r="K683" s="14">
        <v>5.0</v>
      </c>
      <c r="L683" s="14">
        <v>1.0</v>
      </c>
      <c r="M683" s="14">
        <v>3.0</v>
      </c>
      <c r="N683" s="14">
        <v>2.0</v>
      </c>
      <c r="O683" s="14">
        <v>1.0</v>
      </c>
      <c r="P683" s="14"/>
      <c r="Q683" s="14"/>
      <c r="R683" s="14"/>
      <c r="S683" s="14"/>
      <c r="T683" s="14">
        <f t="shared" si="30"/>
        <v>18</v>
      </c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</row>
    <row r="684" ht="15.75" customHeight="1">
      <c r="A684" s="19" t="s">
        <v>889</v>
      </c>
      <c r="B684" s="15" t="s">
        <v>107</v>
      </c>
      <c r="C684" s="61" t="s">
        <v>150</v>
      </c>
      <c r="D684" s="17"/>
      <c r="E684" s="18"/>
      <c r="F684" s="15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9">
        <v>2.0</v>
      </c>
      <c r="T684" s="14">
        <f t="shared" si="30"/>
        <v>2</v>
      </c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</row>
    <row r="685" ht="15.75" customHeight="1">
      <c r="A685" s="17" t="s">
        <v>890</v>
      </c>
      <c r="B685" s="17" t="s">
        <v>125</v>
      </c>
      <c r="C685" s="59"/>
      <c r="D685" s="17"/>
      <c r="E685" s="18"/>
      <c r="F685" s="49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19">
        <v>1.0</v>
      </c>
      <c r="S685" s="19"/>
      <c r="T685" s="14">
        <f t="shared" si="30"/>
        <v>1</v>
      </c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 ht="15.75" customHeight="1">
      <c r="A686" s="17" t="s">
        <v>891</v>
      </c>
      <c r="B686" s="37" t="s">
        <v>214</v>
      </c>
      <c r="C686" s="59"/>
      <c r="D686" s="17"/>
      <c r="E686" s="18"/>
      <c r="F686" s="49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19">
        <v>1.0</v>
      </c>
      <c r="S686" s="19">
        <v>1.0</v>
      </c>
      <c r="T686" s="14">
        <f t="shared" si="30"/>
        <v>2</v>
      </c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r="687" ht="15.75" customHeight="1">
      <c r="A687" s="27" t="s">
        <v>892</v>
      </c>
      <c r="B687" s="49" t="s">
        <v>42</v>
      </c>
      <c r="C687" s="59"/>
      <c r="D687" s="17"/>
      <c r="E687" s="18"/>
      <c r="F687" s="49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14">
        <f t="shared" si="30"/>
        <v>0</v>
      </c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 ht="15.75" customHeight="1">
      <c r="A688" s="19" t="s">
        <v>893</v>
      </c>
      <c r="B688" s="15" t="s">
        <v>42</v>
      </c>
      <c r="C688" s="61" t="s">
        <v>177</v>
      </c>
      <c r="D688" s="17"/>
      <c r="E688" s="18"/>
      <c r="F688" s="15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9">
        <v>1.0</v>
      </c>
      <c r="S688" s="19"/>
      <c r="T688" s="14">
        <f t="shared" si="30"/>
        <v>1</v>
      </c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</row>
    <row r="689" ht="15.75" customHeight="1">
      <c r="A689" s="14" t="s">
        <v>894</v>
      </c>
      <c r="B689" s="15" t="s">
        <v>34</v>
      </c>
      <c r="C689" s="60"/>
      <c r="D689" s="17"/>
      <c r="E689" s="18"/>
      <c r="F689" s="45"/>
      <c r="G689" s="14"/>
      <c r="H689" s="14"/>
      <c r="I689" s="14"/>
      <c r="J689" s="14"/>
      <c r="K689" s="14"/>
      <c r="L689" s="14"/>
      <c r="M689" s="14">
        <v>1.0</v>
      </c>
      <c r="N689" s="14">
        <v>2.0</v>
      </c>
      <c r="O689" s="14"/>
      <c r="P689" s="14"/>
      <c r="Q689" s="14"/>
      <c r="R689" s="19">
        <v>1.0</v>
      </c>
      <c r="S689" s="19"/>
      <c r="T689" s="14">
        <f t="shared" si="30"/>
        <v>4</v>
      </c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</row>
    <row r="690" ht="15.75" customHeight="1">
      <c r="A690" s="27" t="s">
        <v>895</v>
      </c>
      <c r="B690" s="49" t="s">
        <v>38</v>
      </c>
      <c r="C690" s="59"/>
      <c r="D690" s="17"/>
      <c r="E690" s="18"/>
      <c r="F690" s="49"/>
      <c r="G690" s="27"/>
      <c r="H690" s="27"/>
      <c r="I690" s="27"/>
      <c r="J690" s="27"/>
      <c r="K690" s="27"/>
      <c r="L690" s="27"/>
      <c r="M690" s="27"/>
      <c r="N690" s="27">
        <v>1.0</v>
      </c>
      <c r="O690" s="27">
        <v>1.0</v>
      </c>
      <c r="P690" s="27"/>
      <c r="Q690" s="27"/>
      <c r="R690" s="27"/>
      <c r="S690" s="27"/>
      <c r="T690" s="14">
        <f t="shared" si="30"/>
        <v>2</v>
      </c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r="691" ht="15.75" customHeight="1">
      <c r="A691" s="14" t="s">
        <v>896</v>
      </c>
      <c r="B691" s="15" t="s">
        <v>49</v>
      </c>
      <c r="C691" s="60"/>
      <c r="D691" s="17"/>
      <c r="E691" s="18"/>
      <c r="F691" s="45"/>
      <c r="G691" s="14" t="s">
        <v>40</v>
      </c>
      <c r="H691" s="14" t="s">
        <v>91</v>
      </c>
      <c r="I691" s="14"/>
      <c r="J691" s="14"/>
      <c r="K691" s="14">
        <v>3.0</v>
      </c>
      <c r="L691" s="14"/>
      <c r="M691" s="14">
        <v>1.0</v>
      </c>
      <c r="N691" s="14"/>
      <c r="O691" s="14"/>
      <c r="P691" s="14"/>
      <c r="Q691" s="19">
        <v>1.0</v>
      </c>
      <c r="R691" s="14"/>
      <c r="S691" s="14"/>
      <c r="T691" s="14">
        <f t="shared" si="30"/>
        <v>5</v>
      </c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</row>
    <row r="692" ht="15.75" customHeight="1">
      <c r="A692" s="17" t="s">
        <v>897</v>
      </c>
      <c r="B692" s="17" t="s">
        <v>585</v>
      </c>
      <c r="C692" s="25"/>
      <c r="D692" s="47"/>
      <c r="E692" s="48"/>
      <c r="F692" s="27"/>
      <c r="G692" s="26"/>
      <c r="H692" s="27"/>
      <c r="I692" s="27"/>
      <c r="J692" s="27"/>
      <c r="K692" s="27"/>
      <c r="L692" s="27"/>
      <c r="M692" s="27"/>
      <c r="N692" s="27"/>
      <c r="O692" s="27"/>
      <c r="P692" s="27"/>
      <c r="Q692" s="17">
        <v>1.0</v>
      </c>
      <c r="R692" s="19">
        <v>1.0</v>
      </c>
      <c r="S692" s="19"/>
      <c r="T692" s="14">
        <f t="shared" si="30"/>
        <v>2</v>
      </c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r="693" ht="15.75" customHeight="1">
      <c r="A693" s="17" t="s">
        <v>898</v>
      </c>
      <c r="B693" s="17" t="s">
        <v>133</v>
      </c>
      <c r="C693" s="25"/>
      <c r="D693" s="17"/>
      <c r="E693" s="54"/>
      <c r="F693" s="27"/>
      <c r="G693" s="26"/>
      <c r="H693" s="27"/>
      <c r="I693" s="27"/>
      <c r="J693" s="27"/>
      <c r="K693" s="27"/>
      <c r="L693" s="27"/>
      <c r="M693" s="27"/>
      <c r="N693" s="27"/>
      <c r="O693" s="27"/>
      <c r="P693" s="27"/>
      <c r="Q693" s="17">
        <v>1.0</v>
      </c>
      <c r="R693" s="17"/>
      <c r="S693" s="17"/>
      <c r="T693" s="14">
        <f t="shared" si="30"/>
        <v>1</v>
      </c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 ht="15.75" customHeight="1">
      <c r="A694" s="27" t="s">
        <v>899</v>
      </c>
      <c r="B694" s="17" t="s">
        <v>900</v>
      </c>
      <c r="C694" s="25"/>
      <c r="D694" s="17"/>
      <c r="E694" s="18"/>
      <c r="F694" s="27"/>
      <c r="G694" s="26"/>
      <c r="H694" s="27"/>
      <c r="I694" s="27"/>
      <c r="J694" s="27">
        <v>1.0</v>
      </c>
      <c r="K694" s="27"/>
      <c r="L694" s="27"/>
      <c r="M694" s="27"/>
      <c r="N694" s="27"/>
      <c r="O694" s="27"/>
      <c r="P694" s="27"/>
      <c r="Q694" s="17">
        <v>1.0</v>
      </c>
      <c r="R694" s="27"/>
      <c r="S694" s="17">
        <v>1.0</v>
      </c>
      <c r="T694" s="14">
        <f t="shared" si="30"/>
        <v>3</v>
      </c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r="695" ht="15.75" customHeight="1">
      <c r="A695" s="17" t="s">
        <v>901</v>
      </c>
      <c r="B695" s="19" t="s">
        <v>65</v>
      </c>
      <c r="C695" s="24" t="s">
        <v>141</v>
      </c>
      <c r="D695" s="17"/>
      <c r="E695" s="18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>
        <f t="shared" si="30"/>
        <v>0</v>
      </c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</row>
    <row r="696" ht="15.75" customHeight="1">
      <c r="A696" s="19" t="s">
        <v>902</v>
      </c>
      <c r="B696" s="19" t="s">
        <v>62</v>
      </c>
      <c r="C696" s="16"/>
      <c r="D696" s="17"/>
      <c r="E696" s="18"/>
      <c r="F696" s="14"/>
      <c r="G696" s="14"/>
      <c r="H696" s="14"/>
      <c r="I696" s="14"/>
      <c r="J696" s="14"/>
      <c r="K696" s="14"/>
      <c r="L696" s="14"/>
      <c r="M696" s="14"/>
      <c r="N696" s="14"/>
      <c r="O696" s="14">
        <v>1.0</v>
      </c>
      <c r="P696" s="14">
        <v>1.0</v>
      </c>
      <c r="Q696" s="14"/>
      <c r="R696" s="14"/>
      <c r="S696" s="14"/>
      <c r="T696" s="14">
        <f t="shared" si="30"/>
        <v>2</v>
      </c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</row>
    <row r="697" ht="15.75" customHeight="1">
      <c r="A697" s="17" t="s">
        <v>903</v>
      </c>
      <c r="B697" s="17" t="s">
        <v>182</v>
      </c>
      <c r="C697" s="25"/>
      <c r="D697" s="17"/>
      <c r="E697" s="48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17">
        <v>2.0</v>
      </c>
      <c r="R697" s="14"/>
      <c r="S697" s="14"/>
      <c r="T697" s="14">
        <f t="shared" si="30"/>
        <v>2</v>
      </c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 ht="15.75" customHeight="1">
      <c r="A698" s="31" t="s">
        <v>904</v>
      </c>
      <c r="B698" s="17" t="s">
        <v>22</v>
      </c>
      <c r="C698" s="25"/>
      <c r="D698" s="17"/>
      <c r="E698" s="18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14">
        <f t="shared" si="30"/>
        <v>0</v>
      </c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r="699" ht="15.75" customHeight="1">
      <c r="A699" s="14" t="s">
        <v>905</v>
      </c>
      <c r="B699" s="19" t="s">
        <v>361</v>
      </c>
      <c r="C699" s="16"/>
      <c r="D699" s="47"/>
      <c r="E699" s="48"/>
      <c r="F699" s="14"/>
      <c r="G699" s="23" t="s">
        <v>906</v>
      </c>
      <c r="H699" s="14" t="s">
        <v>116</v>
      </c>
      <c r="I699" s="14">
        <v>1.0</v>
      </c>
      <c r="J699" s="14">
        <v>4.0</v>
      </c>
      <c r="K699" s="14"/>
      <c r="L699" s="14">
        <v>1.0</v>
      </c>
      <c r="M699" s="14"/>
      <c r="N699" s="14"/>
      <c r="O699" s="14"/>
      <c r="P699" s="14">
        <v>1.0</v>
      </c>
      <c r="Q699" s="19">
        <v>1.0</v>
      </c>
      <c r="R699" s="14"/>
      <c r="S699" s="14"/>
      <c r="T699" s="14">
        <f t="shared" si="30"/>
        <v>8</v>
      </c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</row>
    <row r="700" ht="15.75" customHeight="1">
      <c r="A700" s="27" t="s">
        <v>907</v>
      </c>
      <c r="B700" s="46" t="s">
        <v>166</v>
      </c>
      <c r="C700" s="25"/>
      <c r="D700" s="47"/>
      <c r="E700" s="48"/>
      <c r="F700" s="27"/>
      <c r="G700" s="27"/>
      <c r="H700" s="27"/>
      <c r="I700" s="27"/>
      <c r="J700" s="27"/>
      <c r="K700" s="27"/>
      <c r="L700" s="27">
        <v>3.0</v>
      </c>
      <c r="M700" s="27">
        <v>4.0</v>
      </c>
      <c r="N700" s="27">
        <v>3.0</v>
      </c>
      <c r="O700" s="27">
        <v>5.0</v>
      </c>
      <c r="P700" s="33">
        <v>1.0</v>
      </c>
      <c r="Q700" s="46">
        <v>1.0</v>
      </c>
      <c r="R700" s="33"/>
      <c r="S700" s="46">
        <v>2.0</v>
      </c>
      <c r="T700" s="34">
        <f t="shared" si="30"/>
        <v>19</v>
      </c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r="701" ht="15.75" customHeight="1">
      <c r="A701" s="19" t="s">
        <v>908</v>
      </c>
      <c r="B701" s="35"/>
      <c r="C701" s="16"/>
      <c r="D701" s="17"/>
      <c r="E701" s="18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35"/>
      <c r="Q701" s="35"/>
      <c r="R701" s="35"/>
      <c r="S701" s="35"/>
      <c r="T701" s="35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</row>
    <row r="702" ht="15.75" customHeight="1">
      <c r="A702" s="27" t="s">
        <v>909</v>
      </c>
      <c r="B702" s="17" t="s">
        <v>291</v>
      </c>
      <c r="C702" s="25"/>
      <c r="D702" s="17"/>
      <c r="E702" s="18"/>
      <c r="F702" s="27"/>
      <c r="G702" s="27"/>
      <c r="H702" s="27"/>
      <c r="I702" s="27"/>
      <c r="J702" s="27"/>
      <c r="K702" s="27"/>
      <c r="L702" s="27"/>
      <c r="M702" s="27"/>
      <c r="N702" s="27"/>
      <c r="O702" s="27">
        <v>6.0</v>
      </c>
      <c r="P702" s="27">
        <v>1.0</v>
      </c>
      <c r="Q702" s="27"/>
      <c r="R702" s="27"/>
      <c r="S702" s="17">
        <v>2.0</v>
      </c>
      <c r="T702" s="14">
        <f t="shared" ref="T702:T709" si="31">SUM(I702:S702)</f>
        <v>9</v>
      </c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r="703" ht="15.75" customHeight="1">
      <c r="A703" s="14" t="s">
        <v>910</v>
      </c>
      <c r="B703" s="19" t="s">
        <v>311</v>
      </c>
      <c r="C703" s="16"/>
      <c r="D703" s="17"/>
      <c r="E703" s="18"/>
      <c r="F703" s="14"/>
      <c r="G703" s="14"/>
      <c r="H703" s="14"/>
      <c r="I703" s="14"/>
      <c r="J703" s="14"/>
      <c r="K703" s="14"/>
      <c r="L703" s="14">
        <v>2.0</v>
      </c>
      <c r="M703" s="14">
        <v>3.0</v>
      </c>
      <c r="N703" s="14">
        <v>1.0</v>
      </c>
      <c r="O703" s="14">
        <v>3.0</v>
      </c>
      <c r="P703" s="14"/>
      <c r="Q703" s="19">
        <v>1.0</v>
      </c>
      <c r="R703" s="14"/>
      <c r="S703" s="19">
        <v>1.0</v>
      </c>
      <c r="T703" s="14">
        <f t="shared" si="31"/>
        <v>11</v>
      </c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</row>
    <row r="704" ht="15.75" customHeight="1">
      <c r="A704" s="23" t="s">
        <v>911</v>
      </c>
      <c r="B704" s="17" t="s">
        <v>22</v>
      </c>
      <c r="C704" s="25"/>
      <c r="D704" s="17"/>
      <c r="E704" s="18"/>
      <c r="F704" s="27"/>
      <c r="G704" s="26"/>
      <c r="H704" s="27"/>
      <c r="I704" s="27"/>
      <c r="J704" s="27"/>
      <c r="K704" s="27"/>
      <c r="L704" s="27"/>
      <c r="M704" s="27">
        <v>2.0</v>
      </c>
      <c r="N704" s="27"/>
      <c r="O704" s="27"/>
      <c r="P704" s="27"/>
      <c r="Q704" s="27"/>
      <c r="R704" s="27"/>
      <c r="S704" s="27"/>
      <c r="T704" s="14">
        <f t="shared" si="31"/>
        <v>2</v>
      </c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r="705" ht="15.75" customHeight="1">
      <c r="A705" s="85" t="s">
        <v>912</v>
      </c>
      <c r="B705" s="19" t="s">
        <v>102</v>
      </c>
      <c r="C705" s="16"/>
      <c r="D705" s="17"/>
      <c r="E705" s="18"/>
      <c r="F705" s="14"/>
      <c r="G705" s="20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>
        <f t="shared" si="31"/>
        <v>0</v>
      </c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</row>
    <row r="706" ht="15.75" customHeight="1">
      <c r="A706" s="14" t="s">
        <v>913</v>
      </c>
      <c r="B706" s="108"/>
      <c r="C706" s="16"/>
      <c r="D706" s="17"/>
      <c r="E706" s="18"/>
      <c r="F706" s="14"/>
      <c r="G706" s="20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>
        <f t="shared" si="31"/>
        <v>0</v>
      </c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</row>
    <row r="707" ht="15.75" customHeight="1">
      <c r="A707" s="14" t="s">
        <v>914</v>
      </c>
      <c r="B707" s="19" t="s">
        <v>129</v>
      </c>
      <c r="C707" s="16"/>
      <c r="D707" s="17"/>
      <c r="E707" s="18"/>
      <c r="F707" s="14"/>
      <c r="G707" s="20"/>
      <c r="H707" s="14"/>
      <c r="I707" s="14"/>
      <c r="J707" s="14"/>
      <c r="K707" s="14"/>
      <c r="L707" s="14"/>
      <c r="M707" s="14">
        <v>1.0</v>
      </c>
      <c r="N707" s="14">
        <v>3.0</v>
      </c>
      <c r="O707" s="14"/>
      <c r="P707" s="14"/>
      <c r="Q707" s="14"/>
      <c r="R707" s="14"/>
      <c r="S707" s="14"/>
      <c r="T707" s="14">
        <f t="shared" si="31"/>
        <v>4</v>
      </c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</row>
    <row r="708" ht="15.75" customHeight="1">
      <c r="A708" s="27" t="s">
        <v>915</v>
      </c>
      <c r="B708" s="27" t="s">
        <v>46</v>
      </c>
      <c r="C708" s="25"/>
      <c r="D708" s="17"/>
      <c r="E708" s="18"/>
      <c r="F708" s="27"/>
      <c r="G708" s="26"/>
      <c r="H708" s="27"/>
      <c r="I708" s="27"/>
      <c r="J708" s="27">
        <v>1.0</v>
      </c>
      <c r="K708" s="27"/>
      <c r="L708" s="27">
        <v>1.0</v>
      </c>
      <c r="M708" s="27"/>
      <c r="N708" s="27"/>
      <c r="O708" s="27"/>
      <c r="P708" s="27"/>
      <c r="Q708" s="27"/>
      <c r="R708" s="27"/>
      <c r="S708" s="27"/>
      <c r="T708" s="14">
        <f t="shared" si="31"/>
        <v>2</v>
      </c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r="709" ht="15.75" customHeight="1">
      <c r="A709" s="14" t="s">
        <v>916</v>
      </c>
      <c r="B709" s="40" t="s">
        <v>716</v>
      </c>
      <c r="C709" s="16"/>
      <c r="D709" s="17"/>
      <c r="E709" s="18"/>
      <c r="F709" s="67"/>
      <c r="G709" s="14" t="s">
        <v>40</v>
      </c>
      <c r="H709" s="14" t="s">
        <v>435</v>
      </c>
      <c r="I709" s="14"/>
      <c r="J709" s="14">
        <v>3.0</v>
      </c>
      <c r="K709" s="14">
        <v>2.0</v>
      </c>
      <c r="L709" s="14">
        <v>1.0</v>
      </c>
      <c r="M709" s="14">
        <v>2.0</v>
      </c>
      <c r="N709" s="14"/>
      <c r="O709" s="14"/>
      <c r="P709" s="14"/>
      <c r="Q709" s="34"/>
      <c r="R709" s="40">
        <v>2.0</v>
      </c>
      <c r="S709" s="40">
        <v>1.0</v>
      </c>
      <c r="T709" s="34">
        <f t="shared" si="31"/>
        <v>11</v>
      </c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</row>
    <row r="710" ht="15.75" customHeight="1">
      <c r="A710" s="17" t="s">
        <v>917</v>
      </c>
      <c r="B710" s="41"/>
      <c r="C710" s="25"/>
      <c r="D710" s="17"/>
      <c r="E710" s="18"/>
      <c r="F710" s="51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41"/>
      <c r="R710" s="41"/>
      <c r="S710" s="41"/>
      <c r="T710" s="41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r="711" ht="15.75" customHeight="1">
      <c r="A711" s="17" t="s">
        <v>918</v>
      </c>
      <c r="B711" s="35"/>
      <c r="C711" s="25"/>
      <c r="D711" s="17"/>
      <c r="E711" s="18"/>
      <c r="F711" s="51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35"/>
      <c r="R711" s="35"/>
      <c r="S711" s="35"/>
      <c r="T711" s="35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 ht="15.75" customHeight="1">
      <c r="A712" s="17" t="s">
        <v>919</v>
      </c>
      <c r="B712" s="17" t="s">
        <v>716</v>
      </c>
      <c r="C712" s="25"/>
      <c r="D712" s="17"/>
      <c r="E712" s="18"/>
      <c r="F712" s="51"/>
      <c r="G712" s="27" t="s">
        <v>40</v>
      </c>
      <c r="H712" s="27" t="s">
        <v>435</v>
      </c>
      <c r="I712" s="27"/>
      <c r="J712" s="27">
        <v>2.0</v>
      </c>
      <c r="K712" s="27">
        <v>1.0</v>
      </c>
      <c r="L712" s="27">
        <v>1.0</v>
      </c>
      <c r="M712" s="27">
        <v>2.0</v>
      </c>
      <c r="N712" s="27"/>
      <c r="O712" s="27"/>
      <c r="P712" s="27"/>
      <c r="Q712" s="27"/>
      <c r="R712" s="27"/>
      <c r="S712" s="27"/>
      <c r="T712" s="14">
        <f t="shared" ref="T712:T725" si="32">SUM(I712:S712)</f>
        <v>6</v>
      </c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r="713" ht="15.75" customHeight="1">
      <c r="A713" s="14" t="s">
        <v>920</v>
      </c>
      <c r="B713" s="19" t="s">
        <v>403</v>
      </c>
      <c r="C713" s="16"/>
      <c r="D713" s="17"/>
      <c r="E713" s="18"/>
      <c r="F713" s="14"/>
      <c r="G713" s="14"/>
      <c r="H713" s="14"/>
      <c r="I713" s="14"/>
      <c r="J713" s="14"/>
      <c r="K713" s="14"/>
      <c r="L713" s="14"/>
      <c r="M713" s="14"/>
      <c r="N713" s="14">
        <v>3.0</v>
      </c>
      <c r="O713" s="14">
        <v>3.0</v>
      </c>
      <c r="P713" s="14"/>
      <c r="Q713" s="14"/>
      <c r="R713" s="19">
        <v>1.0</v>
      </c>
      <c r="S713" s="19"/>
      <c r="T713" s="14">
        <f t="shared" si="32"/>
        <v>7</v>
      </c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</row>
    <row r="714" ht="15.75" customHeight="1">
      <c r="A714" s="27" t="s">
        <v>921</v>
      </c>
      <c r="B714" s="27" t="s">
        <v>83</v>
      </c>
      <c r="C714" s="25"/>
      <c r="D714" s="17"/>
      <c r="E714" s="18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14">
        <f t="shared" si="32"/>
        <v>0</v>
      </c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r="715" ht="15.75" customHeight="1">
      <c r="A715" s="14" t="s">
        <v>922</v>
      </c>
      <c r="B715" s="19" t="s">
        <v>256</v>
      </c>
      <c r="C715" s="16"/>
      <c r="D715" s="17"/>
      <c r="E715" s="18"/>
      <c r="F715" s="14"/>
      <c r="G715" s="14"/>
      <c r="H715" s="14"/>
      <c r="I715" s="14"/>
      <c r="J715" s="14"/>
      <c r="K715" s="14"/>
      <c r="L715" s="14"/>
      <c r="M715" s="14"/>
      <c r="N715" s="14"/>
      <c r="O715" s="14">
        <v>1.0</v>
      </c>
      <c r="P715" s="14">
        <v>1.0</v>
      </c>
      <c r="Q715" s="14"/>
      <c r="R715" s="14"/>
      <c r="S715" s="14"/>
      <c r="T715" s="14">
        <f t="shared" si="32"/>
        <v>2</v>
      </c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</row>
    <row r="716" ht="15.75" customHeight="1">
      <c r="A716" s="27" t="s">
        <v>923</v>
      </c>
      <c r="B716" s="17" t="s">
        <v>51</v>
      </c>
      <c r="C716" s="25"/>
      <c r="D716" s="17"/>
      <c r="E716" s="18"/>
      <c r="F716" s="27"/>
      <c r="G716" s="26"/>
      <c r="H716" s="27"/>
      <c r="I716" s="27"/>
      <c r="J716" s="27"/>
      <c r="K716" s="27"/>
      <c r="L716" s="27"/>
      <c r="M716" s="27"/>
      <c r="N716" s="27">
        <v>1.0</v>
      </c>
      <c r="O716" s="27"/>
      <c r="P716" s="27"/>
      <c r="Q716" s="27"/>
      <c r="R716" s="27"/>
      <c r="S716" s="27"/>
      <c r="T716" s="14">
        <f t="shared" si="32"/>
        <v>1</v>
      </c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r="717" ht="15.75" customHeight="1">
      <c r="A717" s="14" t="s">
        <v>924</v>
      </c>
      <c r="B717" s="15" t="s">
        <v>34</v>
      </c>
      <c r="C717" s="16"/>
      <c r="D717" s="17"/>
      <c r="E717" s="18"/>
      <c r="F717" s="67"/>
      <c r="G717" s="20"/>
      <c r="H717" s="14"/>
      <c r="I717" s="14"/>
      <c r="J717" s="14">
        <v>1.0</v>
      </c>
      <c r="K717" s="14">
        <v>1.0</v>
      </c>
      <c r="L717" s="14"/>
      <c r="M717" s="14">
        <v>1.0</v>
      </c>
      <c r="N717" s="14">
        <v>1.0</v>
      </c>
      <c r="O717" s="14"/>
      <c r="P717" s="14"/>
      <c r="Q717" s="14"/>
      <c r="R717" s="14"/>
      <c r="S717" s="14"/>
      <c r="T717" s="14">
        <f t="shared" si="32"/>
        <v>4</v>
      </c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</row>
    <row r="718" ht="15.75" customHeight="1">
      <c r="A718" s="27" t="s">
        <v>925</v>
      </c>
      <c r="B718" s="17" t="s">
        <v>421</v>
      </c>
      <c r="C718" s="25"/>
      <c r="D718" s="17"/>
      <c r="E718" s="18"/>
      <c r="F718" s="27"/>
      <c r="G718" s="26"/>
      <c r="H718" s="27"/>
      <c r="I718" s="27"/>
      <c r="J718" s="27"/>
      <c r="K718" s="27"/>
      <c r="L718" s="27"/>
      <c r="M718" s="27"/>
      <c r="N718" s="27"/>
      <c r="O718" s="27"/>
      <c r="P718" s="27">
        <v>2.0</v>
      </c>
      <c r="Q718" s="17">
        <v>1.0</v>
      </c>
      <c r="R718" s="17">
        <v>1.0</v>
      </c>
      <c r="S718" s="17"/>
      <c r="T718" s="14">
        <f t="shared" si="32"/>
        <v>4</v>
      </c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r="719" ht="15.75" customHeight="1">
      <c r="A719" s="14" t="s">
        <v>926</v>
      </c>
      <c r="B719" s="19" t="s">
        <v>900</v>
      </c>
      <c r="C719" s="16"/>
      <c r="D719" s="17"/>
      <c r="E719" s="39"/>
      <c r="F719" s="14"/>
      <c r="G719" s="20"/>
      <c r="H719" s="14"/>
      <c r="I719" s="14"/>
      <c r="J719" s="14"/>
      <c r="K719" s="14"/>
      <c r="L719" s="14"/>
      <c r="M719" s="14"/>
      <c r="N719" s="14">
        <v>4.0</v>
      </c>
      <c r="O719" s="14">
        <v>2.0</v>
      </c>
      <c r="P719" s="14">
        <v>2.0</v>
      </c>
      <c r="Q719" s="19">
        <v>1.0</v>
      </c>
      <c r="R719" s="19"/>
      <c r="S719" s="19"/>
      <c r="T719" s="14">
        <f t="shared" si="32"/>
        <v>9</v>
      </c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</row>
    <row r="720" ht="15.75" customHeight="1">
      <c r="A720" s="27" t="s">
        <v>927</v>
      </c>
      <c r="B720" s="27" t="s">
        <v>38</v>
      </c>
      <c r="C720" s="25"/>
      <c r="D720" s="17"/>
      <c r="E720" s="18"/>
      <c r="F720" s="27"/>
      <c r="G720" s="26"/>
      <c r="H720" s="27"/>
      <c r="I720" s="27"/>
      <c r="J720" s="27">
        <v>2.0</v>
      </c>
      <c r="K720" s="27"/>
      <c r="L720" s="27"/>
      <c r="M720" s="27"/>
      <c r="N720" s="27"/>
      <c r="O720" s="27"/>
      <c r="P720" s="27"/>
      <c r="Q720" s="27"/>
      <c r="R720" s="27"/>
      <c r="S720" s="27"/>
      <c r="T720" s="14">
        <f t="shared" si="32"/>
        <v>2</v>
      </c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r="721" ht="15.75" customHeight="1">
      <c r="A721" s="14" t="s">
        <v>928</v>
      </c>
      <c r="B721" s="45" t="s">
        <v>51</v>
      </c>
      <c r="C721" s="60"/>
      <c r="D721" s="17"/>
      <c r="E721" s="48"/>
      <c r="F721" s="45"/>
      <c r="G721" s="20"/>
      <c r="H721" s="14"/>
      <c r="I721" s="14"/>
      <c r="J721" s="14"/>
      <c r="K721" s="14">
        <v>2.0</v>
      </c>
      <c r="L721" s="14">
        <v>1.0</v>
      </c>
      <c r="M721" s="14"/>
      <c r="N721" s="14"/>
      <c r="O721" s="14"/>
      <c r="P721" s="14">
        <v>2.0</v>
      </c>
      <c r="Q721" s="19">
        <v>1.0</v>
      </c>
      <c r="R721" s="14"/>
      <c r="S721" s="14"/>
      <c r="T721" s="14">
        <f t="shared" si="32"/>
        <v>6</v>
      </c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</row>
    <row r="722" ht="15.75" customHeight="1">
      <c r="A722" s="27" t="s">
        <v>929</v>
      </c>
      <c r="B722" s="17" t="s">
        <v>678</v>
      </c>
      <c r="C722" s="25"/>
      <c r="D722" s="17"/>
      <c r="E722" s="18"/>
      <c r="F722" s="27"/>
      <c r="G722" s="23" t="s">
        <v>930</v>
      </c>
      <c r="H722" s="27"/>
      <c r="I722" s="27"/>
      <c r="J722" s="27">
        <v>1.0</v>
      </c>
      <c r="K722" s="27">
        <v>2.0</v>
      </c>
      <c r="L722" s="27">
        <v>1.0</v>
      </c>
      <c r="M722" s="27"/>
      <c r="N722" s="27">
        <v>1.0</v>
      </c>
      <c r="O722" s="27"/>
      <c r="P722" s="27"/>
      <c r="Q722" s="27"/>
      <c r="R722" s="27"/>
      <c r="S722" s="27"/>
      <c r="T722" s="14">
        <f t="shared" si="32"/>
        <v>5</v>
      </c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r="723" ht="15.75" customHeight="1">
      <c r="A723" s="14" t="s">
        <v>931</v>
      </c>
      <c r="B723" s="15" t="s">
        <v>136</v>
      </c>
      <c r="C723" s="60"/>
      <c r="D723" s="17"/>
      <c r="E723" s="18"/>
      <c r="F723" s="45"/>
      <c r="G723" s="20"/>
      <c r="H723" s="14"/>
      <c r="I723" s="14"/>
      <c r="J723" s="14"/>
      <c r="K723" s="14">
        <v>3.0</v>
      </c>
      <c r="L723" s="14">
        <v>2.0</v>
      </c>
      <c r="M723" s="14">
        <v>1.0</v>
      </c>
      <c r="N723" s="14"/>
      <c r="O723" s="14"/>
      <c r="P723" s="14"/>
      <c r="Q723" s="19">
        <v>1.0</v>
      </c>
      <c r="R723" s="14"/>
      <c r="S723" s="19">
        <v>1.0</v>
      </c>
      <c r="T723" s="14">
        <f t="shared" si="32"/>
        <v>8</v>
      </c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</row>
    <row r="724" ht="15.75" customHeight="1">
      <c r="A724" s="19" t="s">
        <v>932</v>
      </c>
      <c r="B724" s="15" t="s">
        <v>42</v>
      </c>
      <c r="C724" s="61" t="s">
        <v>335</v>
      </c>
      <c r="D724" s="17"/>
      <c r="E724" s="54"/>
      <c r="F724" s="15"/>
      <c r="G724" s="20"/>
      <c r="H724" s="14"/>
      <c r="I724" s="14"/>
      <c r="J724" s="14"/>
      <c r="K724" s="14"/>
      <c r="L724" s="14"/>
      <c r="M724" s="14"/>
      <c r="N724" s="14"/>
      <c r="O724" s="14"/>
      <c r="P724" s="14"/>
      <c r="Q724" s="19"/>
      <c r="R724" s="14"/>
      <c r="S724" s="19">
        <v>1.0</v>
      </c>
      <c r="T724" s="14">
        <f t="shared" si="32"/>
        <v>1</v>
      </c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</row>
    <row r="725" ht="15.75" customHeight="1">
      <c r="A725" s="27" t="s">
        <v>933</v>
      </c>
      <c r="B725" s="49" t="s">
        <v>25</v>
      </c>
      <c r="C725" s="59"/>
      <c r="D725" s="17"/>
      <c r="E725" s="48"/>
      <c r="F725" s="36"/>
      <c r="G725" s="26"/>
      <c r="H725" s="27"/>
      <c r="I725" s="27"/>
      <c r="J725" s="27">
        <v>5.0</v>
      </c>
      <c r="K725" s="27">
        <v>4.0</v>
      </c>
      <c r="L725" s="27">
        <v>2.0</v>
      </c>
      <c r="M725" s="27"/>
      <c r="N725" s="27"/>
      <c r="O725" s="27"/>
      <c r="P725" s="27"/>
      <c r="Q725" s="46">
        <v>1.0</v>
      </c>
      <c r="R725" s="33"/>
      <c r="S725" s="33"/>
      <c r="T725" s="34">
        <f t="shared" si="32"/>
        <v>12</v>
      </c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 ht="15.75" customHeight="1">
      <c r="A726" s="19" t="s">
        <v>934</v>
      </c>
      <c r="B726" s="19" t="s">
        <v>60</v>
      </c>
      <c r="C726" s="16"/>
      <c r="D726" s="17"/>
      <c r="E726" s="18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35"/>
      <c r="R726" s="35"/>
      <c r="S726" s="35"/>
      <c r="T726" s="35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</row>
    <row r="727" ht="15.75" customHeight="1">
      <c r="A727" s="14" t="s">
        <v>935</v>
      </c>
      <c r="B727" s="19" t="s">
        <v>87</v>
      </c>
      <c r="C727" s="16"/>
      <c r="D727" s="17"/>
      <c r="E727" s="18"/>
      <c r="F727" s="14"/>
      <c r="G727" s="14"/>
      <c r="H727" s="14"/>
      <c r="I727" s="14"/>
      <c r="J727" s="14"/>
      <c r="K727" s="14"/>
      <c r="L727" s="14"/>
      <c r="M727" s="14"/>
      <c r="N727" s="14">
        <v>2.0</v>
      </c>
      <c r="O727" s="14">
        <v>1.0</v>
      </c>
      <c r="P727" s="14"/>
      <c r="Q727" s="14"/>
      <c r="R727" s="14"/>
      <c r="S727" s="14"/>
      <c r="T727" s="14">
        <f t="shared" ref="T727:T776" si="33">SUM(I727:S727)</f>
        <v>3</v>
      </c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</row>
    <row r="728" ht="15.75" customHeight="1">
      <c r="A728" s="27" t="s">
        <v>936</v>
      </c>
      <c r="B728" s="17" t="s">
        <v>225</v>
      </c>
      <c r="C728" s="25"/>
      <c r="D728" s="17"/>
      <c r="E728" s="18"/>
      <c r="F728" s="27"/>
      <c r="G728" s="27"/>
      <c r="H728" s="27"/>
      <c r="I728" s="27"/>
      <c r="J728" s="27"/>
      <c r="K728" s="27"/>
      <c r="L728" s="27"/>
      <c r="M728" s="27"/>
      <c r="N728" s="27"/>
      <c r="O728" s="27">
        <v>1.0</v>
      </c>
      <c r="P728" s="27"/>
      <c r="Q728" s="27"/>
      <c r="R728" s="27"/>
      <c r="S728" s="27"/>
      <c r="T728" s="14">
        <f t="shared" si="33"/>
        <v>1</v>
      </c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r="729" ht="15.75" customHeight="1">
      <c r="A729" s="19" t="s">
        <v>937</v>
      </c>
      <c r="B729" s="19" t="s">
        <v>42</v>
      </c>
      <c r="C729" s="16"/>
      <c r="D729" s="17"/>
      <c r="E729" s="18"/>
      <c r="F729" s="14"/>
      <c r="G729" s="20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>
        <f t="shared" si="33"/>
        <v>0</v>
      </c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</row>
    <row r="730" ht="15.75" customHeight="1">
      <c r="A730" s="19" t="s">
        <v>938</v>
      </c>
      <c r="B730" s="19" t="s">
        <v>21</v>
      </c>
      <c r="C730" s="24" t="s">
        <v>150</v>
      </c>
      <c r="D730" s="109"/>
      <c r="E730" s="18"/>
      <c r="F730" s="19"/>
      <c r="G730" s="19" t="s">
        <v>40</v>
      </c>
      <c r="H730" s="90">
        <v>45882.0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9">
        <v>1.0</v>
      </c>
      <c r="T730" s="14">
        <f t="shared" si="33"/>
        <v>1</v>
      </c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</row>
    <row r="731" ht="15.75" customHeight="1">
      <c r="A731" s="14" t="s">
        <v>939</v>
      </c>
      <c r="B731" s="19" t="s">
        <v>70</v>
      </c>
      <c r="C731" s="47"/>
      <c r="D731" s="110"/>
      <c r="E731" s="18"/>
      <c r="F731" s="14"/>
      <c r="G731" s="20"/>
      <c r="H731" s="14"/>
      <c r="I731" s="14"/>
      <c r="J731" s="14"/>
      <c r="K731" s="14"/>
      <c r="L731" s="14"/>
      <c r="M731" s="14">
        <v>3.0</v>
      </c>
      <c r="N731" s="14">
        <v>6.0</v>
      </c>
      <c r="O731" s="14">
        <v>2.0</v>
      </c>
      <c r="P731" s="14">
        <v>1.0</v>
      </c>
      <c r="Q731" s="14"/>
      <c r="R731" s="19">
        <v>1.0</v>
      </c>
      <c r="S731" s="19"/>
      <c r="T731" s="14">
        <f t="shared" si="33"/>
        <v>13</v>
      </c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</row>
    <row r="732" ht="15.75" customHeight="1">
      <c r="A732" s="19" t="s">
        <v>940</v>
      </c>
      <c r="B732" s="19" t="s">
        <v>265</v>
      </c>
      <c r="C732" s="111">
        <v>45616.0</v>
      </c>
      <c r="D732" s="17"/>
      <c r="E732" s="18"/>
      <c r="F732" s="19"/>
      <c r="G732" s="20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9">
        <v>1.0</v>
      </c>
      <c r="S732" s="19">
        <v>8.0</v>
      </c>
      <c r="T732" s="14">
        <f t="shared" si="33"/>
        <v>9</v>
      </c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</row>
    <row r="733" ht="15.75" customHeight="1">
      <c r="A733" s="19" t="s">
        <v>941</v>
      </c>
      <c r="B733" s="19" t="s">
        <v>73</v>
      </c>
      <c r="C733" s="111">
        <v>45872.0</v>
      </c>
      <c r="D733" s="110" t="s">
        <v>942</v>
      </c>
      <c r="E733" s="18">
        <v>45938.0</v>
      </c>
      <c r="F733" s="19" t="s">
        <v>74</v>
      </c>
      <c r="G733" s="20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9"/>
      <c r="S733" s="19">
        <v>2.0</v>
      </c>
      <c r="T733" s="14">
        <f t="shared" si="33"/>
        <v>2</v>
      </c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</row>
    <row r="734" ht="15.75" customHeight="1">
      <c r="A734" s="17" t="s">
        <v>943</v>
      </c>
      <c r="B734" s="17" t="s">
        <v>125</v>
      </c>
      <c r="C734" s="25"/>
      <c r="D734" s="17"/>
      <c r="E734" s="18"/>
      <c r="F734" s="27"/>
      <c r="G734" s="26"/>
      <c r="H734" s="27"/>
      <c r="I734" s="27"/>
      <c r="J734" s="27"/>
      <c r="K734" s="27"/>
      <c r="L734" s="27"/>
      <c r="M734" s="27"/>
      <c r="N734" s="27"/>
      <c r="O734" s="27"/>
      <c r="P734" s="27"/>
      <c r="Q734" s="17">
        <v>1.0</v>
      </c>
      <c r="R734" s="14"/>
      <c r="S734" s="19">
        <v>1.0</v>
      </c>
      <c r="T734" s="14">
        <f t="shared" si="33"/>
        <v>2</v>
      </c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r="735" ht="15.75" customHeight="1">
      <c r="A735" s="17" t="s">
        <v>944</v>
      </c>
      <c r="B735" s="17" t="s">
        <v>73</v>
      </c>
      <c r="C735" s="30" t="s">
        <v>32</v>
      </c>
      <c r="D735" s="17"/>
      <c r="E735" s="18"/>
      <c r="F735" s="17" t="s">
        <v>74</v>
      </c>
      <c r="G735" s="26"/>
      <c r="H735" s="27"/>
      <c r="I735" s="27"/>
      <c r="J735" s="27"/>
      <c r="K735" s="27"/>
      <c r="L735" s="27"/>
      <c r="M735" s="27"/>
      <c r="N735" s="27"/>
      <c r="O735" s="27"/>
      <c r="P735" s="27"/>
      <c r="Q735" s="17"/>
      <c r="R735" s="14"/>
      <c r="S735" s="19"/>
      <c r="T735" s="14">
        <f t="shared" si="33"/>
        <v>0</v>
      </c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 ht="15.75" customHeight="1">
      <c r="A736" s="17" t="s">
        <v>945</v>
      </c>
      <c r="B736" s="17" t="s">
        <v>421</v>
      </c>
      <c r="C736" s="30" t="s">
        <v>533</v>
      </c>
      <c r="D736" s="17" t="s">
        <v>946</v>
      </c>
      <c r="E736" s="18">
        <v>45939.0</v>
      </c>
      <c r="F736" s="17"/>
      <c r="G736" s="26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17">
        <v>1.0</v>
      </c>
      <c r="S736" s="17">
        <v>4.0</v>
      </c>
      <c r="T736" s="14">
        <f t="shared" si="33"/>
        <v>5</v>
      </c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r="737" ht="15.75" customHeight="1">
      <c r="A737" s="27" t="s">
        <v>947</v>
      </c>
      <c r="B737" s="17" t="s">
        <v>338</v>
      </c>
      <c r="C737" s="25"/>
      <c r="D737" s="17"/>
      <c r="E737" s="18"/>
      <c r="F737" s="27"/>
      <c r="G737" s="26"/>
      <c r="H737" s="27"/>
      <c r="I737" s="27"/>
      <c r="J737" s="27"/>
      <c r="K737" s="27"/>
      <c r="L737" s="27"/>
      <c r="M737" s="27"/>
      <c r="N737" s="27">
        <v>2.0</v>
      </c>
      <c r="O737" s="27">
        <v>1.0</v>
      </c>
      <c r="P737" s="27"/>
      <c r="Q737" s="27"/>
      <c r="R737" s="27"/>
      <c r="S737" s="17">
        <v>1.0</v>
      </c>
      <c r="T737" s="14">
        <f t="shared" si="33"/>
        <v>4</v>
      </c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 ht="15.75" customHeight="1">
      <c r="A738" s="19" t="s">
        <v>948</v>
      </c>
      <c r="B738" s="19" t="s">
        <v>211</v>
      </c>
      <c r="C738" s="24" t="s">
        <v>150</v>
      </c>
      <c r="D738" s="17"/>
      <c r="E738" s="18"/>
      <c r="F738" s="19"/>
      <c r="G738" s="20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9"/>
      <c r="S738" s="19">
        <v>2.0</v>
      </c>
      <c r="T738" s="14">
        <f t="shared" si="33"/>
        <v>2</v>
      </c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</row>
    <row r="739" ht="15.75" customHeight="1">
      <c r="A739" s="19" t="s">
        <v>949</v>
      </c>
      <c r="B739" s="19" t="s">
        <v>25</v>
      </c>
      <c r="C739" s="24" t="s">
        <v>576</v>
      </c>
      <c r="D739" s="17"/>
      <c r="E739" s="18"/>
      <c r="F739" s="19"/>
      <c r="G739" s="20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9">
        <v>1.0</v>
      </c>
      <c r="S739" s="19"/>
      <c r="T739" s="14">
        <f t="shared" si="33"/>
        <v>1</v>
      </c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</row>
    <row r="740" ht="15.75" customHeight="1">
      <c r="A740" s="19" t="s">
        <v>950</v>
      </c>
      <c r="B740" s="19" t="s">
        <v>85</v>
      </c>
      <c r="C740" s="16"/>
      <c r="D740" s="17"/>
      <c r="E740" s="18"/>
      <c r="F740" s="14"/>
      <c r="G740" s="20"/>
      <c r="H740" s="14"/>
      <c r="I740" s="14"/>
      <c r="J740" s="14"/>
      <c r="K740" s="14"/>
      <c r="L740" s="14"/>
      <c r="M740" s="14"/>
      <c r="N740" s="14">
        <v>4.0</v>
      </c>
      <c r="O740" s="14">
        <v>2.0</v>
      </c>
      <c r="P740" s="14">
        <v>1.0</v>
      </c>
      <c r="Q740" s="14"/>
      <c r="R740" s="19">
        <v>1.0</v>
      </c>
      <c r="S740" s="14"/>
      <c r="T740" s="14">
        <f t="shared" si="33"/>
        <v>8</v>
      </c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</row>
    <row r="741" ht="15.75" customHeight="1">
      <c r="A741" s="27" t="s">
        <v>951</v>
      </c>
      <c r="B741" s="27" t="s">
        <v>107</v>
      </c>
      <c r="C741" s="25"/>
      <c r="D741" s="17"/>
      <c r="E741" s="18"/>
      <c r="F741" s="27"/>
      <c r="G741" s="26"/>
      <c r="H741" s="27"/>
      <c r="I741" s="27"/>
      <c r="J741" s="27"/>
      <c r="K741" s="27"/>
      <c r="L741" s="27"/>
      <c r="M741" s="27"/>
      <c r="N741" s="27"/>
      <c r="O741" s="27">
        <v>2.0</v>
      </c>
      <c r="P741" s="27">
        <v>2.0</v>
      </c>
      <c r="Q741" s="27"/>
      <c r="R741" s="27"/>
      <c r="S741" s="27"/>
      <c r="T741" s="14">
        <f t="shared" si="33"/>
        <v>4</v>
      </c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 ht="15.75" customHeight="1">
      <c r="A742" s="19" t="s">
        <v>952</v>
      </c>
      <c r="B742" s="19" t="s">
        <v>85</v>
      </c>
      <c r="C742" s="30" t="s">
        <v>953</v>
      </c>
      <c r="D742" s="17"/>
      <c r="E742" s="39"/>
      <c r="F742" s="19"/>
      <c r="G742" s="20"/>
      <c r="H742" s="14"/>
      <c r="I742" s="14"/>
      <c r="J742" s="14"/>
      <c r="K742" s="14"/>
      <c r="L742" s="14"/>
      <c r="M742" s="14"/>
      <c r="N742" s="14"/>
      <c r="O742" s="14"/>
      <c r="P742" s="14"/>
      <c r="Q742" s="19">
        <v>1.0</v>
      </c>
      <c r="R742" s="14"/>
      <c r="S742" s="14"/>
      <c r="T742" s="14">
        <f t="shared" si="33"/>
        <v>1</v>
      </c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</row>
    <row r="743" ht="15.75" customHeight="1">
      <c r="A743" s="14" t="s">
        <v>954</v>
      </c>
      <c r="B743" s="19" t="s">
        <v>107</v>
      </c>
      <c r="C743" s="16"/>
      <c r="D743" s="17"/>
      <c r="E743" s="18"/>
      <c r="F743" s="14"/>
      <c r="G743" s="20"/>
      <c r="H743" s="14"/>
      <c r="I743" s="14"/>
      <c r="J743" s="14"/>
      <c r="K743" s="14"/>
      <c r="L743" s="14"/>
      <c r="M743" s="14">
        <v>3.0</v>
      </c>
      <c r="N743" s="14">
        <v>1.0</v>
      </c>
      <c r="O743" s="14"/>
      <c r="P743" s="14"/>
      <c r="Q743" s="14"/>
      <c r="R743" s="14"/>
      <c r="S743" s="19">
        <v>1.0</v>
      </c>
      <c r="T743" s="14">
        <f t="shared" si="33"/>
        <v>5</v>
      </c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</row>
    <row r="744" ht="15.75" customHeight="1">
      <c r="A744" s="17" t="s">
        <v>955</v>
      </c>
      <c r="B744" s="27" t="s">
        <v>580</v>
      </c>
      <c r="C744" s="25"/>
      <c r="D744" s="17"/>
      <c r="E744" s="18"/>
      <c r="F744" s="27"/>
      <c r="G744" s="26"/>
      <c r="H744" s="27" t="s">
        <v>621</v>
      </c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14">
        <f t="shared" si="33"/>
        <v>0</v>
      </c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r="745" ht="15.75" customHeight="1">
      <c r="A745" s="14" t="s">
        <v>956</v>
      </c>
      <c r="B745" s="14" t="s">
        <v>580</v>
      </c>
      <c r="C745" s="16"/>
      <c r="D745" s="17"/>
      <c r="E745" s="18"/>
      <c r="F745" s="14"/>
      <c r="G745" s="20"/>
      <c r="H745" s="14" t="s">
        <v>621</v>
      </c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>
        <f t="shared" si="33"/>
        <v>0</v>
      </c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</row>
    <row r="746" ht="15.75" customHeight="1">
      <c r="A746" s="27" t="s">
        <v>957</v>
      </c>
      <c r="B746" s="27" t="s">
        <v>580</v>
      </c>
      <c r="C746" s="25"/>
      <c r="D746" s="17"/>
      <c r="E746" s="18"/>
      <c r="F746" s="27"/>
      <c r="G746" s="26"/>
      <c r="H746" s="27" t="s">
        <v>621</v>
      </c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14">
        <f t="shared" si="33"/>
        <v>0</v>
      </c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r="747" ht="15.75" customHeight="1">
      <c r="A747" s="14" t="s">
        <v>958</v>
      </c>
      <c r="B747" s="14" t="s">
        <v>107</v>
      </c>
      <c r="C747" s="16"/>
      <c r="D747" s="17"/>
      <c r="E747" s="18"/>
      <c r="F747" s="14"/>
      <c r="G747" s="20"/>
      <c r="H747" s="14"/>
      <c r="I747" s="14"/>
      <c r="J747" s="14"/>
      <c r="K747" s="14"/>
      <c r="L747" s="14"/>
      <c r="M747" s="14"/>
      <c r="N747" s="14">
        <v>4.0</v>
      </c>
      <c r="O747" s="14">
        <v>1.0</v>
      </c>
      <c r="P747" s="14"/>
      <c r="Q747" s="14"/>
      <c r="R747" s="14"/>
      <c r="S747" s="14"/>
      <c r="T747" s="14">
        <f t="shared" si="33"/>
        <v>5</v>
      </c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</row>
    <row r="748" ht="15.75" customHeight="1">
      <c r="A748" s="19" t="s">
        <v>959</v>
      </c>
      <c r="B748" s="19" t="s">
        <v>73</v>
      </c>
      <c r="C748" s="24" t="s">
        <v>356</v>
      </c>
      <c r="D748" s="17"/>
      <c r="E748" s="18"/>
      <c r="F748" s="19" t="s">
        <v>74</v>
      </c>
      <c r="G748" s="20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>
        <f t="shared" si="33"/>
        <v>0</v>
      </c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</row>
    <row r="749" ht="15.75" customHeight="1">
      <c r="A749" s="27" t="s">
        <v>960</v>
      </c>
      <c r="B749" s="17" t="s">
        <v>21</v>
      </c>
      <c r="C749" s="25"/>
      <c r="D749" s="17"/>
      <c r="E749" s="18"/>
      <c r="F749" s="27"/>
      <c r="G749" s="26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14">
        <f t="shared" si="33"/>
        <v>0</v>
      </c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 ht="15.75" customHeight="1">
      <c r="A750" s="14" t="s">
        <v>961</v>
      </c>
      <c r="B750" s="19" t="s">
        <v>55</v>
      </c>
      <c r="C750" s="16"/>
      <c r="D750" s="17"/>
      <c r="E750" s="18"/>
      <c r="F750" s="14"/>
      <c r="G750" s="20"/>
      <c r="H750" s="14"/>
      <c r="I750" s="14"/>
      <c r="J750" s="14">
        <v>3.0</v>
      </c>
      <c r="K750" s="14"/>
      <c r="L750" s="14">
        <v>1.0</v>
      </c>
      <c r="M750" s="14"/>
      <c r="N750" s="14">
        <v>1.0</v>
      </c>
      <c r="O750" s="14"/>
      <c r="P750" s="14"/>
      <c r="Q750" s="14"/>
      <c r="R750" s="14"/>
      <c r="S750" s="19">
        <v>3.0</v>
      </c>
      <c r="T750" s="14">
        <f t="shared" si="33"/>
        <v>8</v>
      </c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</row>
    <row r="751" ht="15.75" customHeight="1">
      <c r="A751" s="27" t="s">
        <v>962</v>
      </c>
      <c r="B751" s="27" t="s">
        <v>451</v>
      </c>
      <c r="C751" s="25"/>
      <c r="D751" s="17"/>
      <c r="E751" s="18"/>
      <c r="F751" s="27"/>
      <c r="G751" s="26"/>
      <c r="H751" s="27"/>
      <c r="I751" s="27"/>
      <c r="J751" s="27"/>
      <c r="K751" s="27"/>
      <c r="L751" s="27"/>
      <c r="M751" s="27">
        <v>2.0</v>
      </c>
      <c r="N751" s="27"/>
      <c r="O751" s="27">
        <v>1.0</v>
      </c>
      <c r="P751" s="27"/>
      <c r="Q751" s="27"/>
      <c r="R751" s="27"/>
      <c r="S751" s="27"/>
      <c r="T751" s="14">
        <f t="shared" si="33"/>
        <v>3</v>
      </c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 ht="15.75" customHeight="1">
      <c r="A752" s="19" t="s">
        <v>963</v>
      </c>
      <c r="B752" s="19" t="s">
        <v>234</v>
      </c>
      <c r="C752" s="16"/>
      <c r="D752" s="17"/>
      <c r="E752" s="18"/>
      <c r="F752" s="14"/>
      <c r="G752" s="20"/>
      <c r="H752" s="14"/>
      <c r="I752" s="14"/>
      <c r="J752" s="14"/>
      <c r="K752" s="14">
        <v>3.0</v>
      </c>
      <c r="L752" s="14">
        <v>2.0</v>
      </c>
      <c r="M752" s="14">
        <v>1.0</v>
      </c>
      <c r="N752" s="14">
        <v>2.0</v>
      </c>
      <c r="O752" s="14"/>
      <c r="P752" s="14"/>
      <c r="Q752" s="14"/>
      <c r="R752" s="19">
        <v>1.0</v>
      </c>
      <c r="S752" s="19"/>
      <c r="T752" s="14">
        <f t="shared" si="33"/>
        <v>9</v>
      </c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</row>
    <row r="753" ht="15.75" customHeight="1">
      <c r="A753" s="27" t="s">
        <v>964</v>
      </c>
      <c r="B753" s="17" t="s">
        <v>532</v>
      </c>
      <c r="C753" s="25"/>
      <c r="D753" s="17"/>
      <c r="E753" s="48"/>
      <c r="F753" s="27"/>
      <c r="G753" s="26"/>
      <c r="H753" s="27"/>
      <c r="I753" s="27"/>
      <c r="J753" s="27"/>
      <c r="K753" s="27"/>
      <c r="L753" s="27"/>
      <c r="M753" s="27"/>
      <c r="N753" s="27"/>
      <c r="O753" s="27"/>
      <c r="P753" s="27">
        <v>1.0</v>
      </c>
      <c r="Q753" s="17">
        <v>3.0</v>
      </c>
      <c r="R753" s="17">
        <v>1.0</v>
      </c>
      <c r="S753" s="17"/>
      <c r="T753" s="14">
        <f t="shared" si="33"/>
        <v>5</v>
      </c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 ht="15.75" customHeight="1">
      <c r="A754" s="17" t="s">
        <v>965</v>
      </c>
      <c r="B754" s="17" t="s">
        <v>187</v>
      </c>
      <c r="C754" s="30" t="s">
        <v>533</v>
      </c>
      <c r="D754" s="17"/>
      <c r="E754" s="48"/>
      <c r="F754" s="17"/>
      <c r="G754" s="26"/>
      <c r="H754" s="27"/>
      <c r="I754" s="27"/>
      <c r="J754" s="27"/>
      <c r="K754" s="27"/>
      <c r="L754" s="27"/>
      <c r="M754" s="27"/>
      <c r="N754" s="27"/>
      <c r="O754" s="27"/>
      <c r="P754" s="27"/>
      <c r="Q754" s="17"/>
      <c r="R754" s="17">
        <v>5.0</v>
      </c>
      <c r="S754" s="17">
        <v>1.0</v>
      </c>
      <c r="T754" s="14">
        <f t="shared" si="33"/>
        <v>6</v>
      </c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r="755" ht="15.75" customHeight="1">
      <c r="A755" s="14" t="s">
        <v>966</v>
      </c>
      <c r="B755" s="19" t="s">
        <v>176</v>
      </c>
      <c r="C755" s="16"/>
      <c r="D755" s="47"/>
      <c r="E755" s="18"/>
      <c r="F755" s="14"/>
      <c r="G755" s="20"/>
      <c r="H755" s="14"/>
      <c r="I755" s="14"/>
      <c r="J755" s="14"/>
      <c r="K755" s="14"/>
      <c r="L755" s="14"/>
      <c r="M755" s="14"/>
      <c r="N755" s="14">
        <v>4.0</v>
      </c>
      <c r="O755" s="14">
        <v>2.0</v>
      </c>
      <c r="P755" s="14">
        <v>1.0</v>
      </c>
      <c r="Q755" s="14"/>
      <c r="R755" s="19">
        <v>1.0</v>
      </c>
      <c r="S755" s="19">
        <v>2.0</v>
      </c>
      <c r="T755" s="14">
        <f t="shared" si="33"/>
        <v>10</v>
      </c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</row>
    <row r="756" ht="15.75" customHeight="1">
      <c r="A756" s="27" t="s">
        <v>967</v>
      </c>
      <c r="B756" s="27" t="s">
        <v>107</v>
      </c>
      <c r="C756" s="25"/>
      <c r="D756" s="17"/>
      <c r="E756" s="18"/>
      <c r="F756" s="27"/>
      <c r="G756" s="26"/>
      <c r="H756" s="27"/>
      <c r="I756" s="27"/>
      <c r="J756" s="27"/>
      <c r="K756" s="27"/>
      <c r="L756" s="27"/>
      <c r="M756" s="27">
        <v>1.0</v>
      </c>
      <c r="N756" s="27"/>
      <c r="O756" s="27">
        <v>1.0</v>
      </c>
      <c r="P756" s="27"/>
      <c r="Q756" s="27"/>
      <c r="R756" s="27"/>
      <c r="S756" s="27"/>
      <c r="T756" s="14">
        <f t="shared" si="33"/>
        <v>2</v>
      </c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r="757" ht="15.75" customHeight="1">
      <c r="A757" s="14" t="s">
        <v>968</v>
      </c>
      <c r="B757" s="19" t="s">
        <v>234</v>
      </c>
      <c r="C757" s="16"/>
      <c r="D757" s="47"/>
      <c r="E757" s="48"/>
      <c r="F757" s="14"/>
      <c r="G757" s="20"/>
      <c r="H757" s="14"/>
      <c r="I757" s="14"/>
      <c r="J757" s="14"/>
      <c r="K757" s="14"/>
      <c r="L757" s="14">
        <v>1.0</v>
      </c>
      <c r="M757" s="14">
        <v>3.0</v>
      </c>
      <c r="N757" s="14">
        <v>1.0</v>
      </c>
      <c r="O757" s="14">
        <v>2.0</v>
      </c>
      <c r="P757" s="14"/>
      <c r="Q757" s="19">
        <v>1.0</v>
      </c>
      <c r="R757" s="14"/>
      <c r="S757" s="14"/>
      <c r="T757" s="14">
        <f t="shared" si="33"/>
        <v>8</v>
      </c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</row>
    <row r="758" ht="15.75" customHeight="1">
      <c r="A758" s="17" t="s">
        <v>969</v>
      </c>
      <c r="B758" s="17" t="s">
        <v>204</v>
      </c>
      <c r="C758" s="25"/>
      <c r="D758" s="17"/>
      <c r="E758" s="18"/>
      <c r="F758" s="51"/>
      <c r="G758" s="26"/>
      <c r="H758" s="27"/>
      <c r="I758" s="27"/>
      <c r="J758" s="27">
        <v>3.0</v>
      </c>
      <c r="K758" s="27">
        <v>1.0</v>
      </c>
      <c r="L758" s="27">
        <v>2.0</v>
      </c>
      <c r="M758" s="27">
        <v>1.0</v>
      </c>
      <c r="N758" s="27"/>
      <c r="O758" s="27"/>
      <c r="P758" s="27"/>
      <c r="Q758" s="27"/>
      <c r="R758" s="27"/>
      <c r="S758" s="27"/>
      <c r="T758" s="14">
        <f t="shared" si="33"/>
        <v>7</v>
      </c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r="759" ht="15.75" customHeight="1">
      <c r="A759" s="45" t="s">
        <v>970</v>
      </c>
      <c r="B759" s="19" t="s">
        <v>62</v>
      </c>
      <c r="C759" s="16"/>
      <c r="D759" s="17"/>
      <c r="E759" s="18"/>
      <c r="F759" s="14"/>
      <c r="G759" s="14"/>
      <c r="H759" s="14"/>
      <c r="I759" s="14"/>
      <c r="J759" s="14"/>
      <c r="K759" s="14"/>
      <c r="L759" s="14"/>
      <c r="M759" s="14"/>
      <c r="N759" s="14">
        <v>1.0</v>
      </c>
      <c r="O759" s="14">
        <v>1.0</v>
      </c>
      <c r="P759" s="14">
        <v>1.0</v>
      </c>
      <c r="Q759" s="14"/>
      <c r="R759" s="14"/>
      <c r="S759" s="14"/>
      <c r="T759" s="14">
        <f t="shared" si="33"/>
        <v>3</v>
      </c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</row>
    <row r="760" ht="15.75" customHeight="1">
      <c r="A760" s="49" t="s">
        <v>971</v>
      </c>
      <c r="B760" s="17" t="s">
        <v>182</v>
      </c>
      <c r="C760" s="25"/>
      <c r="D760" s="17"/>
      <c r="E760" s="48"/>
      <c r="F760" s="27"/>
      <c r="G760" s="27"/>
      <c r="H760" s="27"/>
      <c r="I760" s="27"/>
      <c r="J760" s="27"/>
      <c r="K760" s="27"/>
      <c r="L760" s="27">
        <v>2.0</v>
      </c>
      <c r="M760" s="27"/>
      <c r="N760" s="27"/>
      <c r="O760" s="27"/>
      <c r="P760" s="27"/>
      <c r="Q760" s="27"/>
      <c r="R760" s="17">
        <v>1.0</v>
      </c>
      <c r="S760" s="17"/>
      <c r="T760" s="14">
        <f t="shared" si="33"/>
        <v>3</v>
      </c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r="761" ht="15.75" customHeight="1">
      <c r="A761" s="37" t="s">
        <v>972</v>
      </c>
      <c r="B761" s="17" t="s">
        <v>73</v>
      </c>
      <c r="C761" s="30" t="s">
        <v>309</v>
      </c>
      <c r="D761" s="17"/>
      <c r="E761" s="48"/>
      <c r="F761" s="17" t="s">
        <v>74</v>
      </c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17"/>
      <c r="S761" s="17"/>
      <c r="T761" s="14">
        <f t="shared" si="33"/>
        <v>0</v>
      </c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 ht="15.75" customHeight="1">
      <c r="A762" s="45" t="s">
        <v>973</v>
      </c>
      <c r="B762" s="19" t="s">
        <v>176</v>
      </c>
      <c r="C762" s="16"/>
      <c r="D762" s="17"/>
      <c r="E762" s="18"/>
      <c r="F762" s="14"/>
      <c r="G762" s="14"/>
      <c r="H762" s="14"/>
      <c r="I762" s="14"/>
      <c r="J762" s="14"/>
      <c r="K762" s="14"/>
      <c r="L762" s="14"/>
      <c r="M762" s="14"/>
      <c r="N762" s="14"/>
      <c r="O762" s="14">
        <v>2.0</v>
      </c>
      <c r="P762" s="14">
        <v>1.0</v>
      </c>
      <c r="Q762" s="14"/>
      <c r="R762" s="14"/>
      <c r="S762" s="14"/>
      <c r="T762" s="14">
        <f t="shared" si="33"/>
        <v>3</v>
      </c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</row>
    <row r="763" ht="15.75" customHeight="1">
      <c r="A763" s="14" t="s">
        <v>974</v>
      </c>
      <c r="B763" s="17" t="s">
        <v>25</v>
      </c>
      <c r="C763" s="30" t="s">
        <v>222</v>
      </c>
      <c r="D763" s="17"/>
      <c r="E763" s="18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17"/>
      <c r="R763" s="27"/>
      <c r="S763" s="27"/>
      <c r="T763" s="14">
        <f t="shared" si="33"/>
        <v>0</v>
      </c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 ht="15.75" customHeight="1">
      <c r="A764" s="27" t="s">
        <v>975</v>
      </c>
      <c r="B764" s="17" t="s">
        <v>451</v>
      </c>
      <c r="C764" s="25"/>
      <c r="D764" s="17"/>
      <c r="E764" s="18"/>
      <c r="F764" s="27"/>
      <c r="G764" s="27"/>
      <c r="H764" s="27"/>
      <c r="I764" s="27"/>
      <c r="J764" s="27"/>
      <c r="K764" s="27"/>
      <c r="L764" s="27"/>
      <c r="M764" s="27"/>
      <c r="N764" s="27"/>
      <c r="O764" s="27">
        <v>3.0</v>
      </c>
      <c r="P764" s="27"/>
      <c r="Q764" s="17">
        <v>1.0</v>
      </c>
      <c r="R764" s="17">
        <v>1.0</v>
      </c>
      <c r="S764" s="17">
        <v>1.0</v>
      </c>
      <c r="T764" s="14">
        <f t="shared" si="33"/>
        <v>6</v>
      </c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r="765" ht="15.75" customHeight="1">
      <c r="A765" s="14" t="s">
        <v>976</v>
      </c>
      <c r="B765" s="19" t="s">
        <v>562</v>
      </c>
      <c r="C765" s="16"/>
      <c r="D765" s="17"/>
      <c r="E765" s="18"/>
      <c r="F765" s="67"/>
      <c r="G765" s="14"/>
      <c r="H765" s="14"/>
      <c r="I765" s="14"/>
      <c r="J765" s="14"/>
      <c r="K765" s="14"/>
      <c r="L765" s="14">
        <v>2.0</v>
      </c>
      <c r="M765" s="14"/>
      <c r="N765" s="14">
        <v>2.0</v>
      </c>
      <c r="O765" s="14">
        <v>2.0</v>
      </c>
      <c r="P765" s="14">
        <v>1.0</v>
      </c>
      <c r="Q765" s="14"/>
      <c r="R765" s="14"/>
      <c r="S765" s="14"/>
      <c r="T765" s="14">
        <f t="shared" si="33"/>
        <v>7</v>
      </c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</row>
    <row r="766" ht="15.75" customHeight="1">
      <c r="A766" s="27" t="s">
        <v>977</v>
      </c>
      <c r="B766" s="17" t="s">
        <v>46</v>
      </c>
      <c r="C766" s="25"/>
      <c r="D766" s="110"/>
      <c r="E766" s="18"/>
      <c r="F766" s="27"/>
      <c r="G766" s="27"/>
      <c r="H766" s="27"/>
      <c r="I766" s="27"/>
      <c r="J766" s="27"/>
      <c r="K766" s="27"/>
      <c r="L766" s="27"/>
      <c r="M766" s="27"/>
      <c r="N766" s="27">
        <v>5.0</v>
      </c>
      <c r="O766" s="27">
        <v>3.0</v>
      </c>
      <c r="P766" s="27">
        <v>1.0</v>
      </c>
      <c r="Q766" s="27"/>
      <c r="R766" s="17">
        <v>1.0</v>
      </c>
      <c r="S766" s="17"/>
      <c r="T766" s="14">
        <f t="shared" si="33"/>
        <v>10</v>
      </c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r="767" ht="15.75" customHeight="1">
      <c r="A767" s="17" t="s">
        <v>978</v>
      </c>
      <c r="B767" s="17" t="s">
        <v>778</v>
      </c>
      <c r="C767" s="25"/>
      <c r="D767" s="17"/>
      <c r="E767" s="18"/>
      <c r="F767" s="27"/>
      <c r="G767" s="26"/>
      <c r="H767" s="27"/>
      <c r="I767" s="27"/>
      <c r="J767" s="27"/>
      <c r="K767" s="27"/>
      <c r="L767" s="27"/>
      <c r="M767" s="27">
        <v>5.0</v>
      </c>
      <c r="N767" s="27">
        <v>3.0</v>
      </c>
      <c r="O767" s="27">
        <v>4.0</v>
      </c>
      <c r="P767" s="27">
        <v>2.0</v>
      </c>
      <c r="Q767" s="17">
        <v>1.0</v>
      </c>
      <c r="R767" s="17">
        <v>2.0</v>
      </c>
      <c r="S767" s="17">
        <v>1.0</v>
      </c>
      <c r="T767" s="14">
        <f t="shared" si="33"/>
        <v>18</v>
      </c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 ht="15.75" customHeight="1">
      <c r="A768" s="14" t="s">
        <v>979</v>
      </c>
      <c r="B768" s="19" t="s">
        <v>155</v>
      </c>
      <c r="C768" s="16"/>
      <c r="D768" s="17"/>
      <c r="E768" s="18"/>
      <c r="F768" s="14"/>
      <c r="G768" s="20"/>
      <c r="H768" s="14"/>
      <c r="I768" s="14"/>
      <c r="J768" s="14"/>
      <c r="K768" s="14"/>
      <c r="L768" s="14"/>
      <c r="M768" s="14">
        <v>4.0</v>
      </c>
      <c r="N768" s="14">
        <v>1.0</v>
      </c>
      <c r="O768" s="14">
        <v>1.0</v>
      </c>
      <c r="P768" s="14">
        <v>1.0</v>
      </c>
      <c r="Q768" s="14"/>
      <c r="R768" s="14"/>
      <c r="S768" s="14"/>
      <c r="T768" s="14">
        <f t="shared" si="33"/>
        <v>7</v>
      </c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</row>
    <row r="769" ht="15.75" customHeight="1">
      <c r="A769" s="27" t="s">
        <v>980</v>
      </c>
      <c r="B769" s="27" t="s">
        <v>256</v>
      </c>
      <c r="C769" s="25"/>
      <c r="D769" s="17"/>
      <c r="E769" s="18"/>
      <c r="F769" s="27"/>
      <c r="G769" s="26"/>
      <c r="H769" s="27"/>
      <c r="I769" s="27"/>
      <c r="J769" s="27"/>
      <c r="K769" s="27"/>
      <c r="L769" s="27">
        <v>1.0</v>
      </c>
      <c r="M769" s="27"/>
      <c r="N769" s="27"/>
      <c r="O769" s="27"/>
      <c r="P769" s="27"/>
      <c r="Q769" s="27"/>
      <c r="R769" s="27"/>
      <c r="S769" s="27"/>
      <c r="T769" s="14">
        <f t="shared" si="33"/>
        <v>1</v>
      </c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 ht="15.75" customHeight="1">
      <c r="A770" s="19" t="s">
        <v>981</v>
      </c>
      <c r="B770" s="19" t="s">
        <v>535</v>
      </c>
      <c r="C770" s="16"/>
      <c r="D770" s="17"/>
      <c r="E770" s="18"/>
      <c r="F770" s="14"/>
      <c r="G770" s="14" t="s">
        <v>40</v>
      </c>
      <c r="H770" s="14" t="s">
        <v>485</v>
      </c>
      <c r="I770" s="14">
        <v>1.0</v>
      </c>
      <c r="J770" s="14">
        <v>1.0</v>
      </c>
      <c r="K770" s="14"/>
      <c r="L770" s="14"/>
      <c r="M770" s="14"/>
      <c r="N770" s="14"/>
      <c r="O770" s="14"/>
      <c r="P770" s="14"/>
      <c r="Q770" s="19">
        <v>1.0</v>
      </c>
      <c r="R770" s="14"/>
      <c r="S770" s="14"/>
      <c r="T770" s="14">
        <f t="shared" si="33"/>
        <v>3</v>
      </c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</row>
    <row r="771" ht="15.75" customHeight="1">
      <c r="A771" s="14" t="s">
        <v>982</v>
      </c>
      <c r="B771" s="45" t="s">
        <v>781</v>
      </c>
      <c r="C771" s="60"/>
      <c r="D771" s="17"/>
      <c r="E771" s="18"/>
      <c r="F771" s="45"/>
      <c r="G771" s="14"/>
      <c r="H771" s="14"/>
      <c r="I771" s="14"/>
      <c r="J771" s="14"/>
      <c r="K771" s="14"/>
      <c r="L771" s="14"/>
      <c r="M771" s="14"/>
      <c r="N771" s="14"/>
      <c r="O771" s="14">
        <v>2.0</v>
      </c>
      <c r="P771" s="14">
        <v>1.0</v>
      </c>
      <c r="Q771" s="19">
        <v>1.0</v>
      </c>
      <c r="R771" s="14"/>
      <c r="S771" s="14"/>
      <c r="T771" s="14">
        <f t="shared" si="33"/>
        <v>4</v>
      </c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</row>
    <row r="772" ht="15.75" customHeight="1">
      <c r="A772" s="27" t="s">
        <v>983</v>
      </c>
      <c r="B772" s="37" t="s">
        <v>279</v>
      </c>
      <c r="C772" s="59"/>
      <c r="D772" s="17"/>
      <c r="E772" s="18"/>
      <c r="F772" s="49"/>
      <c r="G772" s="27"/>
      <c r="H772" s="27"/>
      <c r="I772" s="27"/>
      <c r="J772" s="27"/>
      <c r="K772" s="27"/>
      <c r="L772" s="27"/>
      <c r="M772" s="27"/>
      <c r="N772" s="27">
        <v>11.0</v>
      </c>
      <c r="O772" s="27">
        <v>5.0</v>
      </c>
      <c r="P772" s="27">
        <v>2.0</v>
      </c>
      <c r="Q772" s="17">
        <v>3.0</v>
      </c>
      <c r="R772" s="17">
        <v>1.0</v>
      </c>
      <c r="S772" s="17">
        <v>3.0</v>
      </c>
      <c r="T772" s="14">
        <f t="shared" si="33"/>
        <v>25</v>
      </c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r="773" ht="15.75" customHeight="1">
      <c r="A773" s="19" t="s">
        <v>984</v>
      </c>
      <c r="B773" s="45" t="s">
        <v>38</v>
      </c>
      <c r="C773" s="60"/>
      <c r="D773" s="17"/>
      <c r="E773" s="48"/>
      <c r="F773" s="45"/>
      <c r="G773" s="14"/>
      <c r="H773" s="14"/>
      <c r="I773" s="14"/>
      <c r="J773" s="14"/>
      <c r="K773" s="14"/>
      <c r="L773" s="14"/>
      <c r="M773" s="14"/>
      <c r="N773" s="14"/>
      <c r="O773" s="14"/>
      <c r="P773" s="14">
        <v>2.0</v>
      </c>
      <c r="Q773" s="19">
        <v>2.0</v>
      </c>
      <c r="R773" s="14"/>
      <c r="S773" s="14"/>
      <c r="T773" s="14">
        <f t="shared" si="33"/>
        <v>4</v>
      </c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</row>
    <row r="774" ht="15.75" customHeight="1">
      <c r="A774" s="27" t="s">
        <v>985</v>
      </c>
      <c r="B774" s="37" t="s">
        <v>62</v>
      </c>
      <c r="C774" s="59"/>
      <c r="D774" s="17"/>
      <c r="E774" s="18"/>
      <c r="F774" s="49"/>
      <c r="G774" s="27"/>
      <c r="H774" s="27"/>
      <c r="I774" s="27"/>
      <c r="J774" s="27"/>
      <c r="K774" s="27"/>
      <c r="L774" s="27"/>
      <c r="M774" s="27">
        <v>1.0</v>
      </c>
      <c r="N774" s="27">
        <v>1.0</v>
      </c>
      <c r="O774" s="27"/>
      <c r="P774" s="27"/>
      <c r="Q774" s="27"/>
      <c r="R774" s="27"/>
      <c r="S774" s="17">
        <v>1.0</v>
      </c>
      <c r="T774" s="14">
        <f t="shared" si="33"/>
        <v>3</v>
      </c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r="775" ht="15.75" customHeight="1">
      <c r="A775" s="112" t="s">
        <v>986</v>
      </c>
      <c r="B775" s="15" t="s">
        <v>73</v>
      </c>
      <c r="C775" s="61" t="s">
        <v>663</v>
      </c>
      <c r="D775" s="17"/>
      <c r="E775" s="18"/>
      <c r="F775" s="15" t="s">
        <v>74</v>
      </c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34"/>
      <c r="R775" s="40">
        <v>1.0</v>
      </c>
      <c r="S775" s="40">
        <v>1.0</v>
      </c>
      <c r="T775" s="14">
        <f t="shared" si="33"/>
        <v>2</v>
      </c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</row>
    <row r="776" ht="15.75" customHeight="1">
      <c r="A776" s="113" t="s">
        <v>987</v>
      </c>
      <c r="B776" s="114" t="s">
        <v>619</v>
      </c>
      <c r="C776" s="60"/>
      <c r="D776" s="17"/>
      <c r="E776" s="18"/>
      <c r="F776" s="45"/>
      <c r="G776" s="14" t="s">
        <v>40</v>
      </c>
      <c r="H776" s="14" t="s">
        <v>280</v>
      </c>
      <c r="I776" s="14"/>
      <c r="J776" s="14"/>
      <c r="K776" s="14">
        <v>4.0</v>
      </c>
      <c r="L776" s="14"/>
      <c r="M776" s="14"/>
      <c r="N776" s="14"/>
      <c r="O776" s="14"/>
      <c r="P776" s="14"/>
      <c r="Q776" s="34"/>
      <c r="R776" s="34"/>
      <c r="S776" s="34"/>
      <c r="T776" s="34">
        <f t="shared" si="33"/>
        <v>4</v>
      </c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</row>
    <row r="777" ht="15.75" customHeight="1">
      <c r="A777" s="115" t="s">
        <v>988</v>
      </c>
      <c r="B777" s="35"/>
      <c r="C777" s="25"/>
      <c r="D777" s="17"/>
      <c r="E777" s="18"/>
      <c r="F777" s="27"/>
      <c r="G777" s="26"/>
      <c r="H777" s="27"/>
      <c r="I777" s="27"/>
      <c r="J777" s="27"/>
      <c r="K777" s="27"/>
      <c r="L777" s="27"/>
      <c r="M777" s="27"/>
      <c r="N777" s="27"/>
      <c r="O777" s="27"/>
      <c r="P777" s="27"/>
      <c r="Q777" s="41"/>
      <c r="R777" s="41"/>
      <c r="S777" s="41"/>
      <c r="T777" s="35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 ht="15.75" customHeight="1">
      <c r="A778" s="116" t="s">
        <v>989</v>
      </c>
      <c r="B778" s="15" t="s">
        <v>247</v>
      </c>
      <c r="C778" s="30" t="s">
        <v>177</v>
      </c>
      <c r="D778" s="17"/>
      <c r="E778" s="18"/>
      <c r="F778" s="27"/>
      <c r="G778" s="26"/>
      <c r="H778" s="27"/>
      <c r="I778" s="27"/>
      <c r="J778" s="27"/>
      <c r="K778" s="27"/>
      <c r="L778" s="27"/>
      <c r="M778" s="27"/>
      <c r="N778" s="27"/>
      <c r="O778" s="27"/>
      <c r="P778" s="27"/>
      <c r="Q778" s="34"/>
      <c r="R778" s="40">
        <v>2.0</v>
      </c>
      <c r="S778" s="40"/>
      <c r="T778" s="14">
        <f t="shared" ref="T778:T779" si="34">SUM(I778:S778)</f>
        <v>2</v>
      </c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r="779" ht="15.75" customHeight="1">
      <c r="A779" s="14" t="s">
        <v>990</v>
      </c>
      <c r="B779" s="40" t="s">
        <v>403</v>
      </c>
      <c r="C779" s="16"/>
      <c r="D779" s="17"/>
      <c r="E779" s="18"/>
      <c r="F779" s="14"/>
      <c r="G779" s="20"/>
      <c r="H779" s="14"/>
      <c r="I779" s="14"/>
      <c r="J779" s="14"/>
      <c r="K779" s="14"/>
      <c r="L779" s="14"/>
      <c r="M779" s="34"/>
      <c r="N779" s="34"/>
      <c r="O779" s="34">
        <v>1.0</v>
      </c>
      <c r="P779" s="34">
        <v>1.0</v>
      </c>
      <c r="Q779" s="34"/>
      <c r="R779" s="40">
        <v>1.0</v>
      </c>
      <c r="S779" s="40">
        <v>1.0</v>
      </c>
      <c r="T779" s="34">
        <f t="shared" si="34"/>
        <v>4</v>
      </c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</row>
    <row r="780" ht="15.75" customHeight="1">
      <c r="A780" s="27" t="s">
        <v>991</v>
      </c>
      <c r="B780" s="41"/>
      <c r="C780" s="25"/>
      <c r="D780" s="17"/>
      <c r="E780" s="18"/>
      <c r="F780" s="27"/>
      <c r="G780" s="26"/>
      <c r="H780" s="27"/>
      <c r="I780" s="27"/>
      <c r="J780" s="27"/>
      <c r="K780" s="27"/>
      <c r="L780" s="27"/>
      <c r="M780" s="41"/>
      <c r="N780" s="41"/>
      <c r="O780" s="41"/>
      <c r="P780" s="41"/>
      <c r="Q780" s="41"/>
      <c r="R780" s="41"/>
      <c r="S780" s="41"/>
      <c r="T780" s="41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r="781" ht="15.75" customHeight="1">
      <c r="A781" s="14" t="s">
        <v>992</v>
      </c>
      <c r="B781" s="41"/>
      <c r="C781" s="16"/>
      <c r="D781" s="17"/>
      <c r="E781" s="18"/>
      <c r="F781" s="14"/>
      <c r="G781" s="20"/>
      <c r="H781" s="14"/>
      <c r="I781" s="14"/>
      <c r="J781" s="14"/>
      <c r="K781" s="14"/>
      <c r="L781" s="14"/>
      <c r="M781" s="41"/>
      <c r="N781" s="41"/>
      <c r="O781" s="41"/>
      <c r="P781" s="41"/>
      <c r="Q781" s="41"/>
      <c r="R781" s="41"/>
      <c r="S781" s="41"/>
      <c r="T781" s="41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</row>
    <row r="782" ht="15.75" customHeight="1">
      <c r="A782" s="27" t="s">
        <v>993</v>
      </c>
      <c r="B782" s="35"/>
      <c r="C782" s="25"/>
      <c r="D782" s="17"/>
      <c r="E782" s="18"/>
      <c r="F782" s="27"/>
      <c r="G782" s="26"/>
      <c r="H782" s="27"/>
      <c r="I782" s="27"/>
      <c r="J782" s="27"/>
      <c r="K782" s="27"/>
      <c r="L782" s="27"/>
      <c r="M782" s="35"/>
      <c r="N782" s="35"/>
      <c r="O782" s="35"/>
      <c r="P782" s="35"/>
      <c r="Q782" s="41"/>
      <c r="R782" s="41"/>
      <c r="S782" s="41"/>
      <c r="T782" s="35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r="783" ht="15.75" customHeight="1">
      <c r="A783" s="17" t="s">
        <v>994</v>
      </c>
      <c r="B783" s="19" t="s">
        <v>403</v>
      </c>
      <c r="C783" s="16"/>
      <c r="D783" s="17"/>
      <c r="E783" s="18"/>
      <c r="F783" s="14"/>
      <c r="G783" s="31" t="s">
        <v>995</v>
      </c>
      <c r="H783" s="90">
        <v>45889.0</v>
      </c>
      <c r="I783" s="14"/>
      <c r="J783" s="14"/>
      <c r="K783" s="14"/>
      <c r="L783" s="14"/>
      <c r="M783" s="14"/>
      <c r="N783" s="14"/>
      <c r="O783" s="14"/>
      <c r="P783" s="14"/>
      <c r="Q783" s="34"/>
      <c r="R783" s="40">
        <v>1.0</v>
      </c>
      <c r="S783" s="40">
        <v>2.0</v>
      </c>
      <c r="T783" s="14">
        <f t="shared" ref="T783:T793" si="35">SUM(I783:S783)</f>
        <v>3</v>
      </c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</row>
    <row r="784" ht="15.75" customHeight="1">
      <c r="A784" s="14" t="s">
        <v>996</v>
      </c>
      <c r="B784" s="19" t="s">
        <v>214</v>
      </c>
      <c r="C784" s="16"/>
      <c r="D784" s="17"/>
      <c r="E784" s="18"/>
      <c r="F784" s="14"/>
      <c r="G784" s="20"/>
      <c r="H784" s="14"/>
      <c r="I784" s="14">
        <v>1.0</v>
      </c>
      <c r="J784" s="14"/>
      <c r="K784" s="14">
        <v>2.0</v>
      </c>
      <c r="L784" s="14">
        <v>2.0</v>
      </c>
      <c r="M784" s="14">
        <v>1.0</v>
      </c>
      <c r="N784" s="14"/>
      <c r="O784" s="14"/>
      <c r="P784" s="14"/>
      <c r="Q784" s="14"/>
      <c r="R784" s="14"/>
      <c r="S784" s="14"/>
      <c r="T784" s="14">
        <f t="shared" si="35"/>
        <v>6</v>
      </c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</row>
    <row r="785" ht="15.75" customHeight="1">
      <c r="A785" s="17" t="s">
        <v>997</v>
      </c>
      <c r="B785" s="37" t="s">
        <v>119</v>
      </c>
      <c r="C785" s="117" t="s">
        <v>158</v>
      </c>
      <c r="D785" s="17"/>
      <c r="E785" s="18"/>
      <c r="F785" s="36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17"/>
      <c r="R785" s="19">
        <v>5.0</v>
      </c>
      <c r="S785" s="19"/>
      <c r="T785" s="14">
        <f t="shared" si="35"/>
        <v>5</v>
      </c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 ht="15.75" customHeight="1">
      <c r="A786" s="17" t="s">
        <v>998</v>
      </c>
      <c r="B786" s="37" t="s">
        <v>119</v>
      </c>
      <c r="C786" s="59"/>
      <c r="D786" s="17"/>
      <c r="E786" s="18"/>
      <c r="F786" s="36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17">
        <v>1.0</v>
      </c>
      <c r="R786" s="19">
        <v>3.0</v>
      </c>
      <c r="S786" s="19">
        <v>3.0</v>
      </c>
      <c r="T786" s="14">
        <f t="shared" si="35"/>
        <v>7</v>
      </c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r="787" ht="15.75" customHeight="1">
      <c r="A787" s="27" t="s">
        <v>999</v>
      </c>
      <c r="B787" s="49" t="s">
        <v>42</v>
      </c>
      <c r="C787" s="59"/>
      <c r="D787" s="17"/>
      <c r="E787" s="18"/>
      <c r="F787" s="36"/>
      <c r="G787" s="27" t="s">
        <v>40</v>
      </c>
      <c r="H787" s="27" t="s">
        <v>282</v>
      </c>
      <c r="I787" s="27"/>
      <c r="J787" s="27">
        <v>2.0</v>
      </c>
      <c r="K787" s="27">
        <v>3.0</v>
      </c>
      <c r="L787" s="27">
        <v>2.0</v>
      </c>
      <c r="M787" s="27">
        <v>2.0</v>
      </c>
      <c r="N787" s="27">
        <v>5.0</v>
      </c>
      <c r="O787" s="27"/>
      <c r="P787" s="27">
        <v>1.0</v>
      </c>
      <c r="Q787" s="27"/>
      <c r="R787" s="17">
        <v>2.0</v>
      </c>
      <c r="S787" s="17">
        <v>1.0</v>
      </c>
      <c r="T787" s="14">
        <f t="shared" si="35"/>
        <v>18</v>
      </c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 ht="15.75" customHeight="1">
      <c r="A788" s="19" t="s">
        <v>1000</v>
      </c>
      <c r="B788" s="19" t="s">
        <v>456</v>
      </c>
      <c r="C788" s="24" t="s">
        <v>1001</v>
      </c>
      <c r="D788" s="17"/>
      <c r="E788" s="18"/>
      <c r="F788" s="19"/>
      <c r="G788" s="20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9">
        <v>2.0</v>
      </c>
      <c r="T788" s="14">
        <f t="shared" si="35"/>
        <v>2</v>
      </c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</row>
    <row r="789" ht="15.75" customHeight="1">
      <c r="A789" s="14" t="s">
        <v>1002</v>
      </c>
      <c r="B789" s="19" t="s">
        <v>46</v>
      </c>
      <c r="C789" s="16"/>
      <c r="D789" s="17"/>
      <c r="E789" s="18"/>
      <c r="F789" s="14"/>
      <c r="G789" s="20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>
        <f t="shared" si="35"/>
        <v>0</v>
      </c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</row>
    <row r="790" ht="15.75" customHeight="1">
      <c r="A790" s="27" t="s">
        <v>1003</v>
      </c>
      <c r="B790" s="37" t="s">
        <v>83</v>
      </c>
      <c r="C790" s="25"/>
      <c r="D790" s="17"/>
      <c r="E790" s="18"/>
      <c r="F790" s="27"/>
      <c r="G790" s="26"/>
      <c r="H790" s="27"/>
      <c r="I790" s="27"/>
      <c r="J790" s="27"/>
      <c r="K790" s="27"/>
      <c r="L790" s="27"/>
      <c r="M790" s="27">
        <v>1.0</v>
      </c>
      <c r="N790" s="27"/>
      <c r="O790" s="27"/>
      <c r="P790" s="27"/>
      <c r="Q790" s="27"/>
      <c r="R790" s="27"/>
      <c r="S790" s="27"/>
      <c r="T790" s="14">
        <f t="shared" si="35"/>
        <v>1</v>
      </c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r="791" ht="15.75" customHeight="1">
      <c r="A791" s="14" t="s">
        <v>1004</v>
      </c>
      <c r="B791" s="19" t="s">
        <v>62</v>
      </c>
      <c r="C791" s="16"/>
      <c r="D791" s="17"/>
      <c r="E791" s="18"/>
      <c r="F791" s="14"/>
      <c r="G791" s="20"/>
      <c r="H791" s="14"/>
      <c r="I791" s="14"/>
      <c r="J791" s="14"/>
      <c r="K791" s="14">
        <v>3.0</v>
      </c>
      <c r="L791" s="14"/>
      <c r="M791" s="14"/>
      <c r="N791" s="14"/>
      <c r="O791" s="14"/>
      <c r="P791" s="14"/>
      <c r="Q791" s="14"/>
      <c r="R791" s="14"/>
      <c r="S791" s="14"/>
      <c r="T791" s="14">
        <f t="shared" si="35"/>
        <v>3</v>
      </c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</row>
    <row r="792" ht="15.75" customHeight="1">
      <c r="A792" s="27" t="s">
        <v>1005</v>
      </c>
      <c r="B792" s="27" t="s">
        <v>580</v>
      </c>
      <c r="C792" s="25"/>
      <c r="D792" s="17"/>
      <c r="E792" s="18"/>
      <c r="F792" s="27"/>
      <c r="G792" s="26"/>
      <c r="H792" s="27"/>
      <c r="I792" s="27"/>
      <c r="J792" s="27"/>
      <c r="K792" s="27">
        <v>1.0</v>
      </c>
      <c r="L792" s="27">
        <v>1.0</v>
      </c>
      <c r="M792" s="27"/>
      <c r="N792" s="27"/>
      <c r="O792" s="27"/>
      <c r="P792" s="27"/>
      <c r="Q792" s="27"/>
      <c r="R792" s="27"/>
      <c r="S792" s="27"/>
      <c r="T792" s="14">
        <f t="shared" si="35"/>
        <v>2</v>
      </c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r="793" ht="15.75" customHeight="1">
      <c r="A793" s="14" t="s">
        <v>1006</v>
      </c>
      <c r="B793" s="19" t="s">
        <v>286</v>
      </c>
      <c r="C793" s="16"/>
      <c r="D793" s="17"/>
      <c r="E793" s="18"/>
      <c r="F793" s="14"/>
      <c r="G793" s="14" t="s">
        <v>40</v>
      </c>
      <c r="H793" s="14" t="s">
        <v>116</v>
      </c>
      <c r="I793" s="14"/>
      <c r="J793" s="34">
        <v>1.0</v>
      </c>
      <c r="K793" s="34">
        <v>2.0</v>
      </c>
      <c r="L793" s="34">
        <v>1.0</v>
      </c>
      <c r="M793" s="34">
        <v>1.0</v>
      </c>
      <c r="N793" s="34"/>
      <c r="O793" s="34">
        <v>1.0</v>
      </c>
      <c r="P793" s="34"/>
      <c r="Q793" s="40">
        <v>1.0</v>
      </c>
      <c r="R793" s="40">
        <v>1.0</v>
      </c>
      <c r="S793" s="40"/>
      <c r="T793" s="34">
        <f t="shared" si="35"/>
        <v>8</v>
      </c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</row>
    <row r="794" ht="15.75" customHeight="1">
      <c r="A794" s="27" t="s">
        <v>1006</v>
      </c>
      <c r="B794" s="17" t="s">
        <v>70</v>
      </c>
      <c r="C794" s="25"/>
      <c r="D794" s="17"/>
      <c r="E794" s="18"/>
      <c r="F794" s="27"/>
      <c r="G794" s="26"/>
      <c r="H794" s="27"/>
      <c r="I794" s="27"/>
      <c r="J794" s="35"/>
      <c r="K794" s="35"/>
      <c r="L794" s="35"/>
      <c r="M794" s="35"/>
      <c r="N794" s="35"/>
      <c r="O794" s="35"/>
      <c r="P794" s="35"/>
      <c r="Q794" s="41"/>
      <c r="R794" s="41"/>
      <c r="S794" s="41"/>
      <c r="T794" s="35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r="795" ht="15.75" customHeight="1">
      <c r="A795" s="17" t="s">
        <v>1007</v>
      </c>
      <c r="B795" s="17" t="s">
        <v>73</v>
      </c>
      <c r="C795" s="30" t="s">
        <v>32</v>
      </c>
      <c r="D795" s="17"/>
      <c r="E795" s="18"/>
      <c r="F795" s="17" t="s">
        <v>74</v>
      </c>
      <c r="G795" s="26"/>
      <c r="H795" s="27"/>
      <c r="I795" s="27"/>
      <c r="J795" s="14"/>
      <c r="K795" s="14"/>
      <c r="L795" s="14"/>
      <c r="M795" s="14"/>
      <c r="N795" s="14"/>
      <c r="O795" s="14"/>
      <c r="P795" s="14"/>
      <c r="Q795" s="40"/>
      <c r="R795" s="40"/>
      <c r="S795" s="40"/>
      <c r="T795" s="14">
        <f t="shared" ref="T795:T815" si="36">SUM(I795:S795)</f>
        <v>0</v>
      </c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 ht="15.75" customHeight="1">
      <c r="A796" s="17" t="s">
        <v>1008</v>
      </c>
      <c r="B796" s="17" t="s">
        <v>73</v>
      </c>
      <c r="C796" s="30" t="s">
        <v>32</v>
      </c>
      <c r="D796" s="17"/>
      <c r="E796" s="18"/>
      <c r="F796" s="17" t="s">
        <v>74</v>
      </c>
      <c r="G796" s="26"/>
      <c r="H796" s="27"/>
      <c r="I796" s="27"/>
      <c r="J796" s="14"/>
      <c r="K796" s="14"/>
      <c r="L796" s="14"/>
      <c r="M796" s="14"/>
      <c r="N796" s="14"/>
      <c r="O796" s="14"/>
      <c r="P796" s="14"/>
      <c r="Q796" s="40"/>
      <c r="R796" s="40"/>
      <c r="S796" s="40"/>
      <c r="T796" s="14">
        <f t="shared" si="36"/>
        <v>0</v>
      </c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r="797" ht="15.75" customHeight="1">
      <c r="A797" s="27" t="s">
        <v>1009</v>
      </c>
      <c r="B797" s="17" t="s">
        <v>678</v>
      </c>
      <c r="C797" s="25"/>
      <c r="D797" s="17"/>
      <c r="E797" s="18"/>
      <c r="F797" s="27"/>
      <c r="G797" s="27"/>
      <c r="H797" s="27"/>
      <c r="I797" s="27"/>
      <c r="J797" s="27"/>
      <c r="K797" s="27"/>
      <c r="L797" s="27"/>
      <c r="M797" s="27"/>
      <c r="N797" s="27">
        <v>5.0</v>
      </c>
      <c r="O797" s="27">
        <v>1.0</v>
      </c>
      <c r="P797" s="27"/>
      <c r="Q797" s="27"/>
      <c r="R797" s="27"/>
      <c r="S797" s="17">
        <v>2.0</v>
      </c>
      <c r="T797" s="14">
        <f t="shared" si="36"/>
        <v>8</v>
      </c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 ht="15.75" customHeight="1">
      <c r="A798" s="14" t="s">
        <v>1010</v>
      </c>
      <c r="B798" s="14" t="s">
        <v>107</v>
      </c>
      <c r="C798" s="16"/>
      <c r="D798" s="17"/>
      <c r="E798" s="18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>
        <f t="shared" si="36"/>
        <v>0</v>
      </c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</row>
    <row r="799" ht="15.75" customHeight="1">
      <c r="A799" s="27" t="s">
        <v>1011</v>
      </c>
      <c r="B799" s="17" t="s">
        <v>250</v>
      </c>
      <c r="C799" s="25"/>
      <c r="D799" s="17"/>
      <c r="E799" s="18"/>
      <c r="F799" s="27"/>
      <c r="G799" s="26"/>
      <c r="H799" s="27"/>
      <c r="I799" s="27"/>
      <c r="J799" s="27"/>
      <c r="K799" s="27"/>
      <c r="L799" s="27"/>
      <c r="M799" s="27"/>
      <c r="N799" s="27"/>
      <c r="O799" s="27"/>
      <c r="P799" s="27">
        <v>5.0</v>
      </c>
      <c r="Q799" s="17">
        <v>2.0</v>
      </c>
      <c r="R799" s="17">
        <v>2.0</v>
      </c>
      <c r="S799" s="17">
        <v>4.0</v>
      </c>
      <c r="T799" s="14">
        <f t="shared" si="36"/>
        <v>13</v>
      </c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 ht="15.75" customHeight="1">
      <c r="A800" s="14" t="s">
        <v>1012</v>
      </c>
      <c r="B800" s="14" t="s">
        <v>102</v>
      </c>
      <c r="C800" s="16"/>
      <c r="D800" s="17"/>
      <c r="E800" s="18"/>
      <c r="F800" s="14"/>
      <c r="G800" s="20"/>
      <c r="H800" s="14"/>
      <c r="I800" s="14"/>
      <c r="J800" s="14"/>
      <c r="K800" s="14"/>
      <c r="L800" s="14"/>
      <c r="M800" s="14">
        <v>1.0</v>
      </c>
      <c r="N800" s="14">
        <v>1.0</v>
      </c>
      <c r="O800" s="14"/>
      <c r="P800" s="14"/>
      <c r="Q800" s="14"/>
      <c r="R800" s="14"/>
      <c r="S800" s="14"/>
      <c r="T800" s="14">
        <f t="shared" si="36"/>
        <v>2</v>
      </c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</row>
    <row r="801" ht="15.75" customHeight="1">
      <c r="A801" s="27" t="s">
        <v>1013</v>
      </c>
      <c r="B801" s="27" t="s">
        <v>102</v>
      </c>
      <c r="C801" s="25"/>
      <c r="D801" s="17"/>
      <c r="E801" s="18"/>
      <c r="F801" s="27"/>
      <c r="G801" s="27" t="s">
        <v>40</v>
      </c>
      <c r="H801" s="27" t="s">
        <v>412</v>
      </c>
      <c r="I801" s="27"/>
      <c r="J801" s="27">
        <v>1.0</v>
      </c>
      <c r="K801" s="27">
        <v>1.0</v>
      </c>
      <c r="L801" s="27"/>
      <c r="M801" s="27"/>
      <c r="N801" s="27">
        <v>1.0</v>
      </c>
      <c r="O801" s="27">
        <v>1.0</v>
      </c>
      <c r="P801" s="27"/>
      <c r="Q801" s="27"/>
      <c r="R801" s="27"/>
      <c r="S801" s="27"/>
      <c r="T801" s="14">
        <f t="shared" si="36"/>
        <v>4</v>
      </c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 ht="15.75" customHeight="1">
      <c r="A802" s="19" t="s">
        <v>1014</v>
      </c>
      <c r="B802" s="19" t="s">
        <v>619</v>
      </c>
      <c r="C802" s="16"/>
      <c r="D802" s="17"/>
      <c r="E802" s="18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>
        <f t="shared" si="36"/>
        <v>0</v>
      </c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</row>
    <row r="803" ht="15.75" customHeight="1">
      <c r="A803" s="14" t="s">
        <v>1015</v>
      </c>
      <c r="B803" s="19" t="s">
        <v>51</v>
      </c>
      <c r="C803" s="16"/>
      <c r="D803" s="17"/>
      <c r="E803" s="18"/>
      <c r="F803" s="14"/>
      <c r="G803" s="14" t="s">
        <v>40</v>
      </c>
      <c r="H803" s="14" t="s">
        <v>1016</v>
      </c>
      <c r="I803" s="14"/>
      <c r="J803" s="14"/>
      <c r="K803" s="14"/>
      <c r="L803" s="14">
        <v>1.0</v>
      </c>
      <c r="M803" s="14"/>
      <c r="N803" s="14"/>
      <c r="O803" s="14"/>
      <c r="P803" s="14"/>
      <c r="Q803" s="14"/>
      <c r="R803" s="14"/>
      <c r="S803" s="14"/>
      <c r="T803" s="14">
        <f t="shared" si="36"/>
        <v>1</v>
      </c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</row>
    <row r="804" ht="15.75" customHeight="1">
      <c r="A804" s="27" t="s">
        <v>1017</v>
      </c>
      <c r="B804" s="37" t="s">
        <v>250</v>
      </c>
      <c r="C804" s="25"/>
      <c r="D804" s="17"/>
      <c r="E804" s="18"/>
      <c r="F804" s="27"/>
      <c r="G804" s="26"/>
      <c r="H804" s="27"/>
      <c r="I804" s="27"/>
      <c r="J804" s="27">
        <v>8.0</v>
      </c>
      <c r="K804" s="27">
        <v>3.0</v>
      </c>
      <c r="L804" s="27">
        <v>1.0</v>
      </c>
      <c r="M804" s="27">
        <v>4.0</v>
      </c>
      <c r="N804" s="27">
        <v>6.0</v>
      </c>
      <c r="O804" s="27">
        <v>5.0</v>
      </c>
      <c r="P804" s="27"/>
      <c r="Q804" s="27"/>
      <c r="R804" s="27"/>
      <c r="S804" s="17">
        <v>1.0</v>
      </c>
      <c r="T804" s="14">
        <f t="shared" si="36"/>
        <v>28</v>
      </c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r="805" ht="15.75" customHeight="1">
      <c r="A805" s="14" t="s">
        <v>1018</v>
      </c>
      <c r="B805" s="19" t="s">
        <v>471</v>
      </c>
      <c r="C805" s="16"/>
      <c r="D805" s="17"/>
      <c r="E805" s="18"/>
      <c r="F805" s="14"/>
      <c r="G805" s="20"/>
      <c r="H805" s="14"/>
      <c r="I805" s="14"/>
      <c r="J805" s="14">
        <v>4.0</v>
      </c>
      <c r="K805" s="14">
        <v>1.0</v>
      </c>
      <c r="L805" s="14"/>
      <c r="M805" s="14">
        <v>1.0</v>
      </c>
      <c r="N805" s="14">
        <v>2.0</v>
      </c>
      <c r="O805" s="14"/>
      <c r="P805" s="14"/>
      <c r="Q805" s="14"/>
      <c r="R805" s="14"/>
      <c r="S805" s="14"/>
      <c r="T805" s="14">
        <f t="shared" si="36"/>
        <v>8</v>
      </c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</row>
    <row r="806" ht="15.75" customHeight="1">
      <c r="A806" s="27" t="s">
        <v>1019</v>
      </c>
      <c r="B806" s="37" t="s">
        <v>85</v>
      </c>
      <c r="C806" s="25"/>
      <c r="D806" s="50"/>
      <c r="E806" s="48"/>
      <c r="F806" s="27"/>
      <c r="G806" s="27"/>
      <c r="H806" s="27"/>
      <c r="I806" s="27"/>
      <c r="J806" s="27"/>
      <c r="K806" s="27"/>
      <c r="L806" s="27"/>
      <c r="M806" s="27">
        <v>1.0</v>
      </c>
      <c r="N806" s="27">
        <v>1.0</v>
      </c>
      <c r="O806" s="27"/>
      <c r="P806" s="27"/>
      <c r="Q806" s="17">
        <v>1.0</v>
      </c>
      <c r="R806" s="27"/>
      <c r="S806" s="27"/>
      <c r="T806" s="14">
        <f t="shared" si="36"/>
        <v>3</v>
      </c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r="807" ht="15.75" customHeight="1">
      <c r="A807" s="14" t="s">
        <v>1020</v>
      </c>
      <c r="B807" s="19" t="s">
        <v>338</v>
      </c>
      <c r="C807" s="16"/>
      <c r="D807" s="17"/>
      <c r="E807" s="18"/>
      <c r="F807" s="14"/>
      <c r="G807" s="14"/>
      <c r="H807" s="14"/>
      <c r="I807" s="14"/>
      <c r="J807" s="14"/>
      <c r="K807" s="14">
        <v>1.0</v>
      </c>
      <c r="L807" s="14">
        <v>3.0</v>
      </c>
      <c r="M807" s="14"/>
      <c r="N807" s="14">
        <v>1.0</v>
      </c>
      <c r="O807" s="14">
        <v>1.0</v>
      </c>
      <c r="P807" s="14">
        <v>1.0</v>
      </c>
      <c r="Q807" s="14"/>
      <c r="R807" s="14"/>
      <c r="S807" s="19">
        <v>2.0</v>
      </c>
      <c r="T807" s="14">
        <f t="shared" si="36"/>
        <v>9</v>
      </c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</row>
    <row r="808" ht="15.75" customHeight="1">
      <c r="A808" s="17" t="s">
        <v>1021</v>
      </c>
      <c r="B808" s="37" t="s">
        <v>585</v>
      </c>
      <c r="C808" s="25"/>
      <c r="D808" s="17" t="s">
        <v>633</v>
      </c>
      <c r="E808" s="18">
        <v>45953.0</v>
      </c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14"/>
      <c r="S808" s="19">
        <v>2.0</v>
      </c>
      <c r="T808" s="14">
        <f t="shared" si="36"/>
        <v>2</v>
      </c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r="809" ht="15.75" customHeight="1">
      <c r="A809" s="27" t="s">
        <v>1022</v>
      </c>
      <c r="B809" s="17" t="s">
        <v>21</v>
      </c>
      <c r="C809" s="25"/>
      <c r="D809" s="17"/>
      <c r="E809" s="18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17">
        <v>1.0</v>
      </c>
      <c r="R809" s="27"/>
      <c r="S809" s="27"/>
      <c r="T809" s="14">
        <f t="shared" si="36"/>
        <v>1</v>
      </c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 ht="15.75" customHeight="1">
      <c r="A810" s="14" t="s">
        <v>1023</v>
      </c>
      <c r="B810" s="19" t="s">
        <v>234</v>
      </c>
      <c r="C810" s="16"/>
      <c r="D810" s="17"/>
      <c r="E810" s="18"/>
      <c r="F810" s="14"/>
      <c r="G810" s="23" t="s">
        <v>1024</v>
      </c>
      <c r="H810" s="14"/>
      <c r="I810" s="14"/>
      <c r="J810" s="14"/>
      <c r="K810" s="14"/>
      <c r="L810" s="14"/>
      <c r="M810" s="14"/>
      <c r="N810" s="14"/>
      <c r="O810" s="14"/>
      <c r="P810" s="14">
        <v>1.0</v>
      </c>
      <c r="Q810" s="14"/>
      <c r="R810" s="14"/>
      <c r="S810" s="14"/>
      <c r="T810" s="14">
        <f t="shared" si="36"/>
        <v>1</v>
      </c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</row>
    <row r="811" ht="15.75" customHeight="1">
      <c r="A811" s="17" t="s">
        <v>1025</v>
      </c>
      <c r="B811" s="17" t="s">
        <v>38</v>
      </c>
      <c r="C811" s="25"/>
      <c r="D811" s="17"/>
      <c r="E811" s="18"/>
      <c r="F811" s="27"/>
      <c r="G811" s="26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14"/>
      <c r="S811" s="14"/>
      <c r="T811" s="14">
        <f t="shared" si="36"/>
        <v>0</v>
      </c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 ht="15.75" customHeight="1">
      <c r="A812" s="27" t="s">
        <v>1026</v>
      </c>
      <c r="B812" s="17" t="s">
        <v>157</v>
      </c>
      <c r="C812" s="25"/>
      <c r="D812" s="47"/>
      <c r="E812" s="48"/>
      <c r="F812" s="27"/>
      <c r="G812" s="26"/>
      <c r="H812" s="27"/>
      <c r="I812" s="27"/>
      <c r="J812" s="27"/>
      <c r="K812" s="27"/>
      <c r="L812" s="27"/>
      <c r="M812" s="27"/>
      <c r="N812" s="27">
        <v>1.0</v>
      </c>
      <c r="O812" s="27">
        <v>1.0</v>
      </c>
      <c r="P812" s="27"/>
      <c r="Q812" s="17">
        <v>1.0</v>
      </c>
      <c r="R812" s="17">
        <v>1.0</v>
      </c>
      <c r="S812" s="27"/>
      <c r="T812" s="14">
        <f t="shared" si="36"/>
        <v>4</v>
      </c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r="813" ht="15.75" customHeight="1">
      <c r="A813" s="19" t="s">
        <v>1027</v>
      </c>
      <c r="B813" s="19" t="s">
        <v>258</v>
      </c>
      <c r="C813" s="16"/>
      <c r="D813" s="17"/>
      <c r="E813" s="18"/>
      <c r="F813" s="67"/>
      <c r="G813" s="20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9">
        <v>1.0</v>
      </c>
      <c r="T813" s="14">
        <f t="shared" si="36"/>
        <v>1</v>
      </c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</row>
    <row r="814" ht="15.75" customHeight="1">
      <c r="A814" s="14" t="s">
        <v>1028</v>
      </c>
      <c r="B814" s="14" t="s">
        <v>42</v>
      </c>
      <c r="C814" s="16"/>
      <c r="D814" s="17"/>
      <c r="E814" s="18"/>
      <c r="F814" s="67"/>
      <c r="G814" s="20"/>
      <c r="H814" s="14"/>
      <c r="I814" s="14"/>
      <c r="J814" s="14"/>
      <c r="K814" s="14">
        <v>1.0</v>
      </c>
      <c r="L814" s="14">
        <v>1.0</v>
      </c>
      <c r="M814" s="14"/>
      <c r="N814" s="14">
        <v>3.0</v>
      </c>
      <c r="O814" s="14"/>
      <c r="P814" s="14"/>
      <c r="Q814" s="14"/>
      <c r="R814" s="14"/>
      <c r="S814" s="14"/>
      <c r="T814" s="14">
        <f t="shared" si="36"/>
        <v>5</v>
      </c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</row>
    <row r="815" ht="15.75" customHeight="1">
      <c r="A815" s="27" t="s">
        <v>1029</v>
      </c>
      <c r="B815" s="46" t="s">
        <v>900</v>
      </c>
      <c r="C815" s="25"/>
      <c r="D815" s="17"/>
      <c r="E815" s="18"/>
      <c r="F815" s="27"/>
      <c r="G815" s="27" t="s">
        <v>40</v>
      </c>
      <c r="H815" s="27" t="s">
        <v>91</v>
      </c>
      <c r="I815" s="27"/>
      <c r="J815" s="33">
        <v>1.0</v>
      </c>
      <c r="K815" s="33">
        <v>1.0</v>
      </c>
      <c r="L815" s="33">
        <v>1.0</v>
      </c>
      <c r="M815" s="33">
        <v>1.0</v>
      </c>
      <c r="N815" s="33"/>
      <c r="O815" s="33">
        <v>1.0</v>
      </c>
      <c r="P815" s="33">
        <v>1.0</v>
      </c>
      <c r="Q815" s="33"/>
      <c r="R815" s="33"/>
      <c r="S815" s="33"/>
      <c r="T815" s="34">
        <f t="shared" si="36"/>
        <v>6</v>
      </c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 ht="15.75" customHeight="1">
      <c r="A816" s="14" t="s">
        <v>1030</v>
      </c>
      <c r="B816" s="35"/>
      <c r="C816" s="16"/>
      <c r="D816" s="17"/>
      <c r="E816" s="18"/>
      <c r="F816" s="14"/>
      <c r="G816" s="14"/>
      <c r="H816" s="14"/>
      <c r="I816" s="14"/>
      <c r="J816" s="35"/>
      <c r="K816" s="35"/>
      <c r="L816" s="35"/>
      <c r="M816" s="35"/>
      <c r="N816" s="35"/>
      <c r="O816" s="35"/>
      <c r="P816" s="35"/>
      <c r="Q816" s="41"/>
      <c r="R816" s="41"/>
      <c r="S816" s="41"/>
      <c r="T816" s="35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</row>
    <row r="817" ht="15.75" customHeight="1">
      <c r="A817" s="17" t="s">
        <v>1031</v>
      </c>
      <c r="B817" s="17" t="s">
        <v>258</v>
      </c>
      <c r="C817" s="25"/>
      <c r="D817" s="17"/>
      <c r="E817" s="18"/>
      <c r="F817" s="27"/>
      <c r="G817" s="26"/>
      <c r="H817" s="27"/>
      <c r="I817" s="27"/>
      <c r="J817" s="27"/>
      <c r="K817" s="27"/>
      <c r="L817" s="27"/>
      <c r="M817" s="27"/>
      <c r="N817" s="27"/>
      <c r="O817" s="27"/>
      <c r="P817" s="27"/>
      <c r="Q817" s="46">
        <v>1.0</v>
      </c>
      <c r="R817" s="34"/>
      <c r="S817" s="34"/>
      <c r="T817" s="14">
        <f t="shared" ref="T817:T821" si="37">SUM(I817:S817)</f>
        <v>1</v>
      </c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 ht="15.75" customHeight="1">
      <c r="A818" s="19" t="s">
        <v>1032</v>
      </c>
      <c r="B818" s="19" t="s">
        <v>182</v>
      </c>
      <c r="C818" s="16"/>
      <c r="D818" s="17"/>
      <c r="E818" s="110"/>
      <c r="F818" s="14"/>
      <c r="G818" s="20"/>
      <c r="H818" s="14"/>
      <c r="I818" s="14"/>
      <c r="J818" s="14"/>
      <c r="K818" s="14"/>
      <c r="L818" s="14"/>
      <c r="M818" s="14"/>
      <c r="N818" s="14"/>
      <c r="O818" s="14"/>
      <c r="P818" s="14"/>
      <c r="Q818" s="40">
        <v>3.0</v>
      </c>
      <c r="R818" s="34"/>
      <c r="S818" s="34"/>
      <c r="T818" s="14">
        <f t="shared" si="37"/>
        <v>3</v>
      </c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</row>
    <row r="819" ht="15.75" customHeight="1">
      <c r="A819" s="19" t="s">
        <v>1033</v>
      </c>
      <c r="B819" s="19" t="s">
        <v>60</v>
      </c>
      <c r="C819" s="16"/>
      <c r="D819" s="17"/>
      <c r="E819" s="54"/>
      <c r="F819" s="14"/>
      <c r="G819" s="20"/>
      <c r="H819" s="14"/>
      <c r="I819" s="14"/>
      <c r="J819" s="14"/>
      <c r="K819" s="14"/>
      <c r="L819" s="14"/>
      <c r="M819" s="14"/>
      <c r="N819" s="14"/>
      <c r="O819" s="14"/>
      <c r="P819" s="14"/>
      <c r="Q819" s="40">
        <v>1.0</v>
      </c>
      <c r="R819" s="34"/>
      <c r="S819" s="34"/>
      <c r="T819" s="14">
        <f t="shared" si="37"/>
        <v>1</v>
      </c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</row>
    <row r="820" ht="15.75" customHeight="1">
      <c r="A820" s="14" t="s">
        <v>1034</v>
      </c>
      <c r="B820" s="19" t="s">
        <v>247</v>
      </c>
      <c r="C820" s="16"/>
      <c r="D820" s="17"/>
      <c r="E820" s="18"/>
      <c r="F820" s="14"/>
      <c r="G820" s="20"/>
      <c r="H820" s="14"/>
      <c r="I820" s="14"/>
      <c r="J820" s="14"/>
      <c r="K820" s="14"/>
      <c r="L820" s="14"/>
      <c r="M820" s="14"/>
      <c r="N820" s="14">
        <v>1.0</v>
      </c>
      <c r="O820" s="14"/>
      <c r="P820" s="14"/>
      <c r="Q820" s="14"/>
      <c r="R820" s="14"/>
      <c r="S820" s="14"/>
      <c r="T820" s="14">
        <f t="shared" si="37"/>
        <v>1</v>
      </c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</row>
    <row r="821" ht="15.75" customHeight="1">
      <c r="A821" s="27" t="s">
        <v>1035</v>
      </c>
      <c r="B821" s="46" t="s">
        <v>247</v>
      </c>
      <c r="C821" s="25"/>
      <c r="D821" s="17"/>
      <c r="E821" s="18"/>
      <c r="F821" s="27"/>
      <c r="G821" s="26"/>
      <c r="H821" s="27"/>
      <c r="I821" s="27">
        <v>3.0</v>
      </c>
      <c r="J821" s="27">
        <v>1.0</v>
      </c>
      <c r="K821" s="27"/>
      <c r="L821" s="27">
        <v>1.0</v>
      </c>
      <c r="M821" s="27">
        <v>2.0</v>
      </c>
      <c r="N821" s="27">
        <v>4.0</v>
      </c>
      <c r="O821" s="27">
        <v>1.0</v>
      </c>
      <c r="P821" s="27">
        <v>2.0</v>
      </c>
      <c r="Q821" s="33"/>
      <c r="R821" s="33"/>
      <c r="S821" s="46">
        <v>1.0</v>
      </c>
      <c r="T821" s="34">
        <f t="shared" si="37"/>
        <v>15</v>
      </c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 ht="15.75" customHeight="1">
      <c r="A822" s="19" t="s">
        <v>1036</v>
      </c>
      <c r="B822" s="35"/>
      <c r="C822" s="16"/>
      <c r="D822" s="17"/>
      <c r="E822" s="18"/>
      <c r="F822" s="14"/>
      <c r="G822" s="20"/>
      <c r="H822" s="14"/>
      <c r="I822" s="14"/>
      <c r="J822" s="14"/>
      <c r="K822" s="14"/>
      <c r="L822" s="14"/>
      <c r="M822" s="14"/>
      <c r="N822" s="14"/>
      <c r="O822" s="14"/>
      <c r="P822" s="14"/>
      <c r="Q822" s="35"/>
      <c r="R822" s="35"/>
      <c r="S822" s="35"/>
      <c r="T822" s="35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</row>
    <row r="823" ht="15.75" customHeight="1">
      <c r="A823" s="14" t="s">
        <v>1037</v>
      </c>
      <c r="B823" s="19" t="s">
        <v>488</v>
      </c>
      <c r="C823" s="16"/>
      <c r="D823" s="17"/>
      <c r="E823" s="18"/>
      <c r="F823" s="14"/>
      <c r="G823" s="23" t="s">
        <v>1038</v>
      </c>
      <c r="H823" s="14" t="s">
        <v>282</v>
      </c>
      <c r="I823" s="14"/>
      <c r="J823" s="14">
        <v>1.0</v>
      </c>
      <c r="K823" s="14"/>
      <c r="L823" s="14"/>
      <c r="M823" s="14">
        <v>1.0</v>
      </c>
      <c r="N823" s="14">
        <v>1.0</v>
      </c>
      <c r="O823" s="14"/>
      <c r="P823" s="14">
        <v>1.0</v>
      </c>
      <c r="Q823" s="14"/>
      <c r="R823" s="14"/>
      <c r="S823" s="14"/>
      <c r="T823" s="14">
        <f t="shared" ref="T823:T829" si="38">SUM(I823:S823)</f>
        <v>4</v>
      </c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</row>
    <row r="824" ht="15.75" customHeight="1">
      <c r="A824" s="17" t="s">
        <v>1039</v>
      </c>
      <c r="B824" s="17" t="s">
        <v>900</v>
      </c>
      <c r="C824" s="25"/>
      <c r="D824" s="17"/>
      <c r="E824" s="18"/>
      <c r="F824" s="27"/>
      <c r="G824" s="26"/>
      <c r="H824" s="27"/>
      <c r="I824" s="27"/>
      <c r="J824" s="27"/>
      <c r="K824" s="27"/>
      <c r="L824" s="27"/>
      <c r="M824" s="27"/>
      <c r="N824" s="27"/>
      <c r="O824" s="27">
        <v>2.0</v>
      </c>
      <c r="P824" s="27">
        <v>1.0</v>
      </c>
      <c r="Q824" s="27"/>
      <c r="R824" s="17"/>
      <c r="S824" s="17">
        <v>1.0</v>
      </c>
      <c r="T824" s="14">
        <f t="shared" si="38"/>
        <v>4</v>
      </c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r="825" ht="15.75" customHeight="1">
      <c r="A825" s="14" t="s">
        <v>1040</v>
      </c>
      <c r="B825" s="19" t="s">
        <v>125</v>
      </c>
      <c r="C825" s="16"/>
      <c r="D825" s="17"/>
      <c r="E825" s="18"/>
      <c r="F825" s="14"/>
      <c r="G825" s="20"/>
      <c r="H825" s="14"/>
      <c r="I825" s="14"/>
      <c r="J825" s="14"/>
      <c r="K825" s="14"/>
      <c r="L825" s="14"/>
      <c r="M825" s="14"/>
      <c r="N825" s="14">
        <v>5.0</v>
      </c>
      <c r="O825" s="14">
        <v>3.0</v>
      </c>
      <c r="P825" s="14">
        <v>1.0</v>
      </c>
      <c r="Q825" s="14"/>
      <c r="R825" s="19">
        <v>1.0</v>
      </c>
      <c r="S825" s="19">
        <v>2.0</v>
      </c>
      <c r="T825" s="14">
        <f t="shared" si="38"/>
        <v>12</v>
      </c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</row>
    <row r="826" ht="15.75" customHeight="1">
      <c r="A826" s="27" t="s">
        <v>1041</v>
      </c>
      <c r="B826" s="17" t="s">
        <v>152</v>
      </c>
      <c r="C826" s="25"/>
      <c r="D826" s="17"/>
      <c r="E826" s="18"/>
      <c r="F826" s="27"/>
      <c r="G826" s="26"/>
      <c r="H826" s="27"/>
      <c r="I826" s="27"/>
      <c r="J826" s="27">
        <v>2.0</v>
      </c>
      <c r="K826" s="27"/>
      <c r="L826" s="27"/>
      <c r="M826" s="27"/>
      <c r="N826" s="27"/>
      <c r="O826" s="27"/>
      <c r="P826" s="27"/>
      <c r="Q826" s="17">
        <v>2.0</v>
      </c>
      <c r="R826" s="27"/>
      <c r="S826" s="17">
        <v>1.0</v>
      </c>
      <c r="T826" s="14">
        <f t="shared" si="38"/>
        <v>5</v>
      </c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r="827" ht="15.75" customHeight="1">
      <c r="A827" s="14" t="s">
        <v>1042</v>
      </c>
      <c r="B827" s="19" t="s">
        <v>451</v>
      </c>
      <c r="C827" s="16"/>
      <c r="D827" s="17"/>
      <c r="E827" s="18"/>
      <c r="F827" s="14"/>
      <c r="G827" s="20"/>
      <c r="H827" s="14"/>
      <c r="I827" s="14"/>
      <c r="J827" s="14">
        <v>3.0</v>
      </c>
      <c r="K827" s="14">
        <v>1.0</v>
      </c>
      <c r="L827" s="14">
        <v>1.0</v>
      </c>
      <c r="M827" s="14"/>
      <c r="N827" s="14"/>
      <c r="O827" s="14"/>
      <c r="P827" s="14">
        <v>2.0</v>
      </c>
      <c r="Q827" s="19">
        <v>1.0</v>
      </c>
      <c r="R827" s="14"/>
      <c r="S827" s="14"/>
      <c r="T827" s="14">
        <f t="shared" si="38"/>
        <v>8</v>
      </c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</row>
    <row r="828" ht="15.75" customHeight="1">
      <c r="A828" s="27" t="s">
        <v>1043</v>
      </c>
      <c r="B828" s="17" t="s">
        <v>488</v>
      </c>
      <c r="C828" s="25"/>
      <c r="D828" s="17"/>
      <c r="E828" s="18"/>
      <c r="F828" s="27"/>
      <c r="G828" s="27"/>
      <c r="H828" s="27"/>
      <c r="I828" s="27"/>
      <c r="J828" s="27"/>
      <c r="K828" s="27"/>
      <c r="L828" s="27"/>
      <c r="M828" s="27">
        <v>12.0</v>
      </c>
      <c r="N828" s="27">
        <v>9.0</v>
      </c>
      <c r="O828" s="27">
        <v>3.0</v>
      </c>
      <c r="P828" s="27">
        <v>3.0</v>
      </c>
      <c r="Q828" s="27"/>
      <c r="R828" s="17">
        <v>2.0</v>
      </c>
      <c r="S828" s="17"/>
      <c r="T828" s="14">
        <f t="shared" si="38"/>
        <v>29</v>
      </c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r="829" ht="15.75" customHeight="1">
      <c r="A829" s="14" t="s">
        <v>1044</v>
      </c>
      <c r="B829" s="19" t="s">
        <v>60</v>
      </c>
      <c r="C829" s="16"/>
      <c r="D829" s="17"/>
      <c r="E829" s="18"/>
      <c r="F829" s="67"/>
      <c r="G829" s="23" t="s">
        <v>1045</v>
      </c>
      <c r="H829" s="14"/>
      <c r="I829" s="14"/>
      <c r="J829" s="14"/>
      <c r="K829" s="14"/>
      <c r="L829" s="34">
        <v>4.0</v>
      </c>
      <c r="M829" s="34">
        <v>2.0</v>
      </c>
      <c r="N829" s="34"/>
      <c r="O829" s="34">
        <v>1.0</v>
      </c>
      <c r="P829" s="34">
        <v>1.0</v>
      </c>
      <c r="Q829" s="34"/>
      <c r="R829" s="34"/>
      <c r="S829" s="34"/>
      <c r="T829" s="34">
        <f t="shared" si="38"/>
        <v>8</v>
      </c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</row>
    <row r="830" ht="15.75" customHeight="1">
      <c r="A830" s="27" t="s">
        <v>1044</v>
      </c>
      <c r="B830" s="17" t="s">
        <v>214</v>
      </c>
      <c r="C830" s="25"/>
      <c r="D830" s="17"/>
      <c r="E830" s="18"/>
      <c r="F830" s="27"/>
      <c r="G830" s="26"/>
      <c r="H830" s="27"/>
      <c r="I830" s="27"/>
      <c r="J830" s="27"/>
      <c r="K830" s="27"/>
      <c r="L830" s="35"/>
      <c r="M830" s="35"/>
      <c r="N830" s="35"/>
      <c r="O830" s="35"/>
      <c r="P830" s="35"/>
      <c r="Q830" s="41"/>
      <c r="R830" s="41"/>
      <c r="S830" s="41"/>
      <c r="T830" s="35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r="831" ht="15.75" customHeight="1">
      <c r="A831" s="14" t="s">
        <v>1046</v>
      </c>
      <c r="B831" s="14" t="s">
        <v>133</v>
      </c>
      <c r="C831" s="16"/>
      <c r="D831" s="17"/>
      <c r="E831" s="18"/>
      <c r="F831" s="14"/>
      <c r="G831" s="20"/>
      <c r="H831" s="14"/>
      <c r="I831" s="14"/>
      <c r="J831" s="14"/>
      <c r="K831" s="14"/>
      <c r="L831" s="14"/>
      <c r="M831" s="14">
        <v>1.0</v>
      </c>
      <c r="N831" s="14">
        <v>1.0</v>
      </c>
      <c r="O831" s="14">
        <v>3.0</v>
      </c>
      <c r="P831" s="14">
        <v>1.0</v>
      </c>
      <c r="Q831" s="14"/>
      <c r="R831" s="14"/>
      <c r="S831" s="14"/>
      <c r="T831" s="14">
        <f t="shared" ref="T831:T856" si="39">SUM(I831:S831)</f>
        <v>6</v>
      </c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</row>
    <row r="832" ht="15.75" customHeight="1">
      <c r="A832" s="27" t="s">
        <v>1047</v>
      </c>
      <c r="B832" s="17" t="s">
        <v>27</v>
      </c>
      <c r="C832" s="25"/>
      <c r="D832" s="17"/>
      <c r="E832" s="18"/>
      <c r="F832" s="27"/>
      <c r="G832" s="26"/>
      <c r="H832" s="27"/>
      <c r="I832" s="27"/>
      <c r="J832" s="27">
        <v>2.0</v>
      </c>
      <c r="K832" s="27">
        <v>1.0</v>
      </c>
      <c r="L832" s="27">
        <v>4.0</v>
      </c>
      <c r="M832" s="27">
        <v>3.0</v>
      </c>
      <c r="N832" s="27">
        <v>1.0</v>
      </c>
      <c r="O832" s="27">
        <v>1.0</v>
      </c>
      <c r="P832" s="27">
        <v>2.0</v>
      </c>
      <c r="Q832" s="17">
        <v>1.0</v>
      </c>
      <c r="R832" s="27"/>
      <c r="S832" s="27"/>
      <c r="T832" s="14">
        <f t="shared" si="39"/>
        <v>15</v>
      </c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r="833" ht="15.75" customHeight="1">
      <c r="A833" s="19" t="s">
        <v>1048</v>
      </c>
      <c r="B833" s="19" t="s">
        <v>107</v>
      </c>
      <c r="C833" s="16"/>
      <c r="D833" s="17"/>
      <c r="E833" s="18"/>
      <c r="F833" s="14"/>
      <c r="G833" s="20"/>
      <c r="H833" s="14"/>
      <c r="I833" s="14"/>
      <c r="J833" s="14"/>
      <c r="K833" s="14"/>
      <c r="L833" s="14">
        <v>5.0</v>
      </c>
      <c r="M833" s="14">
        <v>1.0</v>
      </c>
      <c r="N833" s="14"/>
      <c r="O833" s="14"/>
      <c r="P833" s="14">
        <v>1.0</v>
      </c>
      <c r="Q833" s="14"/>
      <c r="R833" s="14"/>
      <c r="S833" s="19">
        <v>1.0</v>
      </c>
      <c r="T833" s="14">
        <f t="shared" si="39"/>
        <v>8</v>
      </c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</row>
    <row r="834" ht="15.75" customHeight="1">
      <c r="A834" s="27" t="s">
        <v>1049</v>
      </c>
      <c r="B834" s="27" t="s">
        <v>202</v>
      </c>
      <c r="C834" s="25"/>
      <c r="D834" s="17"/>
      <c r="E834" s="18"/>
      <c r="F834" s="27"/>
      <c r="G834" s="26"/>
      <c r="H834" s="27"/>
      <c r="I834" s="27">
        <v>1.0</v>
      </c>
      <c r="J834" s="27">
        <v>2.0</v>
      </c>
      <c r="K834" s="27"/>
      <c r="L834" s="27"/>
      <c r="M834" s="27"/>
      <c r="N834" s="27"/>
      <c r="O834" s="27"/>
      <c r="P834" s="27"/>
      <c r="Q834" s="27"/>
      <c r="R834" s="27"/>
      <c r="S834" s="27"/>
      <c r="T834" s="14">
        <f t="shared" si="39"/>
        <v>3</v>
      </c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r="835" ht="15.75" customHeight="1">
      <c r="A835" s="17" t="s">
        <v>1050</v>
      </c>
      <c r="B835" s="17" t="s">
        <v>107</v>
      </c>
      <c r="C835" s="30" t="s">
        <v>335</v>
      </c>
      <c r="D835" s="17"/>
      <c r="E835" s="18"/>
      <c r="F835" s="17"/>
      <c r="G835" s="26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17">
        <v>1.0</v>
      </c>
      <c r="T835" s="14">
        <f t="shared" si="39"/>
        <v>1</v>
      </c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 ht="15.75" customHeight="1">
      <c r="A836" s="27" t="s">
        <v>1051</v>
      </c>
      <c r="B836" s="17" t="s">
        <v>102</v>
      </c>
      <c r="C836" s="25"/>
      <c r="D836" s="17"/>
      <c r="E836" s="18"/>
      <c r="F836" s="27"/>
      <c r="G836" s="26"/>
      <c r="H836" s="27"/>
      <c r="I836" s="27"/>
      <c r="J836" s="27"/>
      <c r="K836" s="27"/>
      <c r="L836" s="27"/>
      <c r="M836" s="27">
        <v>3.0</v>
      </c>
      <c r="N836" s="27">
        <v>3.0</v>
      </c>
      <c r="O836" s="27"/>
      <c r="P836" s="27"/>
      <c r="Q836" s="27"/>
      <c r="R836" s="27"/>
      <c r="S836" s="27"/>
      <c r="T836" s="14">
        <f t="shared" si="39"/>
        <v>6</v>
      </c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r="837" ht="15.75" customHeight="1">
      <c r="A837" s="14" t="s">
        <v>1052</v>
      </c>
      <c r="B837" s="19" t="s">
        <v>38</v>
      </c>
      <c r="C837" s="16"/>
      <c r="D837" s="17"/>
      <c r="E837" s="18"/>
      <c r="F837" s="14"/>
      <c r="G837" s="20"/>
      <c r="H837" s="14"/>
      <c r="I837" s="14"/>
      <c r="J837" s="14"/>
      <c r="K837" s="14"/>
      <c r="L837" s="14"/>
      <c r="M837" s="14">
        <v>1.0</v>
      </c>
      <c r="N837" s="14">
        <v>2.0</v>
      </c>
      <c r="O837" s="14"/>
      <c r="P837" s="14"/>
      <c r="Q837" s="14"/>
      <c r="R837" s="19">
        <v>1.0</v>
      </c>
      <c r="S837" s="19"/>
      <c r="T837" s="14">
        <f t="shared" si="39"/>
        <v>4</v>
      </c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</row>
    <row r="838" ht="15.75" customHeight="1">
      <c r="A838" s="27" t="s">
        <v>1053</v>
      </c>
      <c r="B838" s="27" t="s">
        <v>133</v>
      </c>
      <c r="C838" s="25"/>
      <c r="D838" s="17"/>
      <c r="E838" s="18"/>
      <c r="F838" s="51"/>
      <c r="G838" s="26"/>
      <c r="H838" s="27"/>
      <c r="I838" s="27"/>
      <c r="J838" s="27"/>
      <c r="K838" s="27">
        <v>2.0</v>
      </c>
      <c r="L838" s="27">
        <v>2.0</v>
      </c>
      <c r="M838" s="27"/>
      <c r="N838" s="27"/>
      <c r="O838" s="27"/>
      <c r="P838" s="27"/>
      <c r="Q838" s="27"/>
      <c r="R838" s="27"/>
      <c r="S838" s="27"/>
      <c r="T838" s="14">
        <f t="shared" si="39"/>
        <v>4</v>
      </c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r="839" ht="15.75" customHeight="1">
      <c r="A839" s="14" t="s">
        <v>1054</v>
      </c>
      <c r="B839" s="14" t="s">
        <v>580</v>
      </c>
      <c r="C839" s="16"/>
      <c r="D839" s="17"/>
      <c r="E839" s="18"/>
      <c r="F839" s="14"/>
      <c r="G839" s="20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>
        <f t="shared" si="39"/>
        <v>0</v>
      </c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</row>
    <row r="840" ht="15.75" customHeight="1">
      <c r="A840" s="19" t="s">
        <v>1055</v>
      </c>
      <c r="B840" s="19" t="s">
        <v>361</v>
      </c>
      <c r="C840" s="24" t="s">
        <v>150</v>
      </c>
      <c r="D840" s="17"/>
      <c r="E840" s="18"/>
      <c r="F840" s="19"/>
      <c r="G840" s="20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9">
        <v>2.0</v>
      </c>
      <c r="T840" s="14">
        <f t="shared" si="39"/>
        <v>2</v>
      </c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</row>
    <row r="841" ht="15.75" customHeight="1">
      <c r="A841" s="17" t="s">
        <v>1056</v>
      </c>
      <c r="B841" s="17" t="s">
        <v>27</v>
      </c>
      <c r="C841" s="25"/>
      <c r="D841" s="17"/>
      <c r="E841" s="18"/>
      <c r="F841" s="27"/>
      <c r="G841" s="26"/>
      <c r="H841" s="27"/>
      <c r="I841" s="27"/>
      <c r="J841" s="27"/>
      <c r="K841" s="27"/>
      <c r="L841" s="27"/>
      <c r="M841" s="27"/>
      <c r="N841" s="27">
        <v>1.0</v>
      </c>
      <c r="O841" s="27">
        <v>1.0</v>
      </c>
      <c r="P841" s="27">
        <v>3.0</v>
      </c>
      <c r="Q841" s="17">
        <v>1.0</v>
      </c>
      <c r="R841" s="17">
        <v>1.0</v>
      </c>
      <c r="S841" s="17"/>
      <c r="T841" s="14">
        <f t="shared" si="39"/>
        <v>7</v>
      </c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 ht="15.75" customHeight="1">
      <c r="A842" s="19" t="s">
        <v>1057</v>
      </c>
      <c r="B842" s="19" t="s">
        <v>716</v>
      </c>
      <c r="C842" s="16"/>
      <c r="D842" s="17"/>
      <c r="E842" s="18"/>
      <c r="F842" s="14"/>
      <c r="G842" s="20"/>
      <c r="H842" s="14"/>
      <c r="I842" s="14"/>
      <c r="J842" s="14">
        <v>1.0</v>
      </c>
      <c r="K842" s="14"/>
      <c r="L842" s="14"/>
      <c r="M842" s="14"/>
      <c r="N842" s="14"/>
      <c r="O842" s="14"/>
      <c r="P842" s="14"/>
      <c r="Q842" s="19">
        <v>1.0</v>
      </c>
      <c r="R842" s="14"/>
      <c r="S842" s="14"/>
      <c r="T842" s="14">
        <f t="shared" si="39"/>
        <v>2</v>
      </c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</row>
    <row r="843" ht="15.75" customHeight="1">
      <c r="A843" s="19" t="s">
        <v>1058</v>
      </c>
      <c r="B843" s="19" t="s">
        <v>125</v>
      </c>
      <c r="C843" s="24" t="s">
        <v>335</v>
      </c>
      <c r="D843" s="17"/>
      <c r="E843" s="18"/>
      <c r="F843" s="19"/>
      <c r="G843" s="42" t="s">
        <v>40</v>
      </c>
      <c r="H843" s="43">
        <v>45845.0</v>
      </c>
      <c r="I843" s="14"/>
      <c r="J843" s="14"/>
      <c r="K843" s="14"/>
      <c r="L843" s="14"/>
      <c r="M843" s="14"/>
      <c r="N843" s="14"/>
      <c r="O843" s="14"/>
      <c r="P843" s="14"/>
      <c r="Q843" s="19"/>
      <c r="R843" s="14"/>
      <c r="S843" s="19">
        <v>2.0</v>
      </c>
      <c r="T843" s="14">
        <f t="shared" si="39"/>
        <v>2</v>
      </c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</row>
    <row r="844" ht="15.75" customHeight="1">
      <c r="A844" s="27" t="s">
        <v>1059</v>
      </c>
      <c r="B844" s="37" t="s">
        <v>421</v>
      </c>
      <c r="C844" s="59"/>
      <c r="D844" s="17"/>
      <c r="E844" s="18"/>
      <c r="F844" s="49"/>
      <c r="G844" s="26"/>
      <c r="H844" s="27"/>
      <c r="I844" s="27">
        <v>2.0</v>
      </c>
      <c r="J844" s="27">
        <v>4.0</v>
      </c>
      <c r="K844" s="27">
        <v>4.0</v>
      </c>
      <c r="L844" s="27">
        <v>1.0</v>
      </c>
      <c r="M844" s="27">
        <v>5.0</v>
      </c>
      <c r="N844" s="27">
        <v>4.0</v>
      </c>
      <c r="O844" s="27"/>
      <c r="P844" s="27"/>
      <c r="Q844" s="27"/>
      <c r="R844" s="17">
        <v>1.0</v>
      </c>
      <c r="S844" s="17">
        <v>1.0</v>
      </c>
      <c r="T844" s="14">
        <f t="shared" si="39"/>
        <v>22</v>
      </c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r="845" ht="15.75" customHeight="1">
      <c r="A845" s="19" t="s">
        <v>1060</v>
      </c>
      <c r="B845" s="19" t="s">
        <v>716</v>
      </c>
      <c r="C845" s="16"/>
      <c r="D845" s="17"/>
      <c r="E845" s="18"/>
      <c r="F845" s="14"/>
      <c r="G845" s="20"/>
      <c r="H845" s="14"/>
      <c r="I845" s="14"/>
      <c r="J845" s="14"/>
      <c r="K845" s="14"/>
      <c r="L845" s="14"/>
      <c r="M845" s="14">
        <v>4.0</v>
      </c>
      <c r="N845" s="14">
        <v>2.0</v>
      </c>
      <c r="O845" s="14"/>
      <c r="P845" s="14"/>
      <c r="Q845" s="14"/>
      <c r="R845" s="14"/>
      <c r="S845" s="14"/>
      <c r="T845" s="14">
        <f t="shared" si="39"/>
        <v>6</v>
      </c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</row>
    <row r="846" ht="15.75" customHeight="1">
      <c r="A846" s="27" t="s">
        <v>1061</v>
      </c>
      <c r="B846" s="17" t="s">
        <v>454</v>
      </c>
      <c r="C846" s="25"/>
      <c r="D846" s="17"/>
      <c r="E846" s="18"/>
      <c r="F846" s="27"/>
      <c r="G846" s="26"/>
      <c r="H846" s="27"/>
      <c r="I846" s="27">
        <v>2.0</v>
      </c>
      <c r="J846" s="27">
        <v>3.0</v>
      </c>
      <c r="K846" s="27">
        <v>1.0</v>
      </c>
      <c r="L846" s="27">
        <v>1.0</v>
      </c>
      <c r="M846" s="27"/>
      <c r="N846" s="27"/>
      <c r="O846" s="27"/>
      <c r="P846" s="27"/>
      <c r="Q846" s="27"/>
      <c r="R846" s="27"/>
      <c r="S846" s="27"/>
      <c r="T846" s="14">
        <f t="shared" si="39"/>
        <v>7</v>
      </c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r="847" ht="15.75" customHeight="1">
      <c r="A847" s="14" t="s">
        <v>1062</v>
      </c>
      <c r="B847" s="19" t="s">
        <v>152</v>
      </c>
      <c r="C847" s="16"/>
      <c r="D847" s="17"/>
      <c r="E847" s="18"/>
      <c r="F847" s="14"/>
      <c r="G847" s="20"/>
      <c r="H847" s="14"/>
      <c r="I847" s="14"/>
      <c r="J847" s="14"/>
      <c r="K847" s="14">
        <v>2.0</v>
      </c>
      <c r="L847" s="14"/>
      <c r="M847" s="14">
        <v>1.0</v>
      </c>
      <c r="N847" s="14"/>
      <c r="O847" s="14">
        <v>1.0</v>
      </c>
      <c r="P847" s="14"/>
      <c r="Q847" s="14"/>
      <c r="R847" s="14"/>
      <c r="S847" s="14"/>
      <c r="T847" s="14">
        <f t="shared" si="39"/>
        <v>4</v>
      </c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</row>
    <row r="848" ht="15.75" customHeight="1">
      <c r="A848" s="27" t="s">
        <v>1063</v>
      </c>
      <c r="B848" s="17" t="s">
        <v>532</v>
      </c>
      <c r="C848" s="25"/>
      <c r="D848" s="17"/>
      <c r="E848" s="18"/>
      <c r="F848" s="27"/>
      <c r="G848" s="26"/>
      <c r="H848" s="27"/>
      <c r="I848" s="27"/>
      <c r="J848" s="27"/>
      <c r="K848" s="27">
        <v>1.0</v>
      </c>
      <c r="L848" s="27">
        <v>1.0</v>
      </c>
      <c r="M848" s="27">
        <v>1.0</v>
      </c>
      <c r="N848" s="27">
        <v>1.0</v>
      </c>
      <c r="O848" s="27"/>
      <c r="P848" s="27"/>
      <c r="Q848" s="27"/>
      <c r="R848" s="27"/>
      <c r="S848" s="27"/>
      <c r="T848" s="14">
        <f t="shared" si="39"/>
        <v>4</v>
      </c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r="849" ht="15.75" customHeight="1">
      <c r="A849" s="14" t="s">
        <v>1064</v>
      </c>
      <c r="B849" s="19" t="s">
        <v>338</v>
      </c>
      <c r="C849" s="16"/>
      <c r="D849" s="17"/>
      <c r="E849" s="18"/>
      <c r="F849" s="14"/>
      <c r="G849" s="23" t="s">
        <v>1065</v>
      </c>
      <c r="H849" s="14"/>
      <c r="I849" s="14"/>
      <c r="J849" s="14"/>
      <c r="K849" s="14">
        <v>2.0</v>
      </c>
      <c r="L849" s="14">
        <v>1.0</v>
      </c>
      <c r="M849" s="14">
        <v>1.0</v>
      </c>
      <c r="N849" s="14">
        <v>2.0</v>
      </c>
      <c r="O849" s="14"/>
      <c r="P849" s="14"/>
      <c r="Q849" s="19">
        <v>1.0</v>
      </c>
      <c r="R849" s="14"/>
      <c r="S849" s="19">
        <v>1.0</v>
      </c>
      <c r="T849" s="14">
        <f t="shared" si="39"/>
        <v>8</v>
      </c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</row>
    <row r="850" ht="15.75" customHeight="1">
      <c r="A850" s="27" t="s">
        <v>1066</v>
      </c>
      <c r="B850" s="17" t="s">
        <v>129</v>
      </c>
      <c r="C850" s="118"/>
      <c r="D850" s="17"/>
      <c r="E850" s="18"/>
      <c r="F850" s="27"/>
      <c r="G850" s="26"/>
      <c r="H850" s="27"/>
      <c r="I850" s="27"/>
      <c r="J850" s="27">
        <v>2.0</v>
      </c>
      <c r="K850" s="27"/>
      <c r="L850" s="27">
        <v>1.0</v>
      </c>
      <c r="M850" s="27">
        <v>2.0</v>
      </c>
      <c r="N850" s="27">
        <v>2.0</v>
      </c>
      <c r="O850" s="27"/>
      <c r="P850" s="27"/>
      <c r="Q850" s="46">
        <v>3.0</v>
      </c>
      <c r="R850" s="33"/>
      <c r="S850" s="46">
        <v>1.0</v>
      </c>
      <c r="T850" s="14">
        <f t="shared" si="39"/>
        <v>11</v>
      </c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r="851" ht="15.75" customHeight="1">
      <c r="A851" s="19" t="s">
        <v>1067</v>
      </c>
      <c r="B851" s="19" t="s">
        <v>230</v>
      </c>
      <c r="C851" s="24" t="s">
        <v>1068</v>
      </c>
      <c r="D851" s="17"/>
      <c r="E851" s="18"/>
      <c r="F851" s="19"/>
      <c r="G851" s="14"/>
      <c r="H851" s="14"/>
      <c r="I851" s="14"/>
      <c r="J851" s="14"/>
      <c r="K851" s="14"/>
      <c r="L851" s="14"/>
      <c r="M851" s="14"/>
      <c r="N851" s="27"/>
      <c r="O851" s="14"/>
      <c r="P851" s="14"/>
      <c r="Q851" s="40"/>
      <c r="R851" s="33"/>
      <c r="S851" s="33"/>
      <c r="T851" s="14">
        <f t="shared" si="39"/>
        <v>0</v>
      </c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</row>
    <row r="852" ht="15.75" customHeight="1">
      <c r="A852" s="17" t="s">
        <v>1069</v>
      </c>
      <c r="B852" s="17" t="s">
        <v>585</v>
      </c>
      <c r="C852" s="25"/>
      <c r="D852" s="17"/>
      <c r="E852" s="18"/>
      <c r="F852" s="27"/>
      <c r="G852" s="27"/>
      <c r="H852" s="27"/>
      <c r="I852" s="27"/>
      <c r="J852" s="27"/>
      <c r="K852" s="27"/>
      <c r="L852" s="27">
        <v>1.0</v>
      </c>
      <c r="M852" s="27">
        <v>2.0</v>
      </c>
      <c r="N852" s="27"/>
      <c r="O852" s="27"/>
      <c r="P852" s="27"/>
      <c r="Q852" s="27"/>
      <c r="R852" s="17">
        <v>1.0</v>
      </c>
      <c r="S852" s="17"/>
      <c r="T852" s="14">
        <f t="shared" si="39"/>
        <v>4</v>
      </c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r="853" ht="15.75" customHeight="1">
      <c r="A853" s="19" t="s">
        <v>1070</v>
      </c>
      <c r="B853" s="19" t="s">
        <v>42</v>
      </c>
      <c r="C853" s="16"/>
      <c r="D853" s="17"/>
      <c r="E853" s="18"/>
      <c r="F853" s="14"/>
      <c r="G853" s="20"/>
      <c r="H853" s="14"/>
      <c r="I853" s="14"/>
      <c r="J853" s="14"/>
      <c r="K853" s="14"/>
      <c r="L853" s="14"/>
      <c r="M853" s="14"/>
      <c r="N853" s="14"/>
      <c r="O853" s="14"/>
      <c r="P853" s="14">
        <v>1.0</v>
      </c>
      <c r="Q853" s="19">
        <v>1.0</v>
      </c>
      <c r="R853" s="14"/>
      <c r="S853" s="14"/>
      <c r="T853" s="14">
        <f t="shared" si="39"/>
        <v>2</v>
      </c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</row>
    <row r="854" ht="15.75" customHeight="1">
      <c r="A854" s="27" t="s">
        <v>1071</v>
      </c>
      <c r="B854" s="17" t="s">
        <v>166</v>
      </c>
      <c r="C854" s="25"/>
      <c r="D854" s="17"/>
      <c r="E854" s="18"/>
      <c r="F854" s="27"/>
      <c r="G854" s="26"/>
      <c r="H854" s="27"/>
      <c r="I854" s="27"/>
      <c r="J854" s="27">
        <v>1.0</v>
      </c>
      <c r="K854" s="27">
        <v>2.0</v>
      </c>
      <c r="L854" s="27">
        <v>1.0</v>
      </c>
      <c r="M854" s="27">
        <v>2.0</v>
      </c>
      <c r="N854" s="27">
        <v>1.0</v>
      </c>
      <c r="O854" s="27">
        <v>3.0</v>
      </c>
      <c r="P854" s="27">
        <v>2.0</v>
      </c>
      <c r="Q854" s="17">
        <v>1.0</v>
      </c>
      <c r="R854" s="17">
        <v>1.0</v>
      </c>
      <c r="S854" s="17"/>
      <c r="T854" s="14">
        <f t="shared" si="39"/>
        <v>14</v>
      </c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r="855" ht="15.75" customHeight="1">
      <c r="A855" s="14" t="s">
        <v>1072</v>
      </c>
      <c r="B855" s="14" t="s">
        <v>619</v>
      </c>
      <c r="C855" s="16"/>
      <c r="D855" s="17"/>
      <c r="E855" s="18"/>
      <c r="F855" s="14"/>
      <c r="G855" s="14"/>
      <c r="H855" s="14"/>
      <c r="I855" s="14"/>
      <c r="J855" s="14"/>
      <c r="K855" s="14"/>
      <c r="L855" s="14">
        <v>1.0</v>
      </c>
      <c r="M855" s="14"/>
      <c r="N855" s="14">
        <v>1.0</v>
      </c>
      <c r="O855" s="14">
        <v>1.0</v>
      </c>
      <c r="P855" s="14"/>
      <c r="Q855" s="19">
        <v>1.0</v>
      </c>
      <c r="R855" s="14"/>
      <c r="S855" s="14"/>
      <c r="T855" s="14">
        <f t="shared" si="39"/>
        <v>4</v>
      </c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</row>
    <row r="856" ht="15.75" customHeight="1">
      <c r="A856" s="27" t="s">
        <v>1073</v>
      </c>
      <c r="B856" s="33" t="s">
        <v>1074</v>
      </c>
      <c r="C856" s="25"/>
      <c r="D856" s="17"/>
      <c r="E856" s="18"/>
      <c r="F856" s="49"/>
      <c r="G856" s="27" t="s">
        <v>40</v>
      </c>
      <c r="H856" s="27" t="s">
        <v>435</v>
      </c>
      <c r="I856" s="27"/>
      <c r="J856" s="27"/>
      <c r="K856" s="27">
        <v>3.0</v>
      </c>
      <c r="L856" s="27">
        <v>1.0</v>
      </c>
      <c r="M856" s="27">
        <v>2.0</v>
      </c>
      <c r="N856" s="27">
        <v>2.0</v>
      </c>
      <c r="O856" s="27"/>
      <c r="P856" s="27"/>
      <c r="Q856" s="33"/>
      <c r="R856" s="46">
        <v>1.0</v>
      </c>
      <c r="S856" s="46"/>
      <c r="T856" s="34">
        <f t="shared" si="39"/>
        <v>9</v>
      </c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r="857" ht="15.75" customHeight="1">
      <c r="A857" s="19" t="s">
        <v>1075</v>
      </c>
      <c r="B857" s="35"/>
      <c r="C857" s="16"/>
      <c r="D857" s="17"/>
      <c r="E857" s="18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41"/>
      <c r="R857" s="41"/>
      <c r="S857" s="41"/>
      <c r="T857" s="35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</row>
    <row r="858" ht="15.75" customHeight="1">
      <c r="A858" s="17" t="s">
        <v>1076</v>
      </c>
      <c r="B858" s="17" t="s">
        <v>65</v>
      </c>
      <c r="C858" s="25"/>
      <c r="D858" s="17"/>
      <c r="E858" s="18"/>
      <c r="F858" s="27"/>
      <c r="G858" s="27"/>
      <c r="H858" s="27"/>
      <c r="I858" s="27"/>
      <c r="J858" s="27"/>
      <c r="K858" s="27"/>
      <c r="L858" s="27"/>
      <c r="M858" s="27"/>
      <c r="N858" s="27">
        <v>2.0</v>
      </c>
      <c r="O858" s="27">
        <v>1.0</v>
      </c>
      <c r="P858" s="27"/>
      <c r="Q858" s="27"/>
      <c r="R858" s="27"/>
      <c r="S858" s="27"/>
      <c r="T858" s="14">
        <f t="shared" ref="T858:T870" si="40">SUM(I858:S858)</f>
        <v>3</v>
      </c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r="859" ht="15.75" customHeight="1">
      <c r="A859" s="14" t="s">
        <v>1077</v>
      </c>
      <c r="B859" s="19" t="s">
        <v>532</v>
      </c>
      <c r="C859" s="16"/>
      <c r="D859" s="17"/>
      <c r="E859" s="18"/>
      <c r="F859" s="14"/>
      <c r="G859" s="14"/>
      <c r="H859" s="14"/>
      <c r="I859" s="14"/>
      <c r="J859" s="14"/>
      <c r="K859" s="14"/>
      <c r="L859" s="14">
        <v>1.0</v>
      </c>
      <c r="M859" s="14"/>
      <c r="N859" s="14"/>
      <c r="O859" s="14"/>
      <c r="P859" s="14"/>
      <c r="Q859" s="14"/>
      <c r="R859" s="19">
        <v>1.0</v>
      </c>
      <c r="S859" s="19"/>
      <c r="T859" s="14">
        <f t="shared" si="40"/>
        <v>2</v>
      </c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</row>
    <row r="860" ht="15.75" customHeight="1">
      <c r="A860" s="101" t="s">
        <v>1078</v>
      </c>
      <c r="B860" s="17" t="s">
        <v>25</v>
      </c>
      <c r="C860" s="25"/>
      <c r="D860" s="17"/>
      <c r="E860" s="18"/>
      <c r="F860" s="27"/>
      <c r="G860" s="26"/>
      <c r="H860" s="27"/>
      <c r="I860" s="27"/>
      <c r="J860" s="27"/>
      <c r="K860" s="27"/>
      <c r="L860" s="27"/>
      <c r="M860" s="27"/>
      <c r="N860" s="27"/>
      <c r="O860" s="27"/>
      <c r="P860" s="27"/>
      <c r="Q860" s="17">
        <v>1.0</v>
      </c>
      <c r="R860" s="27"/>
      <c r="S860" s="27"/>
      <c r="T860" s="14">
        <f t="shared" si="40"/>
        <v>1</v>
      </c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r="861" ht="15.75" customHeight="1">
      <c r="A861" s="19" t="s">
        <v>1079</v>
      </c>
      <c r="B861" s="19" t="s">
        <v>51</v>
      </c>
      <c r="C861" s="16"/>
      <c r="D861" s="17"/>
      <c r="E861" s="18"/>
      <c r="F861" s="14"/>
      <c r="G861" s="20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9">
        <v>4.0</v>
      </c>
      <c r="S861" s="19">
        <v>1.0</v>
      </c>
      <c r="T861" s="14">
        <f t="shared" si="40"/>
        <v>5</v>
      </c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</row>
    <row r="862" ht="15.75" customHeight="1">
      <c r="A862" s="19" t="s">
        <v>1080</v>
      </c>
      <c r="B862" s="19" t="s">
        <v>276</v>
      </c>
      <c r="C862" s="16"/>
      <c r="D862" s="47"/>
      <c r="E862" s="48"/>
      <c r="F862" s="14"/>
      <c r="G862" s="20"/>
      <c r="H862" s="14"/>
      <c r="I862" s="14"/>
      <c r="J862" s="14"/>
      <c r="K862" s="14"/>
      <c r="L862" s="14">
        <v>3.0</v>
      </c>
      <c r="M862" s="14">
        <v>5.0</v>
      </c>
      <c r="N862" s="14">
        <v>5.0</v>
      </c>
      <c r="O862" s="14">
        <v>3.0</v>
      </c>
      <c r="P862" s="14">
        <v>2.0</v>
      </c>
      <c r="Q862" s="19">
        <v>1.0</v>
      </c>
      <c r="R862" s="19">
        <v>3.0</v>
      </c>
      <c r="S862" s="19">
        <v>1.0</v>
      </c>
      <c r="T862" s="14">
        <f t="shared" si="40"/>
        <v>23</v>
      </c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</row>
    <row r="863" ht="15.75" customHeight="1">
      <c r="A863" s="19" t="s">
        <v>1081</v>
      </c>
      <c r="B863" s="19" t="s">
        <v>600</v>
      </c>
      <c r="C863" s="24" t="s">
        <v>368</v>
      </c>
      <c r="D863" s="47" t="s">
        <v>438</v>
      </c>
      <c r="E863" s="48">
        <v>45953.0</v>
      </c>
      <c r="F863" s="19"/>
      <c r="G863" s="20"/>
      <c r="H863" s="14"/>
      <c r="I863" s="14"/>
      <c r="J863" s="14"/>
      <c r="K863" s="14"/>
      <c r="L863" s="14"/>
      <c r="M863" s="14"/>
      <c r="N863" s="14"/>
      <c r="O863" s="14"/>
      <c r="P863" s="14"/>
      <c r="Q863" s="19"/>
      <c r="R863" s="19"/>
      <c r="S863" s="19">
        <v>1.0</v>
      </c>
      <c r="T863" s="14">
        <f t="shared" si="40"/>
        <v>1</v>
      </c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</row>
    <row r="864" ht="15.75" customHeight="1">
      <c r="A864" s="17" t="s">
        <v>1082</v>
      </c>
      <c r="B864" s="17" t="s">
        <v>27</v>
      </c>
      <c r="C864" s="25"/>
      <c r="D864" s="17"/>
      <c r="E864" s="48"/>
      <c r="F864" s="27"/>
      <c r="G864" s="26"/>
      <c r="H864" s="27"/>
      <c r="I864" s="27"/>
      <c r="J864" s="27"/>
      <c r="K864" s="27"/>
      <c r="L864" s="27"/>
      <c r="M864" s="27"/>
      <c r="N864" s="27"/>
      <c r="O864" s="27"/>
      <c r="P864" s="27"/>
      <c r="Q864" s="17">
        <v>2.0</v>
      </c>
      <c r="R864" s="19">
        <v>1.0</v>
      </c>
      <c r="S864" s="19"/>
      <c r="T864" s="14">
        <f t="shared" si="40"/>
        <v>3</v>
      </c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r="865" ht="15.75" customHeight="1">
      <c r="A865" s="17" t="s">
        <v>1083</v>
      </c>
      <c r="B865" s="17" t="s">
        <v>68</v>
      </c>
      <c r="C865" s="25"/>
      <c r="D865" s="17"/>
      <c r="E865" s="18"/>
      <c r="F865" s="27"/>
      <c r="G865" s="26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19">
        <v>1.0</v>
      </c>
      <c r="S865" s="19"/>
      <c r="T865" s="14">
        <f t="shared" si="40"/>
        <v>1</v>
      </c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 ht="15.75" customHeight="1">
      <c r="A866" s="27" t="s">
        <v>1084</v>
      </c>
      <c r="B866" s="17" t="s">
        <v>25</v>
      </c>
      <c r="C866" s="25"/>
      <c r="D866" s="17"/>
      <c r="E866" s="18"/>
      <c r="F866" s="27"/>
      <c r="G866" s="26"/>
      <c r="H866" s="27"/>
      <c r="I866" s="27"/>
      <c r="J866" s="27"/>
      <c r="K866" s="27"/>
      <c r="L866" s="27"/>
      <c r="M866" s="27">
        <v>4.0</v>
      </c>
      <c r="N866" s="27"/>
      <c r="O866" s="27"/>
      <c r="P866" s="27">
        <v>2.0</v>
      </c>
      <c r="Q866" s="27"/>
      <c r="R866" s="27"/>
      <c r="S866" s="27"/>
      <c r="T866" s="14">
        <f t="shared" si="40"/>
        <v>6</v>
      </c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r="867" ht="15.75" customHeight="1">
      <c r="A867" s="14" t="s">
        <v>1085</v>
      </c>
      <c r="B867" s="19" t="s">
        <v>250</v>
      </c>
      <c r="C867" s="16"/>
      <c r="D867" s="17"/>
      <c r="E867" s="18"/>
      <c r="F867" s="14"/>
      <c r="G867" s="14"/>
      <c r="H867" s="14"/>
      <c r="I867" s="14"/>
      <c r="J867" s="14"/>
      <c r="K867" s="14">
        <v>1.0</v>
      </c>
      <c r="L867" s="14">
        <v>1.0</v>
      </c>
      <c r="M867" s="14">
        <v>1.0</v>
      </c>
      <c r="N867" s="14">
        <v>4.0</v>
      </c>
      <c r="O867" s="14"/>
      <c r="P867" s="14"/>
      <c r="Q867" s="14"/>
      <c r="R867" s="14"/>
      <c r="S867" s="19">
        <v>1.0</v>
      </c>
      <c r="T867" s="14">
        <f t="shared" si="40"/>
        <v>8</v>
      </c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</row>
    <row r="868" ht="15.75" customHeight="1">
      <c r="A868" s="27" t="s">
        <v>1086</v>
      </c>
      <c r="B868" s="17" t="s">
        <v>27</v>
      </c>
      <c r="C868" s="25"/>
      <c r="D868" s="47"/>
      <c r="E868" s="48"/>
      <c r="F868" s="27"/>
      <c r="G868" s="26"/>
      <c r="H868" s="27"/>
      <c r="I868" s="27"/>
      <c r="J868" s="27"/>
      <c r="K868" s="27"/>
      <c r="L868" s="27"/>
      <c r="M868" s="27"/>
      <c r="N868" s="27">
        <v>2.0</v>
      </c>
      <c r="O868" s="27">
        <v>1.0</v>
      </c>
      <c r="P868" s="27">
        <v>3.0</v>
      </c>
      <c r="Q868" s="17">
        <v>1.0</v>
      </c>
      <c r="R868" s="27"/>
      <c r="S868" s="17">
        <v>1.0</v>
      </c>
      <c r="T868" s="14">
        <f t="shared" si="40"/>
        <v>8</v>
      </c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r="869" ht="15.75" customHeight="1">
      <c r="A869" s="14" t="s">
        <v>1087</v>
      </c>
      <c r="B869" s="19" t="s">
        <v>107</v>
      </c>
      <c r="C869" s="16"/>
      <c r="D869" s="17"/>
      <c r="E869" s="18"/>
      <c r="F869" s="14"/>
      <c r="G869" s="20"/>
      <c r="H869" s="14"/>
      <c r="I869" s="14"/>
      <c r="J869" s="14"/>
      <c r="K869" s="14"/>
      <c r="L869" s="14"/>
      <c r="M869" s="14"/>
      <c r="N869" s="14"/>
      <c r="O869" s="14"/>
      <c r="P869" s="14">
        <v>3.0</v>
      </c>
      <c r="Q869" s="14"/>
      <c r="R869" s="19">
        <v>1.0</v>
      </c>
      <c r="S869" s="19">
        <v>1.0</v>
      </c>
      <c r="T869" s="14">
        <f t="shared" si="40"/>
        <v>5</v>
      </c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</row>
    <row r="870" ht="15.75" customHeight="1">
      <c r="A870" s="27" t="s">
        <v>1088</v>
      </c>
      <c r="B870" s="46" t="s">
        <v>189</v>
      </c>
      <c r="C870" s="25"/>
      <c r="D870" s="17"/>
      <c r="E870" s="18"/>
      <c r="F870" s="27"/>
      <c r="G870" s="26"/>
      <c r="H870" s="27"/>
      <c r="I870" s="27"/>
      <c r="J870" s="33">
        <v>2.0</v>
      </c>
      <c r="K870" s="33"/>
      <c r="L870" s="33"/>
      <c r="M870" s="33">
        <v>1.0</v>
      </c>
      <c r="N870" s="33">
        <v>4.0</v>
      </c>
      <c r="O870" s="33">
        <v>1.0</v>
      </c>
      <c r="P870" s="33"/>
      <c r="Q870" s="33"/>
      <c r="R870" s="33">
        <v>1.0</v>
      </c>
      <c r="S870" s="33"/>
      <c r="T870" s="34">
        <f t="shared" si="40"/>
        <v>9</v>
      </c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r="871" ht="15.75" customHeight="1">
      <c r="A871" s="19" t="s">
        <v>1089</v>
      </c>
      <c r="B871" s="35"/>
      <c r="C871" s="16"/>
      <c r="D871" s="17"/>
      <c r="E871" s="18"/>
      <c r="F871" s="14"/>
      <c r="G871" s="20"/>
      <c r="H871" s="14"/>
      <c r="I871" s="14"/>
      <c r="J871" s="35"/>
      <c r="K871" s="35"/>
      <c r="L871" s="35"/>
      <c r="M871" s="35"/>
      <c r="N871" s="35"/>
      <c r="O871" s="35"/>
      <c r="P871" s="35"/>
      <c r="Q871" s="41"/>
      <c r="R871" s="41"/>
      <c r="S871" s="41"/>
      <c r="T871" s="35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</row>
    <row r="872" ht="15.75" customHeight="1">
      <c r="A872" s="27" t="s">
        <v>1090</v>
      </c>
      <c r="B872" s="17" t="s">
        <v>107</v>
      </c>
      <c r="C872" s="25"/>
      <c r="D872" s="17"/>
      <c r="E872" s="18"/>
      <c r="F872" s="27"/>
      <c r="G872" s="26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17">
        <v>1.0</v>
      </c>
      <c r="T872" s="14">
        <f t="shared" ref="T872:T882" si="41">SUM(I872:S872)</f>
        <v>1</v>
      </c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r="873" ht="15.75" customHeight="1">
      <c r="A873" s="14" t="s">
        <v>1091</v>
      </c>
      <c r="B873" s="14" t="s">
        <v>42</v>
      </c>
      <c r="C873" s="16"/>
      <c r="D873" s="17"/>
      <c r="E873" s="18"/>
      <c r="F873" s="14"/>
      <c r="G873" s="20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>
        <f t="shared" si="41"/>
        <v>0</v>
      </c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</row>
    <row r="874" ht="15.75" customHeight="1">
      <c r="A874" s="19" t="s">
        <v>1092</v>
      </c>
      <c r="B874" s="19" t="s">
        <v>73</v>
      </c>
      <c r="C874" s="24" t="s">
        <v>32</v>
      </c>
      <c r="D874" s="17"/>
      <c r="E874" s="54"/>
      <c r="F874" s="19" t="s">
        <v>74</v>
      </c>
      <c r="G874" s="20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>
        <f t="shared" si="41"/>
        <v>0</v>
      </c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</row>
    <row r="875" ht="15.75" customHeight="1">
      <c r="A875" s="19" t="s">
        <v>1093</v>
      </c>
      <c r="B875" s="19" t="s">
        <v>218</v>
      </c>
      <c r="C875" s="16"/>
      <c r="D875" s="47"/>
      <c r="E875" s="48"/>
      <c r="F875" s="14"/>
      <c r="G875" s="20"/>
      <c r="H875" s="14"/>
      <c r="I875" s="14"/>
      <c r="J875" s="14"/>
      <c r="K875" s="14"/>
      <c r="L875" s="14"/>
      <c r="M875" s="14"/>
      <c r="N875" s="14"/>
      <c r="O875" s="14"/>
      <c r="P875" s="14"/>
      <c r="Q875" s="19">
        <v>1.0</v>
      </c>
      <c r="R875" s="19">
        <v>4.0</v>
      </c>
      <c r="S875" s="19"/>
      <c r="T875" s="14">
        <f t="shared" si="41"/>
        <v>5</v>
      </c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</row>
    <row r="876" ht="15.75" customHeight="1">
      <c r="A876" s="17" t="s">
        <v>1094</v>
      </c>
      <c r="B876" s="17" t="s">
        <v>51</v>
      </c>
      <c r="C876" s="30" t="s">
        <v>645</v>
      </c>
      <c r="D876" s="17"/>
      <c r="E876" s="18"/>
      <c r="F876" s="17"/>
      <c r="G876" s="26"/>
      <c r="H876" s="27"/>
      <c r="I876" s="27"/>
      <c r="J876" s="27"/>
      <c r="K876" s="27"/>
      <c r="L876" s="27"/>
      <c r="M876" s="27"/>
      <c r="N876" s="27"/>
      <c r="O876" s="27"/>
      <c r="P876" s="27"/>
      <c r="Q876" s="17">
        <v>1.0</v>
      </c>
      <c r="R876" s="19">
        <v>1.0</v>
      </c>
      <c r="S876" s="19"/>
      <c r="T876" s="14">
        <f t="shared" si="41"/>
        <v>2</v>
      </c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r="877" ht="15.75" customHeight="1">
      <c r="A877" s="17" t="s">
        <v>1095</v>
      </c>
      <c r="B877" s="17" t="s">
        <v>21</v>
      </c>
      <c r="C877" s="30" t="s">
        <v>1096</v>
      </c>
      <c r="D877" s="17"/>
      <c r="E877" s="18"/>
      <c r="F877" s="17"/>
      <c r="G877" s="26"/>
      <c r="H877" s="27"/>
      <c r="I877" s="27"/>
      <c r="J877" s="27"/>
      <c r="K877" s="27"/>
      <c r="L877" s="27"/>
      <c r="M877" s="27"/>
      <c r="N877" s="27"/>
      <c r="O877" s="27"/>
      <c r="P877" s="27"/>
      <c r="Q877" s="17"/>
      <c r="R877" s="19"/>
      <c r="S877" s="19">
        <v>2.0</v>
      </c>
      <c r="T877" s="14">
        <f t="shared" si="41"/>
        <v>2</v>
      </c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 ht="15.75" customHeight="1">
      <c r="A878" s="27" t="s">
        <v>1097</v>
      </c>
      <c r="B878" s="17" t="s">
        <v>263</v>
      </c>
      <c r="C878" s="25"/>
      <c r="D878" s="17"/>
      <c r="E878" s="18"/>
      <c r="F878" s="27"/>
      <c r="G878" s="26"/>
      <c r="H878" s="27"/>
      <c r="I878" s="27"/>
      <c r="J878" s="27"/>
      <c r="K878" s="27"/>
      <c r="L878" s="27"/>
      <c r="M878" s="27">
        <v>1.0</v>
      </c>
      <c r="N878" s="27"/>
      <c r="O878" s="27"/>
      <c r="P878" s="27"/>
      <c r="Q878" s="27"/>
      <c r="R878" s="27"/>
      <c r="S878" s="27"/>
      <c r="T878" s="14">
        <f t="shared" si="41"/>
        <v>1</v>
      </c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r="879" ht="15.75" customHeight="1">
      <c r="A879" s="14" t="s">
        <v>1098</v>
      </c>
      <c r="B879" s="14" t="s">
        <v>42</v>
      </c>
      <c r="C879" s="16"/>
      <c r="D879" s="17"/>
      <c r="E879" s="18"/>
      <c r="F879" s="14"/>
      <c r="G879" s="20"/>
      <c r="H879" s="14"/>
      <c r="I879" s="14"/>
      <c r="J879" s="14"/>
      <c r="K879" s="14"/>
      <c r="L879" s="14"/>
      <c r="M879" s="14"/>
      <c r="N879" s="14"/>
      <c r="O879" s="14"/>
      <c r="P879" s="14">
        <v>1.0</v>
      </c>
      <c r="Q879" s="14"/>
      <c r="R879" s="19">
        <v>1.0</v>
      </c>
      <c r="S879" s="19"/>
      <c r="T879" s="14">
        <f t="shared" si="41"/>
        <v>2</v>
      </c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</row>
    <row r="880" ht="15.75" customHeight="1">
      <c r="A880" s="27" t="s">
        <v>1099</v>
      </c>
      <c r="B880" s="17" t="s">
        <v>42</v>
      </c>
      <c r="C880" s="25"/>
      <c r="D880" s="17"/>
      <c r="E880" s="18"/>
      <c r="F880" s="27"/>
      <c r="G880" s="26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14">
        <f t="shared" si="41"/>
        <v>0</v>
      </c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r="881" ht="15.75" customHeight="1">
      <c r="A881" s="19" t="s">
        <v>1100</v>
      </c>
      <c r="B881" s="19" t="s">
        <v>136</v>
      </c>
      <c r="C881" s="16"/>
      <c r="D881" s="17"/>
      <c r="E881" s="18"/>
      <c r="F881" s="14"/>
      <c r="G881" s="20"/>
      <c r="H881" s="14"/>
      <c r="I881" s="14"/>
      <c r="J881" s="14"/>
      <c r="K881" s="14"/>
      <c r="L881" s="14"/>
      <c r="M881" s="14">
        <v>1.0</v>
      </c>
      <c r="N881" s="14"/>
      <c r="O881" s="14">
        <v>1.0</v>
      </c>
      <c r="P881" s="14"/>
      <c r="Q881" s="14"/>
      <c r="R881" s="14"/>
      <c r="S881" s="14"/>
      <c r="T881" s="14">
        <f t="shared" si="41"/>
        <v>2</v>
      </c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</row>
    <row r="882" ht="15.75" customHeight="1">
      <c r="A882" s="27" t="s">
        <v>1101</v>
      </c>
      <c r="B882" s="46" t="s">
        <v>256</v>
      </c>
      <c r="C882" s="25"/>
      <c r="D882" s="17"/>
      <c r="E882" s="18"/>
      <c r="F882" s="27"/>
      <c r="G882" s="26"/>
      <c r="H882" s="27"/>
      <c r="I882" s="27"/>
      <c r="J882" s="27"/>
      <c r="K882" s="33">
        <v>1.0</v>
      </c>
      <c r="L882" s="33"/>
      <c r="M882" s="33">
        <v>1.0</v>
      </c>
      <c r="N882" s="33">
        <v>1.0</v>
      </c>
      <c r="O882" s="33"/>
      <c r="P882" s="33"/>
      <c r="Q882" s="33"/>
      <c r="R882" s="46">
        <v>1.0</v>
      </c>
      <c r="S882" s="46">
        <v>1.0</v>
      </c>
      <c r="T882" s="34">
        <f t="shared" si="41"/>
        <v>5</v>
      </c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r="883" ht="15.75" customHeight="1">
      <c r="A883" s="14" t="s">
        <v>1102</v>
      </c>
      <c r="B883" s="35"/>
      <c r="C883" s="16"/>
      <c r="D883" s="17"/>
      <c r="E883" s="18"/>
      <c r="F883" s="14"/>
      <c r="G883" s="20"/>
      <c r="H883" s="14"/>
      <c r="I883" s="14"/>
      <c r="J883" s="14"/>
      <c r="K883" s="35"/>
      <c r="L883" s="35"/>
      <c r="M883" s="35"/>
      <c r="N883" s="35"/>
      <c r="O883" s="35"/>
      <c r="P883" s="35"/>
      <c r="Q883" s="41"/>
      <c r="R883" s="41"/>
      <c r="S883" s="41"/>
      <c r="T883" s="35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</row>
    <row r="884" ht="15.75" customHeight="1">
      <c r="A884" s="17" t="s">
        <v>1103</v>
      </c>
      <c r="B884" s="17" t="s">
        <v>252</v>
      </c>
      <c r="C884" s="25"/>
      <c r="D884" s="17"/>
      <c r="E884" s="18"/>
      <c r="F884" s="27"/>
      <c r="G884" s="26"/>
      <c r="H884" s="27"/>
      <c r="I884" s="27"/>
      <c r="J884" s="27">
        <v>1.0</v>
      </c>
      <c r="K884" s="27">
        <v>3.0</v>
      </c>
      <c r="L884" s="27">
        <v>3.0</v>
      </c>
      <c r="M884" s="27"/>
      <c r="N884" s="27"/>
      <c r="O884" s="27"/>
      <c r="P884" s="27">
        <v>1.0</v>
      </c>
      <c r="Q884" s="27"/>
      <c r="R884" s="27"/>
      <c r="S884" s="27"/>
      <c r="T884" s="14">
        <f t="shared" ref="T884:T885" si="42">SUM(I884:S884)</f>
        <v>8</v>
      </c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r="885" ht="15.75" customHeight="1">
      <c r="A885" s="14" t="s">
        <v>1104</v>
      </c>
      <c r="B885" s="34" t="s">
        <v>227</v>
      </c>
      <c r="C885" s="16"/>
      <c r="D885" s="47"/>
      <c r="E885" s="48"/>
      <c r="F885" s="14"/>
      <c r="G885" s="23" t="s">
        <v>1105</v>
      </c>
      <c r="H885" s="14"/>
      <c r="I885" s="14"/>
      <c r="J885" s="14"/>
      <c r="K885" s="14"/>
      <c r="L885" s="14"/>
      <c r="M885" s="14"/>
      <c r="N885" s="14">
        <v>6.0</v>
      </c>
      <c r="O885" s="14">
        <v>2.0</v>
      </c>
      <c r="P885" s="14"/>
      <c r="Q885" s="40">
        <v>1.0</v>
      </c>
      <c r="R885" s="40">
        <v>1.0</v>
      </c>
      <c r="S885" s="40">
        <v>1.0</v>
      </c>
      <c r="T885" s="34">
        <f t="shared" si="42"/>
        <v>11</v>
      </c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</row>
    <row r="886" ht="15.75" customHeight="1">
      <c r="A886" s="27" t="s">
        <v>1106</v>
      </c>
      <c r="B886" s="41"/>
      <c r="C886" s="25"/>
      <c r="D886" s="17"/>
      <c r="E886" s="18"/>
      <c r="F886" s="51"/>
      <c r="G886" s="26"/>
      <c r="H886" s="27"/>
      <c r="I886" s="27"/>
      <c r="J886" s="27"/>
      <c r="K886" s="27"/>
      <c r="L886" s="27"/>
      <c r="M886" s="27"/>
      <c r="N886" s="27"/>
      <c r="O886" s="27"/>
      <c r="P886" s="27"/>
      <c r="Q886" s="41"/>
      <c r="R886" s="41"/>
      <c r="S886" s="41"/>
      <c r="T886" s="41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r="887" ht="15.75" customHeight="1">
      <c r="A887" s="14" t="s">
        <v>1107</v>
      </c>
      <c r="B887" s="41"/>
      <c r="C887" s="16"/>
      <c r="D887" s="17"/>
      <c r="E887" s="18"/>
      <c r="F887" s="67"/>
      <c r="G887" s="20"/>
      <c r="H887" s="14"/>
      <c r="I887" s="14"/>
      <c r="J887" s="14"/>
      <c r="K887" s="14"/>
      <c r="L887" s="14"/>
      <c r="M887" s="14"/>
      <c r="N887" s="14"/>
      <c r="O887" s="14"/>
      <c r="P887" s="14"/>
      <c r="Q887" s="41"/>
      <c r="R887" s="41"/>
      <c r="S887" s="41"/>
      <c r="T887" s="41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</row>
    <row r="888" ht="15.75" customHeight="1">
      <c r="A888" s="27" t="s">
        <v>1108</v>
      </c>
      <c r="B888" s="41"/>
      <c r="C888" s="25"/>
      <c r="D888" s="17"/>
      <c r="E888" s="18"/>
      <c r="F888" s="51"/>
      <c r="G888" s="26"/>
      <c r="H888" s="27"/>
      <c r="I888" s="27"/>
      <c r="J888" s="27"/>
      <c r="K888" s="27"/>
      <c r="L888" s="27"/>
      <c r="M888" s="27"/>
      <c r="N888" s="27"/>
      <c r="O888" s="27"/>
      <c r="P888" s="27"/>
      <c r="Q888" s="41"/>
      <c r="R888" s="41"/>
      <c r="S888" s="41"/>
      <c r="T888" s="41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r="889" ht="15.75" customHeight="1">
      <c r="A889" s="14" t="s">
        <v>1109</v>
      </c>
      <c r="B889" s="35"/>
      <c r="C889" s="16"/>
      <c r="D889" s="17"/>
      <c r="E889" s="18"/>
      <c r="F889" s="67"/>
      <c r="G889" s="20"/>
      <c r="H889" s="14"/>
      <c r="I889" s="14"/>
      <c r="J889" s="14"/>
      <c r="K889" s="14"/>
      <c r="L889" s="14"/>
      <c r="M889" s="14"/>
      <c r="N889" s="14"/>
      <c r="O889" s="14"/>
      <c r="P889" s="14"/>
      <c r="Q889" s="41"/>
      <c r="R889" s="41"/>
      <c r="S889" s="41"/>
      <c r="T889" s="35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</row>
    <row r="890" ht="15.75" customHeight="1">
      <c r="A890" s="17" t="s">
        <v>1110</v>
      </c>
      <c r="B890" s="17" t="s">
        <v>600</v>
      </c>
      <c r="C890" s="30" t="s">
        <v>241</v>
      </c>
      <c r="D890" s="17"/>
      <c r="E890" s="18"/>
      <c r="F890" s="17"/>
      <c r="G890" s="26"/>
      <c r="H890" s="27"/>
      <c r="I890" s="27"/>
      <c r="J890" s="27"/>
      <c r="K890" s="27"/>
      <c r="L890" s="27"/>
      <c r="M890" s="27"/>
      <c r="N890" s="27"/>
      <c r="O890" s="27"/>
      <c r="P890" s="27"/>
      <c r="Q890" s="33"/>
      <c r="R890" s="33"/>
      <c r="S890" s="33"/>
      <c r="T890" s="14">
        <f t="shared" ref="T890:T893" si="43">SUM(I890:S890)</f>
        <v>0</v>
      </c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r="891" ht="15.75" customHeight="1">
      <c r="A891" s="27" t="s">
        <v>1111</v>
      </c>
      <c r="B891" s="17" t="s">
        <v>62</v>
      </c>
      <c r="C891" s="25"/>
      <c r="D891" s="17"/>
      <c r="E891" s="18"/>
      <c r="F891" s="51"/>
      <c r="G891" s="26"/>
      <c r="H891" s="27"/>
      <c r="I891" s="27"/>
      <c r="J891" s="27"/>
      <c r="K891" s="27">
        <v>1.0</v>
      </c>
      <c r="L891" s="27">
        <v>3.0</v>
      </c>
      <c r="M891" s="27"/>
      <c r="N891" s="27">
        <v>1.0</v>
      </c>
      <c r="O891" s="27">
        <v>1.0</v>
      </c>
      <c r="P891" s="27"/>
      <c r="Q891" s="27"/>
      <c r="R891" s="27"/>
      <c r="S891" s="27"/>
      <c r="T891" s="14">
        <f t="shared" si="43"/>
        <v>6</v>
      </c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 ht="15.75" customHeight="1">
      <c r="A892" s="14" t="s">
        <v>1112</v>
      </c>
      <c r="B892" s="19" t="s">
        <v>145</v>
      </c>
      <c r="C892" s="16"/>
      <c r="D892" s="17"/>
      <c r="E892" s="18"/>
      <c r="F892" s="14"/>
      <c r="G892" s="14"/>
      <c r="H892" s="14"/>
      <c r="I892" s="14"/>
      <c r="J892" s="14"/>
      <c r="K892" s="14"/>
      <c r="L892" s="14">
        <v>3.0</v>
      </c>
      <c r="M892" s="14">
        <v>4.0</v>
      </c>
      <c r="N892" s="14">
        <v>2.0</v>
      </c>
      <c r="O892" s="14">
        <v>1.0</v>
      </c>
      <c r="P892" s="14"/>
      <c r="Q892" s="14"/>
      <c r="R892" s="14"/>
      <c r="S892" s="14"/>
      <c r="T892" s="14">
        <f t="shared" si="43"/>
        <v>10</v>
      </c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</row>
    <row r="893" ht="15.75" customHeight="1">
      <c r="A893" s="17" t="s">
        <v>1113</v>
      </c>
      <c r="B893" s="46" t="s">
        <v>370</v>
      </c>
      <c r="C893" s="25"/>
      <c r="D893" s="17"/>
      <c r="E893" s="18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>
        <v>1.0</v>
      </c>
      <c r="Q893" s="33">
        <v>2.0</v>
      </c>
      <c r="R893" s="46">
        <v>3.0</v>
      </c>
      <c r="S893" s="46"/>
      <c r="T893" s="34">
        <f t="shared" si="43"/>
        <v>6</v>
      </c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 ht="15.75" customHeight="1">
      <c r="A894" s="19" t="s">
        <v>1114</v>
      </c>
      <c r="B894" s="35"/>
      <c r="C894" s="16"/>
      <c r="D894" s="17"/>
      <c r="E894" s="18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41"/>
      <c r="R894" s="41"/>
      <c r="S894" s="41"/>
      <c r="T894" s="35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</row>
    <row r="895" ht="15.75" customHeight="1">
      <c r="A895" s="14" t="s">
        <v>1115</v>
      </c>
      <c r="B895" s="19" t="s">
        <v>157</v>
      </c>
      <c r="C895" s="30" t="s">
        <v>222</v>
      </c>
      <c r="D895" s="17"/>
      <c r="E895" s="18"/>
      <c r="F895" s="27"/>
      <c r="G895" s="26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19">
        <v>3.0</v>
      </c>
      <c r="S895" s="19">
        <v>3.0</v>
      </c>
      <c r="T895" s="14">
        <f t="shared" ref="T895:T928" si="44">SUM(I895:S895)</f>
        <v>6</v>
      </c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 ht="15.75" customHeight="1">
      <c r="A896" s="17" t="s">
        <v>1116</v>
      </c>
      <c r="B896" s="19" t="s">
        <v>29</v>
      </c>
      <c r="C896" s="30" t="s">
        <v>158</v>
      </c>
      <c r="D896" s="17"/>
      <c r="E896" s="18"/>
      <c r="F896" s="27"/>
      <c r="G896" s="26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19">
        <v>3.0</v>
      </c>
      <c r="S896" s="19">
        <v>2.0</v>
      </c>
      <c r="T896" s="14">
        <f t="shared" si="44"/>
        <v>5</v>
      </c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r="897" ht="15.75" customHeight="1">
      <c r="A897" s="14" t="s">
        <v>1117</v>
      </c>
      <c r="B897" s="19" t="s">
        <v>386</v>
      </c>
      <c r="C897" s="16"/>
      <c r="D897" s="17"/>
      <c r="E897" s="18"/>
      <c r="F897" s="14"/>
      <c r="G897" s="14" t="s">
        <v>1118</v>
      </c>
      <c r="H897" s="14" t="s">
        <v>116</v>
      </c>
      <c r="I897" s="14">
        <v>6.0</v>
      </c>
      <c r="J897" s="14">
        <v>9.0</v>
      </c>
      <c r="K897" s="14">
        <v>1.0</v>
      </c>
      <c r="L897" s="14">
        <v>1.0</v>
      </c>
      <c r="M897" s="14">
        <v>1.0</v>
      </c>
      <c r="N897" s="14">
        <v>1.0</v>
      </c>
      <c r="O897" s="14"/>
      <c r="P897" s="14"/>
      <c r="Q897" s="14"/>
      <c r="R897" s="14"/>
      <c r="S897" s="14"/>
      <c r="T897" s="14">
        <f t="shared" si="44"/>
        <v>19</v>
      </c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</row>
    <row r="898" ht="15.75" customHeight="1">
      <c r="A898" s="17" t="s">
        <v>1119</v>
      </c>
      <c r="B898" s="17" t="s">
        <v>585</v>
      </c>
      <c r="C898" s="30" t="s">
        <v>1120</v>
      </c>
      <c r="D898" s="17"/>
      <c r="E898" s="18"/>
      <c r="F898" s="17"/>
      <c r="G898" s="26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14"/>
      <c r="S898" s="14"/>
      <c r="T898" s="14">
        <f t="shared" si="44"/>
        <v>0</v>
      </c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r="899" ht="15.75" customHeight="1">
      <c r="A899" s="27" t="s">
        <v>1121</v>
      </c>
      <c r="B899" s="27" t="s">
        <v>83</v>
      </c>
      <c r="C899" s="25"/>
      <c r="D899" s="17"/>
      <c r="E899" s="18"/>
      <c r="F899" s="27"/>
      <c r="G899" s="26"/>
      <c r="H899" s="27"/>
      <c r="I899" s="27"/>
      <c r="J899" s="27"/>
      <c r="K899" s="27"/>
      <c r="L899" s="27">
        <v>4.0</v>
      </c>
      <c r="M899" s="27">
        <v>2.0</v>
      </c>
      <c r="N899" s="27"/>
      <c r="O899" s="27">
        <v>1.0</v>
      </c>
      <c r="P899" s="27"/>
      <c r="Q899" s="27"/>
      <c r="R899" s="14"/>
      <c r="S899" s="14"/>
      <c r="T899" s="14">
        <f t="shared" si="44"/>
        <v>7</v>
      </c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 ht="15.75" customHeight="1">
      <c r="A900" s="14" t="s">
        <v>1122</v>
      </c>
      <c r="B900" s="19" t="s">
        <v>173</v>
      </c>
      <c r="C900" s="16"/>
      <c r="D900" s="17"/>
      <c r="E900" s="18"/>
      <c r="F900" s="67"/>
      <c r="G900" s="20"/>
      <c r="H900" s="14"/>
      <c r="I900" s="14"/>
      <c r="J900" s="14"/>
      <c r="K900" s="14">
        <v>5.0</v>
      </c>
      <c r="L900" s="14">
        <v>3.0</v>
      </c>
      <c r="M900" s="14"/>
      <c r="N900" s="14"/>
      <c r="O900" s="14">
        <v>1.0</v>
      </c>
      <c r="P900" s="14">
        <v>1.0</v>
      </c>
      <c r="Q900" s="19">
        <v>1.0</v>
      </c>
      <c r="R900" s="14"/>
      <c r="S900" s="14"/>
      <c r="T900" s="14">
        <f t="shared" si="44"/>
        <v>11</v>
      </c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</row>
    <row r="901" ht="15.75" customHeight="1">
      <c r="A901" s="45" t="s">
        <v>1123</v>
      </c>
      <c r="B901" s="14" t="s">
        <v>136</v>
      </c>
      <c r="C901" s="16"/>
      <c r="D901" s="17"/>
      <c r="E901" s="18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>
        <f t="shared" si="44"/>
        <v>0</v>
      </c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</row>
    <row r="902" ht="15.75" customHeight="1">
      <c r="A902" s="49" t="s">
        <v>1124</v>
      </c>
      <c r="B902" s="27" t="s">
        <v>136</v>
      </c>
      <c r="C902" s="25"/>
      <c r="D902" s="17"/>
      <c r="E902" s="18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14">
        <f t="shared" si="44"/>
        <v>0</v>
      </c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r="903" ht="15.75" customHeight="1">
      <c r="A903" s="49" t="s">
        <v>1125</v>
      </c>
      <c r="B903" s="27" t="s">
        <v>136</v>
      </c>
      <c r="C903" s="25"/>
      <c r="D903" s="17"/>
      <c r="E903" s="18"/>
      <c r="F903" s="27"/>
      <c r="G903" s="27"/>
      <c r="H903" s="27"/>
      <c r="I903" s="27"/>
      <c r="J903" s="27"/>
      <c r="K903" s="27"/>
      <c r="L903" s="27">
        <v>1.0</v>
      </c>
      <c r="M903" s="27"/>
      <c r="N903" s="27"/>
      <c r="O903" s="27"/>
      <c r="P903" s="27"/>
      <c r="Q903" s="27"/>
      <c r="R903" s="27"/>
      <c r="S903" s="27"/>
      <c r="T903" s="14">
        <f t="shared" si="44"/>
        <v>1</v>
      </c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 ht="15.75" customHeight="1">
      <c r="A904" s="45" t="s">
        <v>1126</v>
      </c>
      <c r="B904" s="19" t="s">
        <v>182</v>
      </c>
      <c r="C904" s="16"/>
      <c r="D904" s="17"/>
      <c r="E904" s="18"/>
      <c r="F904" s="14"/>
      <c r="G904" s="14"/>
      <c r="H904" s="14"/>
      <c r="I904" s="14"/>
      <c r="J904" s="14"/>
      <c r="K904" s="14"/>
      <c r="L904" s="14">
        <v>4.0</v>
      </c>
      <c r="M904" s="14">
        <v>7.0</v>
      </c>
      <c r="N904" s="14">
        <v>4.0</v>
      </c>
      <c r="O904" s="14">
        <v>1.0</v>
      </c>
      <c r="P904" s="14"/>
      <c r="Q904" s="14"/>
      <c r="R904" s="19">
        <v>1.0</v>
      </c>
      <c r="S904" s="19"/>
      <c r="T904" s="14">
        <f t="shared" si="44"/>
        <v>17</v>
      </c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</row>
    <row r="905" ht="15.75" customHeight="1">
      <c r="A905" s="17" t="s">
        <v>1127</v>
      </c>
      <c r="B905" s="17" t="s">
        <v>73</v>
      </c>
      <c r="C905" s="30" t="s">
        <v>32</v>
      </c>
      <c r="D905" s="17"/>
      <c r="E905" s="18"/>
      <c r="F905" s="17" t="s">
        <v>74</v>
      </c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14">
        <f t="shared" si="44"/>
        <v>0</v>
      </c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 ht="15.75" customHeight="1">
      <c r="A906" s="27" t="s">
        <v>1128</v>
      </c>
      <c r="B906" s="17" t="s">
        <v>234</v>
      </c>
      <c r="C906" s="25"/>
      <c r="D906" s="17"/>
      <c r="E906" s="18"/>
      <c r="F906" s="27"/>
      <c r="G906" s="27"/>
      <c r="H906" s="27"/>
      <c r="I906" s="27"/>
      <c r="J906" s="27"/>
      <c r="K906" s="27"/>
      <c r="L906" s="27">
        <v>1.0</v>
      </c>
      <c r="M906" s="27"/>
      <c r="N906" s="27">
        <v>1.0</v>
      </c>
      <c r="O906" s="27"/>
      <c r="P906" s="27"/>
      <c r="Q906" s="27"/>
      <c r="R906" s="27"/>
      <c r="S906" s="27"/>
      <c r="T906" s="14">
        <f t="shared" si="44"/>
        <v>2</v>
      </c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r="907" ht="15.75" customHeight="1">
      <c r="A907" s="14" t="s">
        <v>1129</v>
      </c>
      <c r="B907" s="19" t="s">
        <v>192</v>
      </c>
      <c r="C907" s="16"/>
      <c r="D907" s="17"/>
      <c r="E907" s="18"/>
      <c r="F907" s="14"/>
      <c r="G907" s="20"/>
      <c r="H907" s="14"/>
      <c r="I907" s="14"/>
      <c r="J907" s="14"/>
      <c r="K907" s="14">
        <v>1.0</v>
      </c>
      <c r="L907" s="14"/>
      <c r="M907" s="14"/>
      <c r="N907" s="14">
        <v>4.0</v>
      </c>
      <c r="O907" s="14">
        <v>6.0</v>
      </c>
      <c r="P907" s="14">
        <v>1.0</v>
      </c>
      <c r="Q907" s="14"/>
      <c r="R907" s="14"/>
      <c r="S907" s="14"/>
      <c r="T907" s="14">
        <f t="shared" si="44"/>
        <v>12</v>
      </c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</row>
    <row r="908" ht="15.75" customHeight="1">
      <c r="A908" s="19" t="s">
        <v>1130</v>
      </c>
      <c r="B908" s="19" t="s">
        <v>176</v>
      </c>
      <c r="C908" s="24" t="s">
        <v>533</v>
      </c>
      <c r="D908" s="17"/>
      <c r="E908" s="18"/>
      <c r="F908" s="19"/>
      <c r="G908" s="20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9">
        <v>1.0</v>
      </c>
      <c r="S908" s="19"/>
      <c r="T908" s="14">
        <f t="shared" si="44"/>
        <v>1</v>
      </c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</row>
    <row r="909" ht="15.75" customHeight="1">
      <c r="A909" s="27" t="s">
        <v>1131</v>
      </c>
      <c r="B909" s="17" t="s">
        <v>38</v>
      </c>
      <c r="C909" s="25"/>
      <c r="D909" s="17"/>
      <c r="E909" s="18"/>
      <c r="F909" s="27"/>
      <c r="G909" s="27" t="s">
        <v>40</v>
      </c>
      <c r="H909" s="27" t="s">
        <v>282</v>
      </c>
      <c r="I909" s="27"/>
      <c r="J909" s="27">
        <v>2.0</v>
      </c>
      <c r="K909" s="27"/>
      <c r="L909" s="27"/>
      <c r="M909" s="27"/>
      <c r="N909" s="27"/>
      <c r="O909" s="27"/>
      <c r="P909" s="27"/>
      <c r="Q909" s="27"/>
      <c r="R909" s="27"/>
      <c r="S909" s="17">
        <v>1.0</v>
      </c>
      <c r="T909" s="14">
        <f t="shared" si="44"/>
        <v>3</v>
      </c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 ht="15.75" customHeight="1">
      <c r="A910" s="14" t="s">
        <v>1132</v>
      </c>
      <c r="B910" s="19" t="s">
        <v>38</v>
      </c>
      <c r="C910" s="16"/>
      <c r="D910" s="17"/>
      <c r="E910" s="18"/>
      <c r="F910" s="14"/>
      <c r="G910" s="14" t="s">
        <v>40</v>
      </c>
      <c r="H910" s="14" t="s">
        <v>282</v>
      </c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>
        <f t="shared" si="44"/>
        <v>0</v>
      </c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</row>
    <row r="911" ht="15.75" customHeight="1">
      <c r="A911" s="19" t="s">
        <v>1133</v>
      </c>
      <c r="B911" s="19" t="s">
        <v>42</v>
      </c>
      <c r="C911" s="24" t="s">
        <v>1134</v>
      </c>
      <c r="D911" s="17"/>
      <c r="E911" s="18"/>
      <c r="F911" s="19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9">
        <v>1.0</v>
      </c>
      <c r="T911" s="14">
        <f t="shared" si="44"/>
        <v>1</v>
      </c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</row>
    <row r="912" ht="15.75" customHeight="1">
      <c r="A912" s="17" t="s">
        <v>1135</v>
      </c>
      <c r="B912" s="17" t="s">
        <v>25</v>
      </c>
      <c r="C912" s="25"/>
      <c r="D912" s="17"/>
      <c r="E912" s="18"/>
      <c r="F912" s="27"/>
      <c r="G912" s="26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14"/>
      <c r="S912" s="14"/>
      <c r="T912" s="14">
        <f t="shared" si="44"/>
        <v>0</v>
      </c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r="913" ht="15.75" customHeight="1">
      <c r="A913" s="17" t="s">
        <v>1136</v>
      </c>
      <c r="B913" s="17" t="s">
        <v>250</v>
      </c>
      <c r="C913" s="25"/>
      <c r="D913" s="17"/>
      <c r="E913" s="18"/>
      <c r="F913" s="27"/>
      <c r="G913" s="26"/>
      <c r="H913" s="27"/>
      <c r="I913" s="27"/>
      <c r="J913" s="27"/>
      <c r="K913" s="27"/>
      <c r="L913" s="27"/>
      <c r="M913" s="27"/>
      <c r="N913" s="27"/>
      <c r="O913" s="27"/>
      <c r="P913" s="27"/>
      <c r="Q913" s="17">
        <v>1.0</v>
      </c>
      <c r="R913" s="19">
        <v>1.0</v>
      </c>
      <c r="S913" s="19"/>
      <c r="T913" s="14">
        <f t="shared" si="44"/>
        <v>2</v>
      </c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 ht="15.75" customHeight="1">
      <c r="A914" s="27" t="s">
        <v>1137</v>
      </c>
      <c r="B914" s="17" t="s">
        <v>51</v>
      </c>
      <c r="C914" s="25"/>
      <c r="D914" s="17"/>
      <c r="E914" s="18"/>
      <c r="F914" s="27"/>
      <c r="G914" s="26"/>
      <c r="H914" s="27"/>
      <c r="I914" s="27"/>
      <c r="J914" s="27"/>
      <c r="K914" s="27"/>
      <c r="L914" s="27"/>
      <c r="M914" s="27"/>
      <c r="N914" s="27"/>
      <c r="O914" s="27"/>
      <c r="P914" s="27"/>
      <c r="Q914" s="17">
        <v>1.0</v>
      </c>
      <c r="R914" s="17">
        <v>1.0</v>
      </c>
      <c r="S914" s="17"/>
      <c r="T914" s="14">
        <f t="shared" si="44"/>
        <v>2</v>
      </c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r="915" ht="15.75" customHeight="1">
      <c r="A915" s="14" t="s">
        <v>1138</v>
      </c>
      <c r="B915" s="19" t="s">
        <v>68</v>
      </c>
      <c r="C915" s="16"/>
      <c r="D915" s="17"/>
      <c r="E915" s="18"/>
      <c r="F915" s="14"/>
      <c r="G915" s="20"/>
      <c r="H915" s="14"/>
      <c r="I915" s="14"/>
      <c r="J915" s="14"/>
      <c r="K915" s="14"/>
      <c r="L915" s="14">
        <v>1.0</v>
      </c>
      <c r="M915" s="14">
        <v>2.0</v>
      </c>
      <c r="N915" s="14"/>
      <c r="O915" s="14"/>
      <c r="P915" s="14"/>
      <c r="Q915" s="14"/>
      <c r="R915" s="14"/>
      <c r="S915" s="14"/>
      <c r="T915" s="14">
        <f t="shared" si="44"/>
        <v>3</v>
      </c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</row>
    <row r="916" ht="15.75" customHeight="1">
      <c r="A916" s="19" t="s">
        <v>1139</v>
      </c>
      <c r="B916" s="19" t="s">
        <v>456</v>
      </c>
      <c r="C916" s="24" t="s">
        <v>1140</v>
      </c>
      <c r="D916" s="17"/>
      <c r="E916" s="18"/>
      <c r="F916" s="19"/>
      <c r="G916" s="20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9">
        <v>1.0</v>
      </c>
      <c r="T916" s="14">
        <f t="shared" si="44"/>
        <v>1</v>
      </c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</row>
    <row r="917" ht="15.75" customHeight="1">
      <c r="A917" s="19" t="s">
        <v>1141</v>
      </c>
      <c r="B917" s="17" t="s">
        <v>125</v>
      </c>
      <c r="C917" s="30" t="s">
        <v>158</v>
      </c>
      <c r="D917" s="17"/>
      <c r="E917" s="18"/>
      <c r="F917" s="27"/>
      <c r="G917" s="26"/>
      <c r="H917" s="27"/>
      <c r="I917" s="27"/>
      <c r="J917" s="27"/>
      <c r="K917" s="27"/>
      <c r="L917" s="27"/>
      <c r="M917" s="27"/>
      <c r="N917" s="27"/>
      <c r="O917" s="27"/>
      <c r="P917" s="27"/>
      <c r="Q917" s="17"/>
      <c r="R917" s="19">
        <v>1.0</v>
      </c>
      <c r="S917" s="19"/>
      <c r="T917" s="14">
        <f t="shared" si="44"/>
        <v>1</v>
      </c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 ht="15.75" customHeight="1">
      <c r="A918" s="19" t="s">
        <v>1142</v>
      </c>
      <c r="B918" s="17" t="s">
        <v>291</v>
      </c>
      <c r="C918" s="25"/>
      <c r="D918" s="17"/>
      <c r="E918" s="18"/>
      <c r="F918" s="27"/>
      <c r="G918" s="26"/>
      <c r="H918" s="27"/>
      <c r="I918" s="27"/>
      <c r="J918" s="27"/>
      <c r="K918" s="27"/>
      <c r="L918" s="27"/>
      <c r="M918" s="27"/>
      <c r="N918" s="27"/>
      <c r="O918" s="27"/>
      <c r="P918" s="27"/>
      <c r="Q918" s="17">
        <v>1.0</v>
      </c>
      <c r="R918" s="19">
        <v>2.0</v>
      </c>
      <c r="S918" s="19">
        <v>2.0</v>
      </c>
      <c r="T918" s="14">
        <f t="shared" si="44"/>
        <v>5</v>
      </c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r="919" ht="15.75" customHeight="1">
      <c r="A919" s="17" t="s">
        <v>1143</v>
      </c>
      <c r="B919" s="17" t="s">
        <v>291</v>
      </c>
      <c r="C919" s="25"/>
      <c r="D919" s="17"/>
      <c r="E919" s="54"/>
      <c r="F919" s="27"/>
      <c r="G919" s="26"/>
      <c r="H919" s="27"/>
      <c r="I919" s="27"/>
      <c r="J919" s="27"/>
      <c r="K919" s="27"/>
      <c r="L919" s="27"/>
      <c r="M919" s="27"/>
      <c r="N919" s="27"/>
      <c r="O919" s="27"/>
      <c r="P919" s="27"/>
      <c r="Q919" s="17">
        <v>3.0</v>
      </c>
      <c r="R919" s="19">
        <v>1.0</v>
      </c>
      <c r="S919" s="19"/>
      <c r="T919" s="14">
        <f t="shared" si="44"/>
        <v>4</v>
      </c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 ht="15.75" customHeight="1">
      <c r="A920" s="17" t="s">
        <v>1144</v>
      </c>
      <c r="B920" s="17" t="s">
        <v>60</v>
      </c>
      <c r="C920" s="25"/>
      <c r="D920" s="17"/>
      <c r="E920" s="18"/>
      <c r="F920" s="27"/>
      <c r="G920" s="26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17">
        <v>1.0</v>
      </c>
      <c r="S920" s="17"/>
      <c r="T920" s="14">
        <f t="shared" si="44"/>
        <v>1</v>
      </c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r="921" ht="15.75" customHeight="1">
      <c r="A921" s="27" t="s">
        <v>1145</v>
      </c>
      <c r="B921" s="17" t="s">
        <v>256</v>
      </c>
      <c r="C921" s="25"/>
      <c r="D921" s="17"/>
      <c r="E921" s="18"/>
      <c r="F921" s="27"/>
      <c r="G921" s="26"/>
      <c r="H921" s="27"/>
      <c r="I921" s="27">
        <v>1.0</v>
      </c>
      <c r="J921" s="27"/>
      <c r="K921" s="27"/>
      <c r="L921" s="27">
        <v>1.0</v>
      </c>
      <c r="M921" s="27"/>
      <c r="N921" s="27">
        <v>4.0</v>
      </c>
      <c r="O921" s="27"/>
      <c r="P921" s="27"/>
      <c r="Q921" s="27"/>
      <c r="R921" s="27"/>
      <c r="S921" s="27"/>
      <c r="T921" s="14">
        <f t="shared" si="44"/>
        <v>6</v>
      </c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 ht="15.75" customHeight="1">
      <c r="A922" s="14" t="s">
        <v>1146</v>
      </c>
      <c r="B922" s="14" t="s">
        <v>46</v>
      </c>
      <c r="C922" s="16"/>
      <c r="D922" s="17"/>
      <c r="E922" s="18"/>
      <c r="F922" s="14"/>
      <c r="G922" s="20"/>
      <c r="H922" s="14"/>
      <c r="I922" s="14"/>
      <c r="J922" s="14"/>
      <c r="K922" s="14"/>
      <c r="L922" s="14">
        <v>1.0</v>
      </c>
      <c r="M922" s="14"/>
      <c r="N922" s="14"/>
      <c r="O922" s="14">
        <v>1.0</v>
      </c>
      <c r="P922" s="14"/>
      <c r="Q922" s="14"/>
      <c r="R922" s="14"/>
      <c r="S922" s="14"/>
      <c r="T922" s="14">
        <f t="shared" si="44"/>
        <v>2</v>
      </c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</row>
    <row r="923" ht="15.75" customHeight="1">
      <c r="A923" s="27" t="s">
        <v>1147</v>
      </c>
      <c r="B923" s="17" t="s">
        <v>214</v>
      </c>
      <c r="C923" s="25"/>
      <c r="D923" s="17"/>
      <c r="E923" s="18"/>
      <c r="F923" s="27"/>
      <c r="G923" s="23" t="s">
        <v>1148</v>
      </c>
      <c r="H923" s="27" t="s">
        <v>126</v>
      </c>
      <c r="I923" s="27"/>
      <c r="J923" s="27"/>
      <c r="K923" s="27">
        <v>4.0</v>
      </c>
      <c r="L923" s="27"/>
      <c r="M923" s="27">
        <v>3.0</v>
      </c>
      <c r="N923" s="27">
        <v>2.0</v>
      </c>
      <c r="O923" s="27">
        <v>3.0</v>
      </c>
      <c r="P923" s="27"/>
      <c r="Q923" s="27"/>
      <c r="R923" s="27"/>
      <c r="S923" s="27"/>
      <c r="T923" s="14">
        <f t="shared" si="44"/>
        <v>12</v>
      </c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 ht="15.75" customHeight="1">
      <c r="A924" s="14" t="s">
        <v>1149</v>
      </c>
      <c r="B924" s="14" t="s">
        <v>227</v>
      </c>
      <c r="C924" s="16"/>
      <c r="D924" s="17"/>
      <c r="E924" s="18"/>
      <c r="F924" s="14"/>
      <c r="G924" s="14"/>
      <c r="H924" s="14"/>
      <c r="I924" s="14"/>
      <c r="J924" s="14"/>
      <c r="K924" s="14"/>
      <c r="L924" s="14"/>
      <c r="M924" s="14"/>
      <c r="N924" s="14"/>
      <c r="O924" s="14">
        <v>2.0</v>
      </c>
      <c r="P924" s="14">
        <v>1.0</v>
      </c>
      <c r="Q924" s="14"/>
      <c r="R924" s="14"/>
      <c r="S924" s="14"/>
      <c r="T924" s="14">
        <f t="shared" si="44"/>
        <v>3</v>
      </c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</row>
    <row r="925" ht="15.75" customHeight="1">
      <c r="A925" s="27" t="s">
        <v>1150</v>
      </c>
      <c r="B925" s="27" t="s">
        <v>62</v>
      </c>
      <c r="C925" s="25"/>
      <c r="D925" s="17"/>
      <c r="E925" s="18"/>
      <c r="F925" s="27"/>
      <c r="G925" s="27" t="s">
        <v>40</v>
      </c>
      <c r="H925" s="27" t="s">
        <v>91</v>
      </c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14">
        <f t="shared" si="44"/>
        <v>0</v>
      </c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 ht="15.75" customHeight="1">
      <c r="A926" s="19" t="s">
        <v>1151</v>
      </c>
      <c r="B926" s="14" t="s">
        <v>62</v>
      </c>
      <c r="C926" s="16"/>
      <c r="D926" s="17"/>
      <c r="E926" s="18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>
        <f t="shared" si="44"/>
        <v>0</v>
      </c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</row>
    <row r="927" ht="15.75" customHeight="1">
      <c r="A927" s="27" t="s">
        <v>1152</v>
      </c>
      <c r="B927" s="27" t="s">
        <v>194</v>
      </c>
      <c r="C927" s="25"/>
      <c r="D927" s="17"/>
      <c r="E927" s="18"/>
      <c r="F927" s="51"/>
      <c r="G927" s="27" t="s">
        <v>40</v>
      </c>
      <c r="H927" s="27" t="s">
        <v>1153</v>
      </c>
      <c r="I927" s="27"/>
      <c r="J927" s="27"/>
      <c r="K927" s="27">
        <v>1.0</v>
      </c>
      <c r="L927" s="27"/>
      <c r="M927" s="27"/>
      <c r="N927" s="27">
        <v>1.0</v>
      </c>
      <c r="O927" s="27">
        <v>2.0</v>
      </c>
      <c r="P927" s="27">
        <v>1.0</v>
      </c>
      <c r="Q927" s="27"/>
      <c r="R927" s="17">
        <v>1.0</v>
      </c>
      <c r="S927" s="17"/>
      <c r="T927" s="14">
        <f t="shared" si="44"/>
        <v>6</v>
      </c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 ht="15.75" customHeight="1">
      <c r="A928" s="14" t="s">
        <v>1154</v>
      </c>
      <c r="B928" s="40" t="s">
        <v>166</v>
      </c>
      <c r="C928" s="16"/>
      <c r="D928" s="17"/>
      <c r="E928" s="18"/>
      <c r="F928" s="14"/>
      <c r="G928" s="20"/>
      <c r="H928" s="14"/>
      <c r="I928" s="14"/>
      <c r="J928" s="14"/>
      <c r="K928" s="14"/>
      <c r="L928" s="14"/>
      <c r="M928" s="14"/>
      <c r="N928" s="14"/>
      <c r="O928" s="14"/>
      <c r="P928" s="34"/>
      <c r="Q928" s="34"/>
      <c r="R928" s="34"/>
      <c r="S928" s="40">
        <v>1.0</v>
      </c>
      <c r="T928" s="34">
        <f t="shared" si="44"/>
        <v>1</v>
      </c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</row>
    <row r="929" ht="15.75" customHeight="1">
      <c r="A929" s="27" t="s">
        <v>1155</v>
      </c>
      <c r="B929" s="35"/>
      <c r="C929" s="25"/>
      <c r="D929" s="17"/>
      <c r="E929" s="18"/>
      <c r="F929" s="27"/>
      <c r="G929" s="26"/>
      <c r="H929" s="27"/>
      <c r="I929" s="27"/>
      <c r="J929" s="27"/>
      <c r="K929" s="27"/>
      <c r="L929" s="27"/>
      <c r="M929" s="27"/>
      <c r="N929" s="27"/>
      <c r="O929" s="27"/>
      <c r="P929" s="35"/>
      <c r="Q929" s="35"/>
      <c r="R929" s="35"/>
      <c r="S929" s="35"/>
      <c r="T929" s="35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 ht="15.75" customHeight="1">
      <c r="A930" s="14" t="s">
        <v>1156</v>
      </c>
      <c r="B930" s="14" t="s">
        <v>46</v>
      </c>
      <c r="C930" s="16"/>
      <c r="D930" s="17"/>
      <c r="E930" s="18"/>
      <c r="F930" s="14"/>
      <c r="G930" s="20"/>
      <c r="H930" s="14"/>
      <c r="I930" s="14"/>
      <c r="J930" s="14"/>
      <c r="K930" s="14"/>
      <c r="L930" s="14"/>
      <c r="M930" s="14"/>
      <c r="N930" s="14">
        <v>2.0</v>
      </c>
      <c r="O930" s="14">
        <v>2.0</v>
      </c>
      <c r="P930" s="14"/>
      <c r="Q930" s="14"/>
      <c r="R930" s="14"/>
      <c r="S930" s="14"/>
      <c r="T930" s="14">
        <f t="shared" ref="T930:T974" si="45">SUM(I930:S930)</f>
        <v>4</v>
      </c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</row>
    <row r="931" ht="15.75" customHeight="1">
      <c r="A931" s="27" t="s">
        <v>1157</v>
      </c>
      <c r="B931" s="17" t="s">
        <v>68</v>
      </c>
      <c r="C931" s="25"/>
      <c r="D931" s="17"/>
      <c r="E931" s="18"/>
      <c r="F931" s="27"/>
      <c r="G931" s="26"/>
      <c r="H931" s="27"/>
      <c r="I931" s="27"/>
      <c r="J931" s="27"/>
      <c r="K931" s="27">
        <v>3.0</v>
      </c>
      <c r="L931" s="27"/>
      <c r="M931" s="27"/>
      <c r="N931" s="27"/>
      <c r="O931" s="27"/>
      <c r="P931" s="27"/>
      <c r="Q931" s="27"/>
      <c r="R931" s="27"/>
      <c r="S931" s="27"/>
      <c r="T931" s="14">
        <f t="shared" si="45"/>
        <v>3</v>
      </c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 ht="15.75" customHeight="1">
      <c r="A932" s="66" t="s">
        <v>1158</v>
      </c>
      <c r="B932" s="19" t="s">
        <v>25</v>
      </c>
      <c r="C932" s="16"/>
      <c r="D932" s="17"/>
      <c r="E932" s="18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>
        <f t="shared" si="45"/>
        <v>0</v>
      </c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</row>
    <row r="933" ht="15.75" customHeight="1">
      <c r="A933" s="27" t="s">
        <v>1159</v>
      </c>
      <c r="B933" s="17" t="s">
        <v>38</v>
      </c>
      <c r="C933" s="25"/>
      <c r="D933" s="17"/>
      <c r="E933" s="18"/>
      <c r="F933" s="27"/>
      <c r="G933" s="27"/>
      <c r="H933" s="27"/>
      <c r="I933" s="27"/>
      <c r="J933" s="27"/>
      <c r="K933" s="27"/>
      <c r="L933" s="27">
        <v>1.0</v>
      </c>
      <c r="M933" s="27">
        <v>2.0</v>
      </c>
      <c r="N933" s="27">
        <v>1.0</v>
      </c>
      <c r="O933" s="27"/>
      <c r="P933" s="27">
        <v>2.0</v>
      </c>
      <c r="Q933" s="27"/>
      <c r="R933" s="27"/>
      <c r="S933" s="27"/>
      <c r="T933" s="14">
        <f t="shared" si="45"/>
        <v>6</v>
      </c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r="934" ht="15.75" customHeight="1">
      <c r="A934" s="17" t="s">
        <v>1160</v>
      </c>
      <c r="B934" s="17" t="s">
        <v>25</v>
      </c>
      <c r="C934" s="30" t="s">
        <v>663</v>
      </c>
      <c r="D934" s="17"/>
      <c r="E934" s="18"/>
      <c r="F934" s="1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17">
        <v>2.0</v>
      </c>
      <c r="T934" s="14">
        <f t="shared" si="45"/>
        <v>2</v>
      </c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r="935" ht="15.75" customHeight="1">
      <c r="A935" s="17" t="s">
        <v>1161</v>
      </c>
      <c r="B935" s="17" t="s">
        <v>27</v>
      </c>
      <c r="C935" s="25"/>
      <c r="D935" s="17"/>
      <c r="E935" s="18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14"/>
      <c r="S935" s="14"/>
      <c r="T935" s="14">
        <f t="shared" si="45"/>
        <v>0</v>
      </c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r="936" ht="15.75" customHeight="1">
      <c r="A936" s="17" t="s">
        <v>1162</v>
      </c>
      <c r="B936" s="17" t="s">
        <v>454</v>
      </c>
      <c r="C936" s="25"/>
      <c r="D936" s="17"/>
      <c r="E936" s="18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17">
        <v>1.0</v>
      </c>
      <c r="R936" s="14"/>
      <c r="S936" s="14"/>
      <c r="T936" s="14">
        <f t="shared" si="45"/>
        <v>1</v>
      </c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r="937" ht="15.75" customHeight="1">
      <c r="A937" s="19" t="s">
        <v>1163</v>
      </c>
      <c r="B937" s="14" t="s">
        <v>46</v>
      </c>
      <c r="C937" s="16"/>
      <c r="D937" s="17"/>
      <c r="E937" s="18"/>
      <c r="F937" s="14"/>
      <c r="G937" s="20"/>
      <c r="H937" s="14"/>
      <c r="I937" s="14"/>
      <c r="J937" s="14"/>
      <c r="K937" s="14"/>
      <c r="L937" s="14">
        <v>1.0</v>
      </c>
      <c r="M937" s="14"/>
      <c r="N937" s="14"/>
      <c r="O937" s="14"/>
      <c r="P937" s="14"/>
      <c r="Q937" s="14"/>
      <c r="R937" s="14"/>
      <c r="S937" s="14"/>
      <c r="T937" s="14">
        <f t="shared" si="45"/>
        <v>1</v>
      </c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</row>
    <row r="938" ht="15.75" customHeight="1">
      <c r="A938" s="27" t="s">
        <v>1164</v>
      </c>
      <c r="B938" s="17" t="s">
        <v>157</v>
      </c>
      <c r="C938" s="25"/>
      <c r="D938" s="17"/>
      <c r="E938" s="18"/>
      <c r="F938" s="27"/>
      <c r="G938" s="27"/>
      <c r="H938" s="27"/>
      <c r="I938" s="27"/>
      <c r="J938" s="27"/>
      <c r="K938" s="27"/>
      <c r="L938" s="27"/>
      <c r="M938" s="27"/>
      <c r="N938" s="27">
        <v>4.0</v>
      </c>
      <c r="O938" s="27">
        <v>1.0</v>
      </c>
      <c r="P938" s="27"/>
      <c r="Q938" s="27"/>
      <c r="R938" s="27"/>
      <c r="S938" s="27"/>
      <c r="T938" s="14">
        <f t="shared" si="45"/>
        <v>5</v>
      </c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r="939" ht="15.75" customHeight="1">
      <c r="A939" s="14" t="s">
        <v>1165</v>
      </c>
      <c r="B939" s="19" t="s">
        <v>60</v>
      </c>
      <c r="C939" s="16"/>
      <c r="D939" s="17"/>
      <c r="E939" s="18"/>
      <c r="F939" s="14"/>
      <c r="G939" s="14"/>
      <c r="H939" s="14"/>
      <c r="I939" s="14"/>
      <c r="J939" s="14"/>
      <c r="K939" s="14"/>
      <c r="L939" s="14">
        <v>1.0</v>
      </c>
      <c r="M939" s="14">
        <v>2.0</v>
      </c>
      <c r="N939" s="14"/>
      <c r="O939" s="14"/>
      <c r="P939" s="14">
        <v>1.0</v>
      </c>
      <c r="Q939" s="14"/>
      <c r="R939" s="19">
        <v>1.0</v>
      </c>
      <c r="S939" s="19"/>
      <c r="T939" s="14">
        <f t="shared" si="45"/>
        <v>5</v>
      </c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</row>
    <row r="940" ht="15.75" customHeight="1">
      <c r="A940" s="17" t="s">
        <v>1166</v>
      </c>
      <c r="B940" s="17" t="s">
        <v>454</v>
      </c>
      <c r="C940" s="25"/>
      <c r="D940" s="47"/>
      <c r="E940" s="18"/>
      <c r="F940" s="27"/>
      <c r="G940" s="26"/>
      <c r="H940" s="27"/>
      <c r="I940" s="27"/>
      <c r="J940" s="27"/>
      <c r="K940" s="27"/>
      <c r="L940" s="27"/>
      <c r="M940" s="27"/>
      <c r="N940" s="27"/>
      <c r="O940" s="27"/>
      <c r="P940" s="27"/>
      <c r="Q940" s="17">
        <v>1.0</v>
      </c>
      <c r="R940" s="14"/>
      <c r="S940" s="14"/>
      <c r="T940" s="14">
        <f t="shared" si="45"/>
        <v>1</v>
      </c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r="941" ht="15.75" customHeight="1">
      <c r="A941" s="27" t="s">
        <v>1167</v>
      </c>
      <c r="B941" s="17" t="s">
        <v>166</v>
      </c>
      <c r="C941" s="25"/>
      <c r="D941" s="17"/>
      <c r="E941" s="18"/>
      <c r="F941" s="27"/>
      <c r="G941" s="26"/>
      <c r="H941" s="27"/>
      <c r="I941" s="27"/>
      <c r="J941" s="27"/>
      <c r="K941" s="27">
        <v>1.0</v>
      </c>
      <c r="L941" s="27">
        <v>1.0</v>
      </c>
      <c r="M941" s="27">
        <v>2.0</v>
      </c>
      <c r="N941" s="27">
        <v>3.0</v>
      </c>
      <c r="O941" s="27">
        <v>1.0</v>
      </c>
      <c r="P941" s="27">
        <v>1.0</v>
      </c>
      <c r="Q941" s="17">
        <v>1.0</v>
      </c>
      <c r="R941" s="17">
        <v>1.0</v>
      </c>
      <c r="S941" s="17"/>
      <c r="T941" s="14">
        <f t="shared" si="45"/>
        <v>11</v>
      </c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r="942" ht="15.75" customHeight="1">
      <c r="A942" s="14" t="s">
        <v>1168</v>
      </c>
      <c r="B942" s="14" t="s">
        <v>46</v>
      </c>
      <c r="C942" s="16"/>
      <c r="D942" s="17"/>
      <c r="E942" s="18"/>
      <c r="F942" s="14"/>
      <c r="G942" s="20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>
        <f t="shared" si="45"/>
        <v>0</v>
      </c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</row>
    <row r="943" ht="15.75" customHeight="1">
      <c r="A943" s="17" t="s">
        <v>1169</v>
      </c>
      <c r="B943" s="17" t="s">
        <v>60</v>
      </c>
      <c r="C943" s="25"/>
      <c r="D943" s="17"/>
      <c r="E943" s="18"/>
      <c r="F943" s="27"/>
      <c r="G943" s="26"/>
      <c r="H943" s="27"/>
      <c r="I943" s="27"/>
      <c r="J943" s="27"/>
      <c r="K943" s="27"/>
      <c r="L943" s="27"/>
      <c r="M943" s="27"/>
      <c r="N943" s="27"/>
      <c r="O943" s="27"/>
      <c r="P943" s="27"/>
      <c r="Q943" s="17">
        <v>1.0</v>
      </c>
      <c r="R943" s="14"/>
      <c r="S943" s="14"/>
      <c r="T943" s="14">
        <f t="shared" si="45"/>
        <v>1</v>
      </c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r="944" ht="15.75" customHeight="1">
      <c r="A944" s="27" t="s">
        <v>1170</v>
      </c>
      <c r="B944" s="17" t="s">
        <v>62</v>
      </c>
      <c r="C944" s="25"/>
      <c r="D944" s="17"/>
      <c r="E944" s="18"/>
      <c r="F944" s="27"/>
      <c r="G944" s="26"/>
      <c r="H944" s="27"/>
      <c r="I944" s="27"/>
      <c r="J944" s="27">
        <v>1.0</v>
      </c>
      <c r="K944" s="27"/>
      <c r="L944" s="27"/>
      <c r="M944" s="27"/>
      <c r="N944" s="27"/>
      <c r="O944" s="27"/>
      <c r="P944" s="27"/>
      <c r="Q944" s="27"/>
      <c r="R944" s="27"/>
      <c r="S944" s="27"/>
      <c r="T944" s="14">
        <f t="shared" si="45"/>
        <v>1</v>
      </c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r="945" ht="15.75" customHeight="1">
      <c r="A945" s="27" t="s">
        <v>1171</v>
      </c>
      <c r="B945" s="17" t="s">
        <v>1074</v>
      </c>
      <c r="C945" s="25"/>
      <c r="D945" s="17"/>
      <c r="E945" s="18"/>
      <c r="F945" s="51"/>
      <c r="G945" s="26"/>
      <c r="H945" s="27"/>
      <c r="I945" s="27"/>
      <c r="J945" s="27">
        <v>1.0</v>
      </c>
      <c r="K945" s="27">
        <v>1.0</v>
      </c>
      <c r="L945" s="27">
        <v>1.0</v>
      </c>
      <c r="M945" s="27"/>
      <c r="N945" s="27"/>
      <c r="O945" s="27">
        <v>1.0</v>
      </c>
      <c r="P945" s="27"/>
      <c r="Q945" s="17">
        <v>1.0</v>
      </c>
      <c r="R945" s="17">
        <v>1.0</v>
      </c>
      <c r="S945" s="17">
        <v>1.0</v>
      </c>
      <c r="T945" s="14">
        <f t="shared" si="45"/>
        <v>7</v>
      </c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r="946" ht="15.75" customHeight="1">
      <c r="A946" s="14" t="s">
        <v>1172</v>
      </c>
      <c r="B946" s="19" t="s">
        <v>230</v>
      </c>
      <c r="C946" s="16"/>
      <c r="D946" s="17"/>
      <c r="E946" s="18"/>
      <c r="F946" s="14"/>
      <c r="G946" s="20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>
        <f t="shared" si="45"/>
        <v>0</v>
      </c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</row>
    <row r="947" ht="15.75" customHeight="1">
      <c r="A947" s="17" t="s">
        <v>1173</v>
      </c>
      <c r="B947" s="17" t="s">
        <v>230</v>
      </c>
      <c r="C947" s="25"/>
      <c r="D947" s="17"/>
      <c r="E947" s="18"/>
      <c r="F947" s="51"/>
      <c r="G947" s="26"/>
      <c r="H947" s="27"/>
      <c r="I947" s="27"/>
      <c r="J947" s="27"/>
      <c r="K947" s="27"/>
      <c r="L947" s="27"/>
      <c r="M947" s="27"/>
      <c r="N947" s="27"/>
      <c r="O947" s="27"/>
      <c r="P947" s="27"/>
      <c r="Q947" s="17"/>
      <c r="R947" s="17"/>
      <c r="S947" s="17"/>
      <c r="T947" s="14">
        <f t="shared" si="45"/>
        <v>0</v>
      </c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r="948" ht="15.75" customHeight="1">
      <c r="A948" s="14" t="s">
        <v>1174</v>
      </c>
      <c r="B948" s="19" t="s">
        <v>230</v>
      </c>
      <c r="C948" s="16"/>
      <c r="D948" s="17"/>
      <c r="E948" s="18"/>
      <c r="F948" s="67"/>
      <c r="G948" s="20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>
        <f t="shared" si="45"/>
        <v>0</v>
      </c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</row>
    <row r="949" ht="15.75" customHeight="1">
      <c r="A949" s="27" t="s">
        <v>1175</v>
      </c>
      <c r="B949" s="17" t="s">
        <v>42</v>
      </c>
      <c r="C949" s="25"/>
      <c r="D949" s="17"/>
      <c r="E949" s="18"/>
      <c r="F949" s="27"/>
      <c r="G949" s="26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14">
        <f t="shared" si="45"/>
        <v>0</v>
      </c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r="950" ht="15.75" customHeight="1">
      <c r="A950" s="14" t="s">
        <v>1176</v>
      </c>
      <c r="B950" s="19" t="s">
        <v>62</v>
      </c>
      <c r="C950" s="16"/>
      <c r="D950" s="17"/>
      <c r="E950" s="18"/>
      <c r="F950" s="14"/>
      <c r="G950" s="20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>
        <f t="shared" si="45"/>
        <v>0</v>
      </c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</row>
    <row r="951" ht="15.75" customHeight="1">
      <c r="A951" s="17" t="s">
        <v>1177</v>
      </c>
      <c r="B951" s="17" t="s">
        <v>265</v>
      </c>
      <c r="C951" s="25"/>
      <c r="D951" s="17"/>
      <c r="E951" s="18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19">
        <v>1.0</v>
      </c>
      <c r="S951" s="19"/>
      <c r="T951" s="14">
        <f t="shared" si="45"/>
        <v>1</v>
      </c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r="952" ht="15.75" customHeight="1">
      <c r="A952" s="17" t="s">
        <v>1178</v>
      </c>
      <c r="B952" s="17" t="s">
        <v>562</v>
      </c>
      <c r="C952" s="25"/>
      <c r="D952" s="17"/>
      <c r="E952" s="18"/>
      <c r="F952" s="27"/>
      <c r="G952" s="27"/>
      <c r="H952" s="27"/>
      <c r="I952" s="27"/>
      <c r="J952" s="27"/>
      <c r="K952" s="27"/>
      <c r="L952" s="27"/>
      <c r="M952" s="27">
        <v>2.0</v>
      </c>
      <c r="N952" s="27">
        <v>7.0</v>
      </c>
      <c r="O952" s="27">
        <v>1.0</v>
      </c>
      <c r="P952" s="27"/>
      <c r="Q952" s="27"/>
      <c r="R952" s="27"/>
      <c r="S952" s="27"/>
      <c r="T952" s="14">
        <f t="shared" si="45"/>
        <v>10</v>
      </c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r="953" ht="15.75" customHeight="1">
      <c r="A953" s="19" t="s">
        <v>1179</v>
      </c>
      <c r="B953" s="19" t="s">
        <v>225</v>
      </c>
      <c r="C953" s="24" t="s">
        <v>177</v>
      </c>
      <c r="D953" s="17"/>
      <c r="E953" s="18"/>
      <c r="F953" s="19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9">
        <v>2.0</v>
      </c>
      <c r="S953" s="19"/>
      <c r="T953" s="14">
        <f t="shared" si="45"/>
        <v>2</v>
      </c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</row>
    <row r="954" ht="15.75" customHeight="1">
      <c r="A954" s="14" t="s">
        <v>1180</v>
      </c>
      <c r="B954" s="14" t="s">
        <v>338</v>
      </c>
      <c r="C954" s="16"/>
      <c r="D954" s="17"/>
      <c r="E954" s="18"/>
      <c r="F954" s="19"/>
      <c r="G954" s="14"/>
      <c r="H954" s="14"/>
      <c r="I954" s="14"/>
      <c r="J954" s="14"/>
      <c r="K954" s="14"/>
      <c r="L954" s="14">
        <v>1.0</v>
      </c>
      <c r="M954" s="14"/>
      <c r="N954" s="14">
        <v>1.0</v>
      </c>
      <c r="O954" s="14"/>
      <c r="P954" s="14">
        <v>1.0</v>
      </c>
      <c r="Q954" s="14"/>
      <c r="R954" s="14"/>
      <c r="S954" s="14"/>
      <c r="T954" s="14">
        <f t="shared" si="45"/>
        <v>3</v>
      </c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</row>
    <row r="955" ht="15.75" customHeight="1">
      <c r="A955" s="27" t="s">
        <v>1181</v>
      </c>
      <c r="B955" s="17" t="s">
        <v>62</v>
      </c>
      <c r="C955" s="25"/>
      <c r="D955" s="17"/>
      <c r="E955" s="18"/>
      <c r="F955" s="17"/>
      <c r="G955" s="26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14">
        <f t="shared" si="45"/>
        <v>0</v>
      </c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r="956" ht="15.75" customHeight="1">
      <c r="A956" s="14" t="s">
        <v>1182</v>
      </c>
      <c r="B956" s="19" t="s">
        <v>145</v>
      </c>
      <c r="C956" s="16"/>
      <c r="D956" s="17"/>
      <c r="E956" s="18"/>
      <c r="F956" s="67"/>
      <c r="G956" s="14" t="s">
        <v>40</v>
      </c>
      <c r="H956" s="14"/>
      <c r="I956" s="14"/>
      <c r="J956" s="14"/>
      <c r="K956" s="14"/>
      <c r="L956" s="14">
        <v>2.0</v>
      </c>
      <c r="M956" s="14">
        <v>3.0</v>
      </c>
      <c r="N956" s="14">
        <v>1.0</v>
      </c>
      <c r="O956" s="14">
        <v>3.0</v>
      </c>
      <c r="P956" s="14">
        <v>1.0</v>
      </c>
      <c r="Q956" s="14"/>
      <c r="R956" s="19">
        <v>2.0</v>
      </c>
      <c r="S956" s="19"/>
      <c r="T956" s="14">
        <f t="shared" si="45"/>
        <v>12</v>
      </c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</row>
    <row r="957" ht="15.75" customHeight="1">
      <c r="A957" s="27" t="s">
        <v>1183</v>
      </c>
      <c r="B957" s="17" t="s">
        <v>145</v>
      </c>
      <c r="C957" s="25"/>
      <c r="D957" s="17"/>
      <c r="E957" s="18"/>
      <c r="F957" s="27"/>
      <c r="G957" s="26"/>
      <c r="H957" s="27"/>
      <c r="I957" s="27"/>
      <c r="J957" s="27"/>
      <c r="K957" s="27"/>
      <c r="L957" s="27">
        <v>1.0</v>
      </c>
      <c r="M957" s="27"/>
      <c r="N957" s="27"/>
      <c r="O957" s="27"/>
      <c r="P957" s="27"/>
      <c r="Q957" s="27"/>
      <c r="R957" s="27"/>
      <c r="S957" s="27"/>
      <c r="T957" s="14">
        <f t="shared" si="45"/>
        <v>1</v>
      </c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r="958" ht="15.75" customHeight="1">
      <c r="A958" s="14" t="s">
        <v>1184</v>
      </c>
      <c r="B958" s="19" t="s">
        <v>149</v>
      </c>
      <c r="C958" s="16"/>
      <c r="D958" s="17"/>
      <c r="E958" s="18"/>
      <c r="F958" s="14"/>
      <c r="G958" s="20"/>
      <c r="H958" s="14"/>
      <c r="I958" s="14"/>
      <c r="J958" s="14"/>
      <c r="K958" s="14"/>
      <c r="L958" s="14">
        <v>1.0</v>
      </c>
      <c r="M958" s="14">
        <v>5.0</v>
      </c>
      <c r="N958" s="14">
        <v>2.0</v>
      </c>
      <c r="O958" s="14">
        <v>3.0</v>
      </c>
      <c r="P958" s="14"/>
      <c r="Q958" s="14"/>
      <c r="R958" s="19">
        <v>1.0</v>
      </c>
      <c r="S958" s="19"/>
      <c r="T958" s="14">
        <f t="shared" si="45"/>
        <v>12</v>
      </c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</row>
    <row r="959" ht="15.75" customHeight="1">
      <c r="A959" s="100" t="s">
        <v>1185</v>
      </c>
      <c r="B959" s="17" t="s">
        <v>532</v>
      </c>
      <c r="C959" s="25"/>
      <c r="D959" s="17"/>
      <c r="E959" s="18"/>
      <c r="F959" s="27"/>
      <c r="G959" s="26"/>
      <c r="H959" s="27"/>
      <c r="I959" s="27"/>
      <c r="J959" s="27"/>
      <c r="K959" s="27"/>
      <c r="L959" s="27"/>
      <c r="M959" s="27">
        <v>3.0</v>
      </c>
      <c r="N959" s="27">
        <v>1.0</v>
      </c>
      <c r="O959" s="27"/>
      <c r="P959" s="27"/>
      <c r="Q959" s="27"/>
      <c r="R959" s="27"/>
      <c r="S959" s="17">
        <v>1.0</v>
      </c>
      <c r="T959" s="14">
        <f t="shared" si="45"/>
        <v>5</v>
      </c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r="960" ht="15.75" customHeight="1">
      <c r="A960" s="19" t="s">
        <v>1186</v>
      </c>
      <c r="B960" s="19" t="s">
        <v>149</v>
      </c>
      <c r="C960" s="16"/>
      <c r="D960" s="17"/>
      <c r="E960" s="18"/>
      <c r="F960" s="14"/>
      <c r="G960" s="20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>
        <f t="shared" si="45"/>
        <v>0</v>
      </c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</row>
    <row r="961" ht="15.75" customHeight="1">
      <c r="A961" s="19" t="s">
        <v>1187</v>
      </c>
      <c r="B961" s="19" t="s">
        <v>25</v>
      </c>
      <c r="C961" s="30" t="s">
        <v>953</v>
      </c>
      <c r="D961" s="50"/>
      <c r="E961" s="48"/>
      <c r="F961" s="19"/>
      <c r="G961" s="20"/>
      <c r="H961" s="14"/>
      <c r="I961" s="14"/>
      <c r="J961" s="14"/>
      <c r="K961" s="14"/>
      <c r="L961" s="14"/>
      <c r="M961" s="14"/>
      <c r="N961" s="14"/>
      <c r="O961" s="14"/>
      <c r="P961" s="14"/>
      <c r="Q961" s="19">
        <v>1.0</v>
      </c>
      <c r="R961" s="14"/>
      <c r="S961" s="14"/>
      <c r="T961" s="14">
        <f t="shared" si="45"/>
        <v>1</v>
      </c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</row>
    <row r="962" ht="15.75" customHeight="1">
      <c r="A962" s="14" t="s">
        <v>1188</v>
      </c>
      <c r="B962" s="19" t="s">
        <v>129</v>
      </c>
      <c r="C962" s="16"/>
      <c r="D962" s="17" t="s">
        <v>633</v>
      </c>
      <c r="E962" s="18">
        <v>45953.0</v>
      </c>
      <c r="F962" s="14"/>
      <c r="G962" s="20"/>
      <c r="H962" s="14"/>
      <c r="I962" s="14"/>
      <c r="J962" s="14"/>
      <c r="K962" s="14"/>
      <c r="L962" s="14"/>
      <c r="M962" s="14"/>
      <c r="N962" s="14">
        <v>1.0</v>
      </c>
      <c r="O962" s="14"/>
      <c r="P962" s="14">
        <v>1.0</v>
      </c>
      <c r="Q962" s="14"/>
      <c r="R962" s="19">
        <v>1.0</v>
      </c>
      <c r="S962" s="19">
        <v>2.0</v>
      </c>
      <c r="T962" s="14">
        <f t="shared" si="45"/>
        <v>5</v>
      </c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</row>
    <row r="963" ht="15.75" customHeight="1">
      <c r="A963" s="17" t="s">
        <v>1189</v>
      </c>
      <c r="B963" s="17" t="s">
        <v>169</v>
      </c>
      <c r="C963" s="25"/>
      <c r="D963" s="17"/>
      <c r="E963" s="18"/>
      <c r="F963" s="27"/>
      <c r="G963" s="26"/>
      <c r="H963" s="27"/>
      <c r="I963" s="27"/>
      <c r="J963" s="27"/>
      <c r="K963" s="27"/>
      <c r="L963" s="27"/>
      <c r="M963" s="27"/>
      <c r="N963" s="27"/>
      <c r="O963" s="27"/>
      <c r="P963" s="27"/>
      <c r="Q963" s="17">
        <v>1.0</v>
      </c>
      <c r="R963" s="19">
        <v>2.0</v>
      </c>
      <c r="S963" s="19"/>
      <c r="T963" s="14">
        <f t="shared" si="45"/>
        <v>3</v>
      </c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r="964" ht="15.75" customHeight="1">
      <c r="A964" s="27" t="s">
        <v>1190</v>
      </c>
      <c r="B964" s="17" t="s">
        <v>62</v>
      </c>
      <c r="C964" s="25"/>
      <c r="D964" s="17"/>
      <c r="E964" s="18"/>
      <c r="F964" s="27"/>
      <c r="G964" s="26"/>
      <c r="H964" s="27"/>
      <c r="I964" s="27">
        <v>1.0</v>
      </c>
      <c r="J964" s="27">
        <v>1.0</v>
      </c>
      <c r="K964" s="27">
        <v>1.0</v>
      </c>
      <c r="L964" s="27"/>
      <c r="M964" s="27">
        <v>1.0</v>
      </c>
      <c r="N964" s="27"/>
      <c r="O964" s="27"/>
      <c r="P964" s="27">
        <v>2.0</v>
      </c>
      <c r="Q964" s="27"/>
      <c r="R964" s="27"/>
      <c r="S964" s="27"/>
      <c r="T964" s="14">
        <f t="shared" si="45"/>
        <v>6</v>
      </c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r="965" ht="15.75" customHeight="1">
      <c r="A965" s="19" t="s">
        <v>1191</v>
      </c>
      <c r="B965" s="19" t="s">
        <v>392</v>
      </c>
      <c r="C965" s="16"/>
      <c r="D965" s="17"/>
      <c r="E965" s="18"/>
      <c r="F965" s="14"/>
      <c r="G965" s="20"/>
      <c r="H965" s="14"/>
      <c r="I965" s="14"/>
      <c r="J965" s="14"/>
      <c r="K965" s="14"/>
      <c r="L965" s="14"/>
      <c r="M965" s="14">
        <v>6.0</v>
      </c>
      <c r="N965" s="14">
        <v>3.0</v>
      </c>
      <c r="O965" s="14"/>
      <c r="P965" s="14"/>
      <c r="Q965" s="14"/>
      <c r="R965" s="14"/>
      <c r="S965" s="14"/>
      <c r="T965" s="14">
        <f t="shared" si="45"/>
        <v>9</v>
      </c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</row>
    <row r="966" ht="15.75" customHeight="1">
      <c r="A966" s="17" t="s">
        <v>1192</v>
      </c>
      <c r="B966" s="17" t="s">
        <v>49</v>
      </c>
      <c r="C966" s="25"/>
      <c r="D966" s="17"/>
      <c r="E966" s="18"/>
      <c r="F966" s="27"/>
      <c r="G966" s="26"/>
      <c r="H966" s="27"/>
      <c r="I966" s="27"/>
      <c r="J966" s="27"/>
      <c r="K966" s="27"/>
      <c r="L966" s="27"/>
      <c r="M966" s="27"/>
      <c r="N966" s="27"/>
      <c r="O966" s="27"/>
      <c r="P966" s="27"/>
      <c r="Q966" s="17">
        <v>1.0</v>
      </c>
      <c r="R966" s="27"/>
      <c r="S966" s="27"/>
      <c r="T966" s="14">
        <f t="shared" si="45"/>
        <v>1</v>
      </c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ht="15.75" customHeight="1">
      <c r="A967" s="27" t="s">
        <v>1193</v>
      </c>
      <c r="B967" s="17" t="s">
        <v>386</v>
      </c>
      <c r="C967" s="25"/>
      <c r="D967" s="17"/>
      <c r="E967" s="18"/>
      <c r="F967" s="27"/>
      <c r="G967" s="26"/>
      <c r="H967" s="27"/>
      <c r="I967" s="27"/>
      <c r="J967" s="27"/>
      <c r="K967" s="27"/>
      <c r="L967" s="27"/>
      <c r="M967" s="27">
        <v>1.0</v>
      </c>
      <c r="N967" s="27">
        <v>10.0</v>
      </c>
      <c r="O967" s="27">
        <v>3.0</v>
      </c>
      <c r="P967" s="27">
        <v>2.0</v>
      </c>
      <c r="Q967" s="27"/>
      <c r="R967" s="27"/>
      <c r="S967" s="27"/>
      <c r="T967" s="14">
        <f t="shared" si="45"/>
        <v>16</v>
      </c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r="968" ht="15.75" customHeight="1">
      <c r="A968" s="19" t="s">
        <v>1194</v>
      </c>
      <c r="B968" s="19" t="s">
        <v>21</v>
      </c>
      <c r="C968" s="16"/>
      <c r="D968" s="17"/>
      <c r="E968" s="18"/>
      <c r="F968" s="14"/>
      <c r="G968" s="20"/>
      <c r="H968" s="14"/>
      <c r="I968" s="14"/>
      <c r="J968" s="14"/>
      <c r="K968" s="14"/>
      <c r="L968" s="14"/>
      <c r="M968" s="14"/>
      <c r="N968" s="14"/>
      <c r="O968" s="14"/>
      <c r="P968" s="14"/>
      <c r="Q968" s="19">
        <v>1.0</v>
      </c>
      <c r="R968" s="19">
        <v>2.0</v>
      </c>
      <c r="S968" s="19">
        <v>2.0</v>
      </c>
      <c r="T968" s="14">
        <f t="shared" si="45"/>
        <v>5</v>
      </c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</row>
    <row r="969" ht="15.75" customHeight="1">
      <c r="A969" s="14" t="s">
        <v>1195</v>
      </c>
      <c r="B969" s="19" t="s">
        <v>451</v>
      </c>
      <c r="C969" s="16"/>
      <c r="D969" s="17"/>
      <c r="E969" s="18"/>
      <c r="F969" s="14"/>
      <c r="G969" s="20"/>
      <c r="H969" s="14"/>
      <c r="I969" s="14"/>
      <c r="J969" s="14"/>
      <c r="K969" s="14"/>
      <c r="L969" s="14"/>
      <c r="M969" s="14"/>
      <c r="N969" s="14">
        <v>2.0</v>
      </c>
      <c r="O969" s="14">
        <v>4.0</v>
      </c>
      <c r="P969" s="14"/>
      <c r="Q969" s="14"/>
      <c r="R969" s="14"/>
      <c r="S969" s="14"/>
      <c r="T969" s="14">
        <f t="shared" si="45"/>
        <v>6</v>
      </c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</row>
    <row r="970" ht="15.75" customHeight="1">
      <c r="A970" s="27" t="s">
        <v>1196</v>
      </c>
      <c r="B970" s="17" t="s">
        <v>155</v>
      </c>
      <c r="C970" s="25"/>
      <c r="D970" s="17"/>
      <c r="E970" s="18"/>
      <c r="F970" s="27"/>
      <c r="G970" s="26"/>
      <c r="H970" s="27"/>
      <c r="I970" s="27"/>
      <c r="J970" s="27"/>
      <c r="K970" s="27">
        <v>1.0</v>
      </c>
      <c r="L970" s="27"/>
      <c r="M970" s="27"/>
      <c r="N970" s="27"/>
      <c r="O970" s="27">
        <v>2.0</v>
      </c>
      <c r="P970" s="27">
        <v>1.0</v>
      </c>
      <c r="Q970" s="27"/>
      <c r="R970" s="27"/>
      <c r="S970" s="27"/>
      <c r="T970" s="14">
        <f t="shared" si="45"/>
        <v>4</v>
      </c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r="971" ht="15.75" customHeight="1">
      <c r="A971" s="14" t="s">
        <v>1197</v>
      </c>
      <c r="B971" s="19" t="s">
        <v>166</v>
      </c>
      <c r="C971" s="16"/>
      <c r="D971" s="17"/>
      <c r="E971" s="18"/>
      <c r="F971" s="14"/>
      <c r="G971" s="20"/>
      <c r="H971" s="14"/>
      <c r="I971" s="14"/>
      <c r="J971" s="14"/>
      <c r="K971" s="14"/>
      <c r="L971" s="14"/>
      <c r="M971" s="14"/>
      <c r="N971" s="14"/>
      <c r="O971" s="14"/>
      <c r="P971" s="14">
        <v>1.0</v>
      </c>
      <c r="Q971" s="14"/>
      <c r="R971" s="14"/>
      <c r="S971" s="14"/>
      <c r="T971" s="14">
        <f t="shared" si="45"/>
        <v>1</v>
      </c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</row>
    <row r="972" ht="15.75" customHeight="1">
      <c r="A972" s="23" t="s">
        <v>1198</v>
      </c>
      <c r="B972" s="17" t="s">
        <v>22</v>
      </c>
      <c r="C972" s="25"/>
      <c r="D972" s="17"/>
      <c r="E972" s="18"/>
      <c r="F972" s="27"/>
      <c r="G972" s="26"/>
      <c r="H972" s="27"/>
      <c r="I972" s="27"/>
      <c r="J972" s="27">
        <v>1.0</v>
      </c>
      <c r="K972" s="27">
        <v>1.0</v>
      </c>
      <c r="L972" s="27"/>
      <c r="M972" s="27"/>
      <c r="N972" s="27"/>
      <c r="O972" s="27"/>
      <c r="P972" s="27"/>
      <c r="Q972" s="27"/>
      <c r="R972" s="27"/>
      <c r="S972" s="27"/>
      <c r="T972" s="14">
        <f t="shared" si="45"/>
        <v>2</v>
      </c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r="973" ht="15.75" customHeight="1">
      <c r="A973" s="101" t="s">
        <v>1199</v>
      </c>
      <c r="B973" s="19" t="s">
        <v>25</v>
      </c>
      <c r="C973" s="16"/>
      <c r="D973" s="17"/>
      <c r="E973" s="18"/>
      <c r="F973" s="14"/>
      <c r="G973" s="20"/>
      <c r="H973" s="14"/>
      <c r="I973" s="14"/>
      <c r="J973" s="14"/>
      <c r="K973" s="14"/>
      <c r="L973" s="14"/>
      <c r="M973" s="14"/>
      <c r="N973" s="14"/>
      <c r="O973" s="14"/>
      <c r="P973" s="14"/>
      <c r="Q973" s="19">
        <v>1.0</v>
      </c>
      <c r="R973" s="14"/>
      <c r="S973" s="14"/>
      <c r="T973" s="14">
        <f t="shared" si="45"/>
        <v>1</v>
      </c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</row>
    <row r="974" ht="15.75" customHeight="1">
      <c r="A974" s="27" t="s">
        <v>1200</v>
      </c>
      <c r="B974" s="46" t="s">
        <v>311</v>
      </c>
      <c r="C974" s="25"/>
      <c r="D974" s="17"/>
      <c r="E974" s="18"/>
      <c r="F974" s="27"/>
      <c r="G974" s="26"/>
      <c r="H974" s="27"/>
      <c r="I974" s="27"/>
      <c r="J974" s="27"/>
      <c r="K974" s="27"/>
      <c r="L974" s="27"/>
      <c r="M974" s="27"/>
      <c r="N974" s="27"/>
      <c r="O974" s="27"/>
      <c r="P974" s="33">
        <v>4.0</v>
      </c>
      <c r="Q974" s="33"/>
      <c r="R974" s="33"/>
      <c r="S974" s="46">
        <v>1.0</v>
      </c>
      <c r="T974" s="34">
        <f t="shared" si="45"/>
        <v>5</v>
      </c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r="975" ht="15.75" customHeight="1">
      <c r="A975" s="14" t="s">
        <v>1201</v>
      </c>
      <c r="B975" s="35"/>
      <c r="C975" s="16"/>
      <c r="D975" s="17"/>
      <c r="E975" s="18"/>
      <c r="F975" s="14"/>
      <c r="G975" s="20"/>
      <c r="H975" s="14"/>
      <c r="I975" s="14"/>
      <c r="J975" s="14"/>
      <c r="K975" s="14"/>
      <c r="L975" s="14"/>
      <c r="M975" s="14"/>
      <c r="N975" s="14"/>
      <c r="O975" s="14"/>
      <c r="P975" s="35"/>
      <c r="Q975" s="41"/>
      <c r="R975" s="41"/>
      <c r="S975" s="41"/>
      <c r="T975" s="35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</row>
    <row r="976" ht="15.75" customHeight="1">
      <c r="A976" s="19" t="s">
        <v>1202</v>
      </c>
      <c r="B976" s="17" t="s">
        <v>73</v>
      </c>
      <c r="C976" s="24" t="s">
        <v>32</v>
      </c>
      <c r="D976" s="17"/>
      <c r="E976" s="18"/>
      <c r="F976" s="19" t="s">
        <v>74</v>
      </c>
      <c r="G976" s="20"/>
      <c r="H976" s="14"/>
      <c r="I976" s="14"/>
      <c r="J976" s="14"/>
      <c r="K976" s="14"/>
      <c r="L976" s="14"/>
      <c r="M976" s="14"/>
      <c r="N976" s="14"/>
      <c r="O976" s="14"/>
      <c r="P976" s="27"/>
      <c r="Q976" s="33"/>
      <c r="R976" s="33"/>
      <c r="S976" s="46"/>
      <c r="T976" s="14">
        <f t="shared" ref="T976:T989" si="46">SUM(I976:S976)</f>
        <v>0</v>
      </c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</row>
    <row r="977" ht="15.75" customHeight="1">
      <c r="A977" s="17" t="s">
        <v>1203</v>
      </c>
      <c r="B977" s="17" t="s">
        <v>403</v>
      </c>
      <c r="C977" s="30" t="s">
        <v>241</v>
      </c>
      <c r="D977" s="17"/>
      <c r="E977" s="18"/>
      <c r="F977" s="17"/>
      <c r="G977" s="26"/>
      <c r="H977" s="27"/>
      <c r="I977" s="27"/>
      <c r="J977" s="27"/>
      <c r="K977" s="27"/>
      <c r="L977" s="27"/>
      <c r="M977" s="27"/>
      <c r="N977" s="27"/>
      <c r="O977" s="27"/>
      <c r="P977" s="27"/>
      <c r="Q977" s="33"/>
      <c r="R977" s="46">
        <v>3.0</v>
      </c>
      <c r="S977" s="46">
        <v>2.0</v>
      </c>
      <c r="T977" s="14">
        <f t="shared" si="46"/>
        <v>5</v>
      </c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r="978" ht="15.75" customHeight="1">
      <c r="A978" s="27" t="s">
        <v>1204</v>
      </c>
      <c r="B978" s="27" t="s">
        <v>227</v>
      </c>
      <c r="C978" s="25"/>
      <c r="D978" s="17"/>
      <c r="E978" s="18"/>
      <c r="F978" s="27"/>
      <c r="G978" s="26"/>
      <c r="H978" s="27"/>
      <c r="I978" s="27"/>
      <c r="J978" s="27">
        <v>4.0</v>
      </c>
      <c r="K978" s="27"/>
      <c r="L978" s="27"/>
      <c r="M978" s="27"/>
      <c r="N978" s="27"/>
      <c r="O978" s="27"/>
      <c r="P978" s="27"/>
      <c r="Q978" s="27"/>
      <c r="R978" s="27"/>
      <c r="S978" s="27"/>
      <c r="T978" s="14">
        <f t="shared" si="46"/>
        <v>4</v>
      </c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r="979" ht="15.75" customHeight="1">
      <c r="A979" s="14" t="s">
        <v>1205</v>
      </c>
      <c r="B979" s="14" t="s">
        <v>42</v>
      </c>
      <c r="C979" s="16"/>
      <c r="D979" s="17"/>
      <c r="E979" s="18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>
        <v>1.0</v>
      </c>
      <c r="Q979" s="14"/>
      <c r="R979" s="14"/>
      <c r="S979" s="14"/>
      <c r="T979" s="14">
        <f t="shared" si="46"/>
        <v>1</v>
      </c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</row>
    <row r="980" ht="15.75" customHeight="1">
      <c r="A980" s="14" t="s">
        <v>1206</v>
      </c>
      <c r="B980" s="15" t="s">
        <v>392</v>
      </c>
      <c r="C980" s="60"/>
      <c r="D980" s="17"/>
      <c r="E980" s="18"/>
      <c r="F980" s="45"/>
      <c r="G980" s="20"/>
      <c r="H980" s="14"/>
      <c r="I980" s="14"/>
      <c r="J980" s="14">
        <v>2.0</v>
      </c>
      <c r="K980" s="14">
        <v>3.0</v>
      </c>
      <c r="L980" s="14">
        <v>1.0</v>
      </c>
      <c r="M980" s="14"/>
      <c r="N980" s="14">
        <v>1.0</v>
      </c>
      <c r="O980" s="14">
        <v>1.0</v>
      </c>
      <c r="P980" s="14"/>
      <c r="Q980" s="14"/>
      <c r="R980" s="14"/>
      <c r="S980" s="19">
        <v>1.0</v>
      </c>
      <c r="T980" s="14">
        <f t="shared" si="46"/>
        <v>9</v>
      </c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</row>
    <row r="981" ht="15.75" customHeight="1">
      <c r="A981" s="19" t="s">
        <v>1207</v>
      </c>
      <c r="B981" s="15" t="s">
        <v>73</v>
      </c>
      <c r="C981" s="61" t="s">
        <v>32</v>
      </c>
      <c r="D981" s="17"/>
      <c r="E981" s="18"/>
      <c r="F981" s="15" t="s">
        <v>74</v>
      </c>
      <c r="G981" s="20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9"/>
      <c r="T981" s="14">
        <f t="shared" si="46"/>
        <v>0</v>
      </c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</row>
    <row r="982" ht="15.75" customHeight="1">
      <c r="A982" s="19" t="s">
        <v>1208</v>
      </c>
      <c r="B982" s="15" t="s">
        <v>370</v>
      </c>
      <c r="C982" s="61" t="s">
        <v>32</v>
      </c>
      <c r="D982" s="17"/>
      <c r="E982" s="18"/>
      <c r="F982" s="15"/>
      <c r="G982" s="20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9"/>
      <c r="T982" s="14">
        <f t="shared" si="46"/>
        <v>0</v>
      </c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</row>
    <row r="983" ht="15.75" customHeight="1">
      <c r="A983" s="19" t="s">
        <v>1209</v>
      </c>
      <c r="B983" s="15" t="s">
        <v>73</v>
      </c>
      <c r="C983" s="61" t="s">
        <v>711</v>
      </c>
      <c r="D983" s="17"/>
      <c r="E983" s="18"/>
      <c r="F983" s="15" t="s">
        <v>74</v>
      </c>
      <c r="G983" s="20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9"/>
      <c r="T983" s="14">
        <f t="shared" si="46"/>
        <v>0</v>
      </c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</row>
    <row r="984" ht="15.75" customHeight="1">
      <c r="A984" s="19" t="s">
        <v>1210</v>
      </c>
      <c r="B984" s="15" t="s">
        <v>73</v>
      </c>
      <c r="C984" s="61" t="s">
        <v>32</v>
      </c>
      <c r="D984" s="17"/>
      <c r="E984" s="18"/>
      <c r="F984" s="15" t="s">
        <v>74</v>
      </c>
      <c r="G984" s="20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9"/>
      <c r="T984" s="14">
        <f t="shared" si="46"/>
        <v>0</v>
      </c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</row>
    <row r="985" ht="15.75" customHeight="1">
      <c r="A985" s="19" t="s">
        <v>1211</v>
      </c>
      <c r="B985" s="15" t="s">
        <v>73</v>
      </c>
      <c r="C985" s="61" t="s">
        <v>32</v>
      </c>
      <c r="D985" s="17"/>
      <c r="E985" s="18"/>
      <c r="F985" s="15" t="s">
        <v>74</v>
      </c>
      <c r="G985" s="20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9"/>
      <c r="T985" s="14">
        <f t="shared" si="46"/>
        <v>0</v>
      </c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</row>
    <row r="986" ht="15.75" customHeight="1">
      <c r="A986" s="17" t="s">
        <v>1212</v>
      </c>
      <c r="B986" s="17" t="s">
        <v>323</v>
      </c>
      <c r="C986" s="30" t="s">
        <v>1213</v>
      </c>
      <c r="D986" s="17"/>
      <c r="E986" s="18"/>
      <c r="F986" s="1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17">
        <v>2.0</v>
      </c>
      <c r="S986" s="17">
        <v>2.0</v>
      </c>
      <c r="T986" s="14">
        <f t="shared" si="46"/>
        <v>4</v>
      </c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r="987" ht="15.75" customHeight="1">
      <c r="A987" s="17" t="s">
        <v>1214</v>
      </c>
      <c r="B987" s="17" t="s">
        <v>51</v>
      </c>
      <c r="C987" s="25"/>
      <c r="D987" s="17"/>
      <c r="E987" s="18"/>
      <c r="F987" s="27"/>
      <c r="G987" s="27"/>
      <c r="H987" s="27"/>
      <c r="I987" s="27"/>
      <c r="J987" s="27"/>
      <c r="K987" s="27"/>
      <c r="L987" s="27"/>
      <c r="M987" s="27"/>
      <c r="N987" s="27"/>
      <c r="O987" s="27">
        <v>1.0</v>
      </c>
      <c r="P987" s="27"/>
      <c r="Q987" s="27"/>
      <c r="R987" s="27"/>
      <c r="S987" s="27"/>
      <c r="T987" s="14">
        <f t="shared" si="46"/>
        <v>1</v>
      </c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r="988" ht="15.75" customHeight="1">
      <c r="A988" s="19" t="s">
        <v>1215</v>
      </c>
      <c r="B988" s="19" t="s">
        <v>85</v>
      </c>
      <c r="C988" s="16"/>
      <c r="D988" s="17"/>
      <c r="E988" s="18"/>
      <c r="F988" s="14"/>
      <c r="G988" s="20"/>
      <c r="H988" s="14"/>
      <c r="I988" s="14"/>
      <c r="J988" s="14"/>
      <c r="K988" s="14"/>
      <c r="L988" s="14">
        <v>1.0</v>
      </c>
      <c r="M988" s="14"/>
      <c r="N988" s="14"/>
      <c r="O988" s="14"/>
      <c r="P988" s="14"/>
      <c r="Q988" s="14"/>
      <c r="R988" s="14"/>
      <c r="S988" s="14"/>
      <c r="T988" s="14">
        <f t="shared" si="46"/>
        <v>1</v>
      </c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</row>
    <row r="989" ht="15.75" customHeight="1">
      <c r="A989" s="27" t="s">
        <v>1216</v>
      </c>
      <c r="B989" s="46" t="s">
        <v>230</v>
      </c>
      <c r="C989" s="25"/>
      <c r="D989" s="17"/>
      <c r="E989" s="18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33"/>
      <c r="R989" s="33"/>
      <c r="S989" s="33"/>
      <c r="T989" s="34">
        <f t="shared" si="46"/>
        <v>0</v>
      </c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r="990" ht="15.75" customHeight="1">
      <c r="A990" s="14" t="s">
        <v>1217</v>
      </c>
      <c r="B990" s="41"/>
      <c r="C990" s="16"/>
      <c r="D990" s="17"/>
      <c r="E990" s="18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41"/>
      <c r="R990" s="41"/>
      <c r="S990" s="41"/>
      <c r="T990" s="41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</row>
    <row r="991" ht="15.75" customHeight="1">
      <c r="A991" s="27" t="s">
        <v>1218</v>
      </c>
      <c r="B991" s="35"/>
      <c r="C991" s="25"/>
      <c r="D991" s="17"/>
      <c r="E991" s="18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41"/>
      <c r="R991" s="41"/>
      <c r="S991" s="41"/>
      <c r="T991" s="35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r="992" ht="15.75" customHeight="1">
      <c r="A992" s="14" t="s">
        <v>1219</v>
      </c>
      <c r="B992" s="14" t="s">
        <v>46</v>
      </c>
      <c r="C992" s="16"/>
      <c r="D992" s="17"/>
      <c r="E992" s="18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>
        <f t="shared" ref="T992:T1012" si="47">SUM(I992:S992)</f>
        <v>0</v>
      </c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</row>
    <row r="993" ht="15.75" customHeight="1">
      <c r="A993" s="27" t="s">
        <v>1220</v>
      </c>
      <c r="B993" s="17" t="s">
        <v>51</v>
      </c>
      <c r="C993" s="25"/>
      <c r="D993" s="17"/>
      <c r="E993" s="18"/>
      <c r="F993" s="27"/>
      <c r="G993" s="26"/>
      <c r="H993" s="27"/>
      <c r="I993" s="27"/>
      <c r="J993" s="27"/>
      <c r="K993" s="27"/>
      <c r="L993" s="27">
        <v>3.0</v>
      </c>
      <c r="M993" s="27">
        <v>3.0</v>
      </c>
      <c r="N993" s="27">
        <v>3.0</v>
      </c>
      <c r="O993" s="27">
        <v>3.0</v>
      </c>
      <c r="P993" s="27"/>
      <c r="Q993" s="27"/>
      <c r="R993" s="27"/>
      <c r="S993" s="27"/>
      <c r="T993" s="14">
        <f t="shared" si="47"/>
        <v>12</v>
      </c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</row>
    <row r="994" ht="15.75" customHeight="1">
      <c r="A994" s="19" t="s">
        <v>1221</v>
      </c>
      <c r="B994" s="19" t="s">
        <v>62</v>
      </c>
      <c r="C994" s="16"/>
      <c r="D994" s="17"/>
      <c r="E994" s="48"/>
      <c r="F994" s="14"/>
      <c r="G994" s="20"/>
      <c r="H994" s="14"/>
      <c r="I994" s="14"/>
      <c r="J994" s="14"/>
      <c r="K994" s="14"/>
      <c r="L994" s="14"/>
      <c r="M994" s="14"/>
      <c r="N994" s="14"/>
      <c r="O994" s="14"/>
      <c r="P994" s="14"/>
      <c r="Q994" s="19">
        <v>1.0</v>
      </c>
      <c r="R994" s="14"/>
      <c r="S994" s="14"/>
      <c r="T994" s="14">
        <f t="shared" si="47"/>
        <v>1</v>
      </c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</row>
    <row r="995" ht="15.75" customHeight="1">
      <c r="A995" s="14" t="s">
        <v>1222</v>
      </c>
      <c r="B995" s="19" t="s">
        <v>62</v>
      </c>
      <c r="C995" s="16"/>
      <c r="D995" s="17"/>
      <c r="E995" s="18"/>
      <c r="F995" s="14"/>
      <c r="G995" s="20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>
        <f t="shared" si="47"/>
        <v>0</v>
      </c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</row>
    <row r="996" ht="15.75" customHeight="1">
      <c r="A996" s="17" t="s">
        <v>1223</v>
      </c>
      <c r="B996" s="17" t="s">
        <v>230</v>
      </c>
      <c r="C996" s="25"/>
      <c r="D996" s="17"/>
      <c r="E996" s="18"/>
      <c r="F996" s="27"/>
      <c r="G996" s="26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14">
        <f t="shared" si="47"/>
        <v>0</v>
      </c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</row>
    <row r="997" ht="15.75" customHeight="1">
      <c r="A997" s="27" t="s">
        <v>1224</v>
      </c>
      <c r="B997" s="27" t="s">
        <v>46</v>
      </c>
      <c r="C997" s="25"/>
      <c r="D997" s="17"/>
      <c r="E997" s="18"/>
      <c r="F997" s="27"/>
      <c r="G997" s="26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14">
        <f t="shared" si="47"/>
        <v>0</v>
      </c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</row>
    <row r="998" ht="15.75" customHeight="1">
      <c r="A998" s="27" t="s">
        <v>1225</v>
      </c>
      <c r="B998" s="17" t="s">
        <v>62</v>
      </c>
      <c r="C998" s="25"/>
      <c r="D998" s="17"/>
      <c r="E998" s="18"/>
      <c r="F998" s="27"/>
      <c r="G998" s="27"/>
      <c r="H998" s="27"/>
      <c r="I998" s="27"/>
      <c r="J998" s="27"/>
      <c r="K998" s="27"/>
      <c r="L998" s="27"/>
      <c r="M998" s="27">
        <v>3.0</v>
      </c>
      <c r="N998" s="27"/>
      <c r="O998" s="27"/>
      <c r="P998" s="27"/>
      <c r="Q998" s="27"/>
      <c r="R998" s="27"/>
      <c r="S998" s="27"/>
      <c r="T998" s="14">
        <f t="shared" si="47"/>
        <v>3</v>
      </c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</row>
    <row r="999" ht="15.75" customHeight="1">
      <c r="A999" s="19" t="s">
        <v>1226</v>
      </c>
      <c r="B999" s="17" t="s">
        <v>136</v>
      </c>
      <c r="C999" s="119"/>
      <c r="D999" s="17"/>
      <c r="E999" s="18"/>
      <c r="F999" s="14"/>
      <c r="G999" s="20"/>
      <c r="H999" s="14"/>
      <c r="I999" s="14"/>
      <c r="J999" s="14"/>
      <c r="K999" s="14"/>
      <c r="L999" s="14"/>
      <c r="M999" s="14"/>
      <c r="N999" s="14"/>
      <c r="O999" s="14"/>
      <c r="P999" s="14">
        <v>3.0</v>
      </c>
      <c r="Q999" s="19">
        <v>1.0</v>
      </c>
      <c r="R999" s="14"/>
      <c r="S999" s="14"/>
      <c r="T999" s="14">
        <f t="shared" si="47"/>
        <v>4</v>
      </c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</row>
    <row r="1000" ht="15.75" customHeight="1">
      <c r="A1000" s="17" t="s">
        <v>1227</v>
      </c>
      <c r="B1000" s="17" t="s">
        <v>136</v>
      </c>
      <c r="C1000" s="25"/>
      <c r="D1000" s="17"/>
      <c r="E1000" s="18"/>
      <c r="F1000" s="27"/>
      <c r="G1000" s="26"/>
      <c r="H1000" s="27"/>
      <c r="I1000" s="27"/>
      <c r="J1000" s="27"/>
      <c r="K1000" s="27"/>
      <c r="L1000" s="27"/>
      <c r="M1000" s="27"/>
      <c r="N1000" s="27"/>
      <c r="O1000" s="27"/>
      <c r="P1000" s="27">
        <v>3.0</v>
      </c>
      <c r="Q1000" s="27"/>
      <c r="R1000" s="27"/>
      <c r="S1000" s="27"/>
      <c r="T1000" s="14">
        <f t="shared" si="47"/>
        <v>3</v>
      </c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</row>
    <row r="1001" ht="15.75" customHeight="1">
      <c r="A1001" s="19" t="s">
        <v>1228</v>
      </c>
      <c r="B1001" s="17" t="s">
        <v>136</v>
      </c>
      <c r="C1001" s="120"/>
      <c r="D1001" s="110"/>
      <c r="E1001" s="18"/>
      <c r="F1001" s="27"/>
      <c r="G1001" s="26"/>
      <c r="H1001" s="27"/>
      <c r="I1001" s="27"/>
      <c r="J1001" s="27"/>
      <c r="K1001" s="27"/>
      <c r="L1001" s="27"/>
      <c r="M1001" s="27"/>
      <c r="N1001" s="27"/>
      <c r="O1001" s="27"/>
      <c r="P1001" s="27"/>
      <c r="Q1001" s="17">
        <v>1.0</v>
      </c>
      <c r="R1001" s="14"/>
      <c r="S1001" s="14"/>
      <c r="T1001" s="14">
        <f t="shared" si="47"/>
        <v>1</v>
      </c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</row>
    <row r="1002" ht="15.75" customHeight="1">
      <c r="A1002" s="19" t="s">
        <v>1229</v>
      </c>
      <c r="B1002" s="17" t="s">
        <v>136</v>
      </c>
      <c r="C1002" s="120"/>
      <c r="D1002" s="110"/>
      <c r="E1002" s="18"/>
      <c r="F1002" s="27"/>
      <c r="G1002" s="26"/>
      <c r="H1002" s="27"/>
      <c r="I1002" s="27"/>
      <c r="J1002" s="27"/>
      <c r="K1002" s="27"/>
      <c r="L1002" s="27"/>
      <c r="M1002" s="27"/>
      <c r="N1002" s="27"/>
      <c r="O1002" s="27"/>
      <c r="P1002" s="27"/>
      <c r="Q1002" s="17">
        <v>1.0</v>
      </c>
      <c r="R1002" s="14"/>
      <c r="S1002" s="14"/>
      <c r="T1002" s="14">
        <f t="shared" si="47"/>
        <v>1</v>
      </c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</row>
    <row r="1003" ht="15.75" customHeight="1">
      <c r="A1003" s="19" t="s">
        <v>1230</v>
      </c>
      <c r="B1003" s="17" t="s">
        <v>25</v>
      </c>
      <c r="C1003" s="121" t="s">
        <v>576</v>
      </c>
      <c r="D1003" s="110"/>
      <c r="E1003" s="18"/>
      <c r="F1003" s="17"/>
      <c r="G1003" s="26"/>
      <c r="H1003" s="27"/>
      <c r="I1003" s="27"/>
      <c r="J1003" s="27"/>
      <c r="K1003" s="27"/>
      <c r="L1003" s="27"/>
      <c r="M1003" s="27"/>
      <c r="N1003" s="27"/>
      <c r="O1003" s="27"/>
      <c r="P1003" s="27"/>
      <c r="Q1003" s="17"/>
      <c r="R1003" s="19">
        <v>1.0</v>
      </c>
      <c r="S1003" s="19">
        <v>1.0</v>
      </c>
      <c r="T1003" s="14">
        <f t="shared" si="47"/>
        <v>2</v>
      </c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</row>
    <row r="1004" ht="15.75" customHeight="1">
      <c r="A1004" s="14" t="s">
        <v>1231</v>
      </c>
      <c r="B1004" s="19" t="s">
        <v>678</v>
      </c>
      <c r="C1004" s="16"/>
      <c r="D1004" s="17"/>
      <c r="E1004" s="18"/>
      <c r="F1004" s="14"/>
      <c r="G1004" s="20"/>
      <c r="H1004" s="14"/>
      <c r="I1004" s="14"/>
      <c r="J1004" s="14"/>
      <c r="K1004" s="14"/>
      <c r="L1004" s="14"/>
      <c r="M1004" s="14"/>
      <c r="N1004" s="14"/>
      <c r="O1004" s="14"/>
      <c r="P1004" s="14">
        <v>1.0</v>
      </c>
      <c r="Q1004" s="14"/>
      <c r="R1004" s="19">
        <v>2.0</v>
      </c>
      <c r="S1004" s="19">
        <v>1.0</v>
      </c>
      <c r="T1004" s="14">
        <f t="shared" si="47"/>
        <v>4</v>
      </c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</row>
    <row r="1005" ht="15.75" customHeight="1">
      <c r="A1005" s="27" t="s">
        <v>1232</v>
      </c>
      <c r="B1005" s="17" t="s">
        <v>62</v>
      </c>
      <c r="C1005" s="25"/>
      <c r="D1005" s="17"/>
      <c r="E1005" s="18"/>
      <c r="F1005" s="27"/>
      <c r="G1005" s="26"/>
      <c r="H1005" s="27"/>
      <c r="I1005" s="27"/>
      <c r="J1005" s="27"/>
      <c r="K1005" s="27"/>
      <c r="L1005" s="27"/>
      <c r="M1005" s="27"/>
      <c r="N1005" s="27"/>
      <c r="O1005" s="27"/>
      <c r="P1005" s="27">
        <v>1.0</v>
      </c>
      <c r="Q1005" s="27"/>
      <c r="R1005" s="27"/>
      <c r="S1005" s="27"/>
      <c r="T1005" s="14">
        <f t="shared" si="47"/>
        <v>1</v>
      </c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</row>
    <row r="1006" ht="15.75" customHeight="1">
      <c r="A1006" s="19" t="s">
        <v>1233</v>
      </c>
      <c r="B1006" s="19" t="s">
        <v>27</v>
      </c>
      <c r="C1006" s="16"/>
      <c r="D1006" s="17"/>
      <c r="E1006" s="18"/>
      <c r="F1006" s="14"/>
      <c r="G1006" s="20"/>
      <c r="H1006" s="14"/>
      <c r="I1006" s="14"/>
      <c r="J1006" s="14"/>
      <c r="K1006" s="14"/>
      <c r="L1006" s="14"/>
      <c r="M1006" s="14"/>
      <c r="N1006" s="14"/>
      <c r="O1006" s="14"/>
      <c r="P1006" s="14"/>
      <c r="Q1006" s="19">
        <v>1.0</v>
      </c>
      <c r="R1006" s="14"/>
      <c r="S1006" s="14"/>
      <c r="T1006" s="14">
        <f t="shared" si="47"/>
        <v>1</v>
      </c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</row>
    <row r="1007" ht="15.75" customHeight="1">
      <c r="A1007" s="14" t="s">
        <v>1234</v>
      </c>
      <c r="B1007" s="19" t="s">
        <v>129</v>
      </c>
      <c r="C1007" s="16"/>
      <c r="D1007" s="17"/>
      <c r="E1007" s="18"/>
      <c r="F1007" s="14"/>
      <c r="G1007" s="20"/>
      <c r="H1007" s="14"/>
      <c r="I1007" s="14"/>
      <c r="J1007" s="14"/>
      <c r="K1007" s="14"/>
      <c r="L1007" s="14"/>
      <c r="M1007" s="14"/>
      <c r="N1007" s="14"/>
      <c r="O1007" s="14"/>
      <c r="P1007" s="14">
        <v>1.0</v>
      </c>
      <c r="Q1007" s="19">
        <v>1.0</v>
      </c>
      <c r="R1007" s="14"/>
      <c r="S1007" s="14"/>
      <c r="T1007" s="14">
        <f t="shared" si="47"/>
        <v>2</v>
      </c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</row>
    <row r="1008" ht="15.75" customHeight="1">
      <c r="A1008" s="19" t="s">
        <v>1235</v>
      </c>
      <c r="B1008" s="85" t="s">
        <v>311</v>
      </c>
      <c r="C1008" s="122" t="s">
        <v>343</v>
      </c>
      <c r="D1008" s="17" t="s">
        <v>438</v>
      </c>
      <c r="E1008" s="18">
        <v>45953.0</v>
      </c>
      <c r="F1008" s="19"/>
      <c r="G1008" s="42" t="s">
        <v>40</v>
      </c>
      <c r="H1008" s="90">
        <v>45907.0</v>
      </c>
      <c r="I1008" s="14"/>
      <c r="J1008" s="14"/>
      <c r="K1008" s="14"/>
      <c r="L1008" s="14"/>
      <c r="M1008" s="14"/>
      <c r="N1008" s="14"/>
      <c r="O1008" s="14"/>
      <c r="P1008" s="14"/>
      <c r="Q1008" s="19"/>
      <c r="R1008" s="14"/>
      <c r="S1008" s="19">
        <v>6.0</v>
      </c>
      <c r="T1008" s="14">
        <f t="shared" si="47"/>
        <v>6</v>
      </c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</row>
    <row r="1009" ht="15.75" customHeight="1">
      <c r="A1009" s="27" t="s">
        <v>1236</v>
      </c>
      <c r="B1009" s="100" t="s">
        <v>214</v>
      </c>
      <c r="C1009" s="120"/>
      <c r="D1009" s="17"/>
      <c r="E1009" s="18"/>
      <c r="F1009" s="27"/>
      <c r="G1009" s="26"/>
      <c r="H1009" s="27"/>
      <c r="I1009" s="27"/>
      <c r="J1009" s="27"/>
      <c r="K1009" s="27"/>
      <c r="L1009" s="27"/>
      <c r="M1009" s="27"/>
      <c r="N1009" s="27">
        <v>2.0</v>
      </c>
      <c r="O1009" s="27"/>
      <c r="P1009" s="27"/>
      <c r="Q1009" s="27"/>
      <c r="R1009" s="17">
        <v>1.0</v>
      </c>
      <c r="S1009" s="17"/>
      <c r="T1009" s="14">
        <f t="shared" si="47"/>
        <v>3</v>
      </c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</row>
    <row r="1010" ht="15.75" customHeight="1">
      <c r="A1010" s="14" t="s">
        <v>1237</v>
      </c>
      <c r="B1010" s="19" t="s">
        <v>403</v>
      </c>
      <c r="C1010" s="16"/>
      <c r="D1010" s="17"/>
      <c r="E1010" s="18"/>
      <c r="F1010" s="14"/>
      <c r="G1010" s="14"/>
      <c r="H1010" s="14"/>
      <c r="I1010" s="14"/>
      <c r="J1010" s="14"/>
      <c r="K1010" s="14"/>
      <c r="L1010" s="14"/>
      <c r="M1010" s="14"/>
      <c r="N1010" s="14">
        <v>5.0</v>
      </c>
      <c r="O1010" s="14"/>
      <c r="P1010" s="14"/>
      <c r="Q1010" s="14"/>
      <c r="R1010" s="14"/>
      <c r="S1010" s="14"/>
      <c r="T1010" s="14">
        <f t="shared" si="47"/>
        <v>5</v>
      </c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</row>
    <row r="1011" ht="15.75" customHeight="1">
      <c r="A1011" s="19" t="s">
        <v>1238</v>
      </c>
      <c r="B1011" s="19" t="s">
        <v>189</v>
      </c>
      <c r="C1011" s="24" t="s">
        <v>1239</v>
      </c>
      <c r="D1011" s="17"/>
      <c r="E1011" s="18"/>
      <c r="F1011" s="19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34"/>
      <c r="R1011" s="34"/>
      <c r="S1011" s="34"/>
      <c r="T1011" s="14">
        <f t="shared" si="47"/>
        <v>0</v>
      </c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</row>
    <row r="1012" ht="15.75" customHeight="1">
      <c r="A1012" s="27" t="s">
        <v>1240</v>
      </c>
      <c r="B1012" s="46" t="s">
        <v>194</v>
      </c>
      <c r="C1012" s="25"/>
      <c r="D1012" s="17"/>
      <c r="E1012" s="18"/>
      <c r="F1012" s="27"/>
      <c r="G1012" s="23" t="s">
        <v>1241</v>
      </c>
      <c r="H1012" s="27" t="s">
        <v>1242</v>
      </c>
      <c r="I1012" s="27"/>
      <c r="J1012" s="33">
        <v>1.0</v>
      </c>
      <c r="K1012" s="33">
        <v>1.0</v>
      </c>
      <c r="L1012" s="33"/>
      <c r="M1012" s="33"/>
      <c r="N1012" s="33"/>
      <c r="O1012" s="33"/>
      <c r="P1012" s="33"/>
      <c r="Q1012" s="33"/>
      <c r="R1012" s="33"/>
      <c r="S1012" s="46">
        <v>1.0</v>
      </c>
      <c r="T1012" s="34">
        <f t="shared" si="47"/>
        <v>3</v>
      </c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</row>
    <row r="1013" ht="15.75" customHeight="1">
      <c r="A1013" s="14" t="s">
        <v>1243</v>
      </c>
      <c r="B1013" s="35"/>
      <c r="C1013" s="16"/>
      <c r="D1013" s="17"/>
      <c r="E1013" s="18"/>
      <c r="F1013" s="14"/>
      <c r="G1013" s="23" t="s">
        <v>1241</v>
      </c>
      <c r="H1013" s="14" t="s">
        <v>1242</v>
      </c>
      <c r="I1013" s="14"/>
      <c r="J1013" s="35"/>
      <c r="K1013" s="35"/>
      <c r="L1013" s="35"/>
      <c r="M1013" s="35"/>
      <c r="N1013" s="35"/>
      <c r="O1013" s="35"/>
      <c r="P1013" s="35"/>
      <c r="Q1013" s="41"/>
      <c r="R1013" s="41"/>
      <c r="S1013" s="41"/>
      <c r="T1013" s="35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</row>
    <row r="1014" ht="15.75" customHeight="1">
      <c r="A1014" s="17" t="s">
        <v>1244</v>
      </c>
      <c r="B1014" s="27" t="s">
        <v>62</v>
      </c>
      <c r="C1014" s="25"/>
      <c r="D1014" s="17"/>
      <c r="E1014" s="18"/>
      <c r="F1014" s="27"/>
      <c r="G1014" s="27"/>
      <c r="H1014" s="27"/>
      <c r="I1014" s="27"/>
      <c r="J1014" s="27"/>
      <c r="K1014" s="27"/>
      <c r="L1014" s="27"/>
      <c r="M1014" s="27">
        <v>2.0</v>
      </c>
      <c r="N1014" s="27"/>
      <c r="O1014" s="27"/>
      <c r="P1014" s="27"/>
      <c r="Q1014" s="27"/>
      <c r="R1014" s="27"/>
      <c r="S1014" s="27"/>
      <c r="T1014" s="14">
        <f t="shared" ref="T1014:T1046" si="48">SUM(I1014:S1014)</f>
        <v>2</v>
      </c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</row>
    <row r="1015" ht="15.75" customHeight="1">
      <c r="A1015" s="22" t="s">
        <v>1245</v>
      </c>
      <c r="B1015" s="19" t="s">
        <v>62</v>
      </c>
      <c r="C1015" s="16"/>
      <c r="D1015" s="17"/>
      <c r="E1015" s="18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>
        <f t="shared" si="48"/>
        <v>0</v>
      </c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</row>
    <row r="1016" ht="15.75" customHeight="1">
      <c r="A1016" s="27" t="s">
        <v>1246</v>
      </c>
      <c r="B1016" s="27" t="s">
        <v>256</v>
      </c>
      <c r="C1016" s="25"/>
      <c r="D1016" s="17"/>
      <c r="E1016" s="18"/>
      <c r="F1016" s="27"/>
      <c r="G1016" s="27"/>
      <c r="H1016" s="27"/>
      <c r="I1016" s="27"/>
      <c r="J1016" s="27"/>
      <c r="K1016" s="27"/>
      <c r="L1016" s="27">
        <v>1.0</v>
      </c>
      <c r="M1016" s="27"/>
      <c r="N1016" s="27"/>
      <c r="O1016" s="27"/>
      <c r="P1016" s="27"/>
      <c r="Q1016" s="27"/>
      <c r="R1016" s="27"/>
      <c r="S1016" s="27"/>
      <c r="T1016" s="14">
        <f t="shared" si="48"/>
        <v>1</v>
      </c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</row>
    <row r="1017" ht="15.75" customHeight="1">
      <c r="A1017" s="14" t="s">
        <v>1247</v>
      </c>
      <c r="B1017" s="14" t="s">
        <v>46</v>
      </c>
      <c r="C1017" s="16"/>
      <c r="D1017" s="17"/>
      <c r="E1017" s="18"/>
      <c r="F1017" s="14"/>
      <c r="G1017" s="23" t="s">
        <v>1248</v>
      </c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>
        <f t="shared" si="48"/>
        <v>0</v>
      </c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</row>
    <row r="1018" ht="15.75" customHeight="1">
      <c r="A1018" s="27" t="s">
        <v>1249</v>
      </c>
      <c r="B1018" s="17" t="s">
        <v>562</v>
      </c>
      <c r="C1018" s="25"/>
      <c r="D1018" s="17"/>
      <c r="E1018" s="18"/>
      <c r="F1018" s="27"/>
      <c r="G1018" s="27"/>
      <c r="H1018" s="27"/>
      <c r="I1018" s="27"/>
      <c r="J1018" s="27"/>
      <c r="K1018" s="27"/>
      <c r="L1018" s="27"/>
      <c r="M1018" s="27">
        <v>1.0</v>
      </c>
      <c r="N1018" s="27">
        <v>2.0</v>
      </c>
      <c r="O1018" s="27"/>
      <c r="P1018" s="27"/>
      <c r="Q1018" s="27"/>
      <c r="R1018" s="27"/>
      <c r="S1018" s="27"/>
      <c r="T1018" s="14">
        <f t="shared" si="48"/>
        <v>3</v>
      </c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</row>
    <row r="1019" ht="15.75" customHeight="1">
      <c r="A1019" s="19" t="s">
        <v>1250</v>
      </c>
      <c r="B1019" s="19" t="s">
        <v>73</v>
      </c>
      <c r="C1019" s="24" t="s">
        <v>663</v>
      </c>
      <c r="D1019" s="17" t="s">
        <v>1251</v>
      </c>
      <c r="E1019" s="18">
        <v>45946.0</v>
      </c>
      <c r="F1019" s="19" t="s">
        <v>74</v>
      </c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9"/>
      <c r="R1019" s="19"/>
      <c r="S1019" s="19">
        <v>3.0</v>
      </c>
      <c r="T1019" s="14">
        <f t="shared" si="48"/>
        <v>3</v>
      </c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</row>
    <row r="1020" ht="15.75" customHeight="1">
      <c r="A1020" s="14" t="s">
        <v>1252</v>
      </c>
      <c r="B1020" s="19" t="s">
        <v>34</v>
      </c>
      <c r="C1020" s="16"/>
      <c r="D1020" s="17"/>
      <c r="E1020" s="18"/>
      <c r="F1020" s="14"/>
      <c r="G1020" s="14"/>
      <c r="H1020" s="14"/>
      <c r="I1020" s="14"/>
      <c r="J1020" s="14"/>
      <c r="K1020" s="14"/>
      <c r="L1020" s="14"/>
      <c r="M1020" s="14"/>
      <c r="N1020" s="14">
        <v>2.0</v>
      </c>
      <c r="O1020" s="14">
        <v>1.0</v>
      </c>
      <c r="P1020" s="14"/>
      <c r="Q1020" s="19">
        <v>1.0</v>
      </c>
      <c r="R1020" s="19">
        <v>1.0</v>
      </c>
      <c r="S1020" s="19"/>
      <c r="T1020" s="14">
        <f t="shared" si="48"/>
        <v>5</v>
      </c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2"/>
    </row>
    <row r="1021" ht="15.75" customHeight="1">
      <c r="A1021" s="14" t="s">
        <v>1253</v>
      </c>
      <c r="B1021" s="19" t="s">
        <v>73</v>
      </c>
      <c r="C1021" s="24" t="s">
        <v>110</v>
      </c>
      <c r="D1021" s="17"/>
      <c r="E1021" s="18"/>
      <c r="F1021" s="19" t="s">
        <v>74</v>
      </c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9"/>
      <c r="R1021" s="19"/>
      <c r="S1021" s="19"/>
      <c r="T1021" s="14">
        <f t="shared" si="48"/>
        <v>0</v>
      </c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2"/>
    </row>
    <row r="1022" ht="15.75" customHeight="1">
      <c r="A1022" s="28" t="s">
        <v>1254</v>
      </c>
      <c r="B1022" s="17" t="s">
        <v>454</v>
      </c>
      <c r="C1022" s="25"/>
      <c r="D1022" s="17"/>
      <c r="E1022" s="18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>
        <v>1.0</v>
      </c>
      <c r="Q1022" s="27"/>
      <c r="R1022" s="17">
        <v>1.0</v>
      </c>
      <c r="S1022" s="17">
        <v>3.0</v>
      </c>
      <c r="T1022" s="14">
        <f t="shared" si="48"/>
        <v>5</v>
      </c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8"/>
      <c r="AI1022" s="28"/>
    </row>
    <row r="1023" ht="15.75" customHeight="1">
      <c r="A1023" s="14" t="s">
        <v>1255</v>
      </c>
      <c r="B1023" s="19" t="s">
        <v>25</v>
      </c>
      <c r="C1023" s="16"/>
      <c r="D1023" s="17"/>
      <c r="E1023" s="18"/>
      <c r="F1023" s="14"/>
      <c r="G1023" s="14"/>
      <c r="H1023" s="14"/>
      <c r="I1023" s="14"/>
      <c r="J1023" s="14"/>
      <c r="K1023" s="14"/>
      <c r="L1023" s="14"/>
      <c r="M1023" s="14">
        <v>6.0</v>
      </c>
      <c r="N1023" s="14">
        <v>2.0</v>
      </c>
      <c r="O1023" s="14"/>
      <c r="P1023" s="14"/>
      <c r="Q1023" s="19">
        <v>1.0</v>
      </c>
      <c r="R1023" s="14"/>
      <c r="S1023" s="14"/>
      <c r="T1023" s="14">
        <f t="shared" si="48"/>
        <v>9</v>
      </c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2"/>
    </row>
    <row r="1024" ht="15.75" customHeight="1">
      <c r="A1024" s="17" t="s">
        <v>1256</v>
      </c>
      <c r="B1024" s="17" t="s">
        <v>585</v>
      </c>
      <c r="C1024" s="25"/>
      <c r="D1024" s="17"/>
      <c r="E1024" s="18"/>
      <c r="F1024" s="27"/>
      <c r="G1024" s="27"/>
      <c r="H1024" s="27"/>
      <c r="I1024" s="27">
        <v>2.0</v>
      </c>
      <c r="J1024" s="27">
        <v>6.0</v>
      </c>
      <c r="K1024" s="27">
        <v>4.0</v>
      </c>
      <c r="L1024" s="27">
        <v>6.0</v>
      </c>
      <c r="M1024" s="27">
        <v>4.0</v>
      </c>
      <c r="N1024" s="27">
        <v>6.0</v>
      </c>
      <c r="O1024" s="27">
        <v>1.0</v>
      </c>
      <c r="P1024" s="27">
        <v>2.0</v>
      </c>
      <c r="Q1024" s="17">
        <v>1.0</v>
      </c>
      <c r="R1024" s="17">
        <v>2.0</v>
      </c>
      <c r="S1024" s="17"/>
      <c r="T1024" s="14">
        <f t="shared" si="48"/>
        <v>34</v>
      </c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</row>
    <row r="1025" ht="15.75" customHeight="1">
      <c r="A1025" s="14" t="s">
        <v>1257</v>
      </c>
      <c r="B1025" s="19" t="s">
        <v>585</v>
      </c>
      <c r="C1025" s="16"/>
      <c r="D1025" s="17"/>
      <c r="E1025" s="18"/>
      <c r="F1025" s="14"/>
      <c r="G1025" s="20"/>
      <c r="H1025" s="14"/>
      <c r="I1025" s="14"/>
      <c r="J1025" s="14"/>
      <c r="K1025" s="14">
        <v>1.0</v>
      </c>
      <c r="L1025" s="14">
        <v>1.0</v>
      </c>
      <c r="M1025" s="14"/>
      <c r="N1025" s="14"/>
      <c r="O1025" s="14"/>
      <c r="P1025" s="14"/>
      <c r="Q1025" s="14"/>
      <c r="R1025" s="14"/>
      <c r="S1025" s="14"/>
      <c r="T1025" s="14">
        <f t="shared" si="48"/>
        <v>2</v>
      </c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  <c r="AH1025" s="22"/>
      <c r="AI1025" s="22"/>
    </row>
    <row r="1026" ht="15.75" customHeight="1">
      <c r="A1026" s="19" t="s">
        <v>1258</v>
      </c>
      <c r="B1026" s="19" t="s">
        <v>778</v>
      </c>
      <c r="C1026" s="16"/>
      <c r="D1026" s="17"/>
      <c r="E1026" s="18"/>
      <c r="F1026" s="67"/>
      <c r="G1026" s="20"/>
      <c r="H1026" s="14"/>
      <c r="I1026" s="14"/>
      <c r="J1026" s="14"/>
      <c r="K1026" s="14"/>
      <c r="L1026" s="14"/>
      <c r="M1026" s="14"/>
      <c r="N1026" s="14"/>
      <c r="O1026" s="14"/>
      <c r="P1026" s="14"/>
      <c r="Q1026" s="19">
        <v>5.0</v>
      </c>
      <c r="R1026" s="19">
        <v>6.0</v>
      </c>
      <c r="S1026" s="19">
        <v>1.0</v>
      </c>
      <c r="T1026" s="14">
        <f t="shared" si="48"/>
        <v>12</v>
      </c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2"/>
    </row>
    <row r="1027" ht="15.75" customHeight="1">
      <c r="A1027" s="19" t="s">
        <v>1259</v>
      </c>
      <c r="B1027" s="19" t="s">
        <v>73</v>
      </c>
      <c r="C1027" s="24" t="s">
        <v>1260</v>
      </c>
      <c r="D1027" s="17"/>
      <c r="E1027" s="18"/>
      <c r="F1027" s="19" t="s">
        <v>74</v>
      </c>
      <c r="G1027" s="20"/>
      <c r="H1027" s="14"/>
      <c r="I1027" s="14"/>
      <c r="J1027" s="14"/>
      <c r="K1027" s="14"/>
      <c r="L1027" s="14"/>
      <c r="M1027" s="14"/>
      <c r="N1027" s="14"/>
      <c r="O1027" s="14"/>
      <c r="P1027" s="14"/>
      <c r="Q1027" s="19"/>
      <c r="R1027" s="19"/>
      <c r="S1027" s="19"/>
      <c r="T1027" s="14">
        <f t="shared" si="48"/>
        <v>0</v>
      </c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2"/>
    </row>
    <row r="1028" ht="15.75" customHeight="1">
      <c r="A1028" s="14" t="s">
        <v>1261</v>
      </c>
      <c r="B1028" s="19" t="s">
        <v>716</v>
      </c>
      <c r="C1028" s="16"/>
      <c r="D1028" s="17"/>
      <c r="E1028" s="18"/>
      <c r="F1028" s="67"/>
      <c r="G1028" s="20"/>
      <c r="H1028" s="14"/>
      <c r="I1028" s="14">
        <v>1.0</v>
      </c>
      <c r="J1028" s="14">
        <v>1.0</v>
      </c>
      <c r="K1028" s="14">
        <v>1.0</v>
      </c>
      <c r="L1028" s="14"/>
      <c r="M1028" s="14">
        <v>2.0</v>
      </c>
      <c r="N1028" s="14">
        <v>1.0</v>
      </c>
      <c r="O1028" s="14"/>
      <c r="P1028" s="14"/>
      <c r="Q1028" s="14"/>
      <c r="R1028" s="14"/>
      <c r="S1028" s="14"/>
      <c r="T1028" s="14">
        <f t="shared" si="48"/>
        <v>6</v>
      </c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2"/>
    </row>
    <row r="1029" ht="15.75" customHeight="1">
      <c r="A1029" s="27" t="s">
        <v>1262</v>
      </c>
      <c r="B1029" s="17" t="s">
        <v>152</v>
      </c>
      <c r="C1029" s="25"/>
      <c r="D1029" s="17"/>
      <c r="E1029" s="18"/>
      <c r="F1029" s="27"/>
      <c r="G1029" s="27"/>
      <c r="H1029" s="27"/>
      <c r="I1029" s="27"/>
      <c r="J1029" s="27"/>
      <c r="K1029" s="27"/>
      <c r="L1029" s="27"/>
      <c r="M1029" s="27">
        <v>1.0</v>
      </c>
      <c r="N1029" s="27">
        <v>1.0</v>
      </c>
      <c r="O1029" s="27">
        <v>2.0</v>
      </c>
      <c r="P1029" s="27">
        <v>1.0</v>
      </c>
      <c r="Q1029" s="27"/>
      <c r="R1029" s="27"/>
      <c r="S1029" s="17">
        <v>1.0</v>
      </c>
      <c r="T1029" s="14">
        <f t="shared" si="48"/>
        <v>6</v>
      </c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28"/>
      <c r="AF1029" s="28"/>
      <c r="AG1029" s="28"/>
      <c r="AH1029" s="28"/>
      <c r="AI1029" s="28"/>
    </row>
    <row r="1030" ht="15.75" customHeight="1">
      <c r="A1030" s="17" t="s">
        <v>1263</v>
      </c>
      <c r="B1030" s="17" t="s">
        <v>21</v>
      </c>
      <c r="C1030" s="30" t="s">
        <v>1096</v>
      </c>
      <c r="D1030" s="17"/>
      <c r="E1030" s="18"/>
      <c r="F1030" s="17"/>
      <c r="G1030" s="26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17">
        <v>1.0</v>
      </c>
      <c r="S1030" s="17">
        <v>1.0</v>
      </c>
      <c r="T1030" s="14">
        <f t="shared" si="48"/>
        <v>2</v>
      </c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28"/>
      <c r="AH1030" s="28"/>
      <c r="AI1030" s="28"/>
    </row>
    <row r="1031" ht="15.75" customHeight="1">
      <c r="A1031" s="17" t="s">
        <v>1264</v>
      </c>
      <c r="B1031" s="17" t="s">
        <v>230</v>
      </c>
      <c r="C1031" s="25"/>
      <c r="D1031" s="17"/>
      <c r="E1031" s="18"/>
      <c r="F1031" s="27"/>
      <c r="G1031" s="26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17">
        <v>1.0</v>
      </c>
      <c r="S1031" s="17"/>
      <c r="T1031" s="14">
        <f t="shared" si="48"/>
        <v>1</v>
      </c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28"/>
      <c r="AF1031" s="28"/>
      <c r="AG1031" s="28"/>
      <c r="AH1031" s="28"/>
      <c r="AI1031" s="28"/>
    </row>
    <row r="1032" ht="15.75" customHeight="1">
      <c r="A1032" s="19" t="s">
        <v>1265</v>
      </c>
      <c r="B1032" s="14" t="s">
        <v>46</v>
      </c>
      <c r="C1032" s="16"/>
      <c r="D1032" s="17"/>
      <c r="E1032" s="18"/>
      <c r="F1032" s="14"/>
      <c r="G1032" s="14" t="s">
        <v>40</v>
      </c>
      <c r="H1032" s="14" t="s">
        <v>116</v>
      </c>
      <c r="I1032" s="14"/>
      <c r="J1032" s="14">
        <v>2.0</v>
      </c>
      <c r="K1032" s="14"/>
      <c r="L1032" s="14"/>
      <c r="M1032" s="14"/>
      <c r="N1032" s="14"/>
      <c r="O1032" s="14">
        <v>1.0</v>
      </c>
      <c r="P1032" s="14"/>
      <c r="Q1032" s="14"/>
      <c r="R1032" s="14"/>
      <c r="S1032" s="14"/>
      <c r="T1032" s="14">
        <f t="shared" si="48"/>
        <v>3</v>
      </c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</row>
    <row r="1033" ht="15.75" customHeight="1">
      <c r="A1033" s="19" t="s">
        <v>1266</v>
      </c>
      <c r="B1033" s="19" t="s">
        <v>73</v>
      </c>
      <c r="C1033" s="24" t="s">
        <v>32</v>
      </c>
      <c r="D1033" s="17" t="s">
        <v>438</v>
      </c>
      <c r="E1033" s="54">
        <v>45953.0</v>
      </c>
      <c r="F1033" s="19" t="s">
        <v>74</v>
      </c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9">
        <v>1.0</v>
      </c>
      <c r="T1033" s="14">
        <f t="shared" si="48"/>
        <v>1</v>
      </c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2"/>
    </row>
    <row r="1034" ht="15.75" customHeight="1">
      <c r="A1034" s="19" t="s">
        <v>1267</v>
      </c>
      <c r="B1034" s="19" t="s">
        <v>73</v>
      </c>
      <c r="C1034" s="24" t="s">
        <v>32</v>
      </c>
      <c r="D1034" s="17"/>
      <c r="E1034" s="54"/>
      <c r="F1034" s="19" t="s">
        <v>74</v>
      </c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>
        <f t="shared" si="48"/>
        <v>0</v>
      </c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2"/>
    </row>
    <row r="1035" ht="15.75" customHeight="1">
      <c r="A1035" s="19" t="s">
        <v>1268</v>
      </c>
      <c r="B1035" s="19" t="s">
        <v>157</v>
      </c>
      <c r="C1035" s="24" t="s">
        <v>1213</v>
      </c>
      <c r="D1035" s="17"/>
      <c r="E1035" s="54"/>
      <c r="F1035" s="19"/>
      <c r="G1035" s="19" t="s">
        <v>40</v>
      </c>
      <c r="H1035" s="90">
        <v>45889.0</v>
      </c>
      <c r="I1035" s="14"/>
      <c r="J1035" s="14"/>
      <c r="K1035" s="14"/>
      <c r="L1035" s="14"/>
      <c r="M1035" s="14"/>
      <c r="N1035" s="14"/>
      <c r="O1035" s="14"/>
      <c r="P1035" s="14"/>
      <c r="Q1035" s="14"/>
      <c r="R1035" s="19">
        <v>2.0</v>
      </c>
      <c r="S1035" s="19">
        <v>1.0</v>
      </c>
      <c r="T1035" s="14">
        <f t="shared" si="48"/>
        <v>3</v>
      </c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</row>
    <row r="1036" ht="15.75" customHeight="1">
      <c r="A1036" s="17" t="s">
        <v>1269</v>
      </c>
      <c r="B1036" s="17" t="s">
        <v>21</v>
      </c>
      <c r="C1036" s="25"/>
      <c r="D1036" s="17"/>
      <c r="E1036" s="48"/>
      <c r="F1036" s="27"/>
      <c r="G1036" s="26"/>
      <c r="H1036" s="27"/>
      <c r="I1036" s="27"/>
      <c r="J1036" s="27"/>
      <c r="K1036" s="27"/>
      <c r="L1036" s="27"/>
      <c r="M1036" s="27"/>
      <c r="N1036" s="27"/>
      <c r="O1036" s="27">
        <v>5.0</v>
      </c>
      <c r="P1036" s="27">
        <v>2.0</v>
      </c>
      <c r="Q1036" s="17">
        <v>1.0</v>
      </c>
      <c r="R1036" s="17">
        <v>2.0</v>
      </c>
      <c r="S1036" s="17">
        <v>2.0</v>
      </c>
      <c r="T1036" s="14">
        <f t="shared" si="48"/>
        <v>12</v>
      </c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8"/>
      <c r="AI1036" s="28"/>
    </row>
    <row r="1037" ht="15.75" customHeight="1">
      <c r="A1037" s="19" t="s">
        <v>1270</v>
      </c>
      <c r="B1037" s="14" t="s">
        <v>1271</v>
      </c>
      <c r="C1037" s="16"/>
      <c r="D1037" s="17"/>
      <c r="E1037" s="18"/>
      <c r="F1037" s="14"/>
      <c r="G1037" s="20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>
        <f t="shared" si="48"/>
        <v>0</v>
      </c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  <c r="AG1037" s="22"/>
      <c r="AH1037" s="22"/>
      <c r="AI1037" s="22"/>
    </row>
    <row r="1038" ht="15.75" customHeight="1">
      <c r="A1038" s="27" t="s">
        <v>1272</v>
      </c>
      <c r="B1038" s="27" t="s">
        <v>83</v>
      </c>
      <c r="C1038" s="25"/>
      <c r="D1038" s="17"/>
      <c r="E1038" s="18"/>
      <c r="F1038" s="51"/>
      <c r="G1038" s="26"/>
      <c r="H1038" s="27" t="s">
        <v>1273</v>
      </c>
      <c r="I1038" s="27"/>
      <c r="J1038" s="27">
        <v>2.0</v>
      </c>
      <c r="K1038" s="27">
        <v>4.0</v>
      </c>
      <c r="L1038" s="27">
        <v>1.0</v>
      </c>
      <c r="M1038" s="27"/>
      <c r="N1038" s="27"/>
      <c r="O1038" s="27">
        <v>1.0</v>
      </c>
      <c r="P1038" s="27"/>
      <c r="Q1038" s="27"/>
      <c r="R1038" s="27"/>
      <c r="S1038" s="27"/>
      <c r="T1038" s="14">
        <f t="shared" si="48"/>
        <v>8</v>
      </c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8"/>
      <c r="AI1038" s="28"/>
    </row>
    <row r="1039" ht="15.75" customHeight="1">
      <c r="A1039" s="19" t="s">
        <v>1274</v>
      </c>
      <c r="B1039" s="19" t="s">
        <v>25</v>
      </c>
      <c r="C1039" s="24" t="s">
        <v>1096</v>
      </c>
      <c r="D1039" s="17"/>
      <c r="E1039" s="18"/>
      <c r="F1039" s="19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>
        <f t="shared" si="48"/>
        <v>0</v>
      </c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F1039" s="22"/>
      <c r="AG1039" s="22"/>
      <c r="AH1039" s="22"/>
      <c r="AI1039" s="22"/>
    </row>
    <row r="1040" ht="15.75" customHeight="1">
      <c r="A1040" s="14" t="s">
        <v>1275</v>
      </c>
      <c r="B1040" s="19" t="s">
        <v>279</v>
      </c>
      <c r="C1040" s="16"/>
      <c r="D1040" s="17"/>
      <c r="E1040" s="18"/>
      <c r="F1040" s="14"/>
      <c r="G1040" s="14" t="s">
        <v>40</v>
      </c>
      <c r="H1040" s="14" t="s">
        <v>1276</v>
      </c>
      <c r="I1040" s="14"/>
      <c r="J1040" s="14"/>
      <c r="K1040" s="14">
        <v>1.0</v>
      </c>
      <c r="L1040" s="14"/>
      <c r="M1040" s="14"/>
      <c r="N1040" s="14">
        <v>1.0</v>
      </c>
      <c r="O1040" s="14">
        <v>1.0</v>
      </c>
      <c r="P1040" s="14">
        <v>2.0</v>
      </c>
      <c r="Q1040" s="14"/>
      <c r="R1040" s="14"/>
      <c r="S1040" s="14"/>
      <c r="T1040" s="14">
        <f t="shared" si="48"/>
        <v>5</v>
      </c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F1040" s="22"/>
      <c r="AG1040" s="22"/>
      <c r="AH1040" s="22"/>
      <c r="AI1040" s="22"/>
    </row>
    <row r="1041" ht="15.75" customHeight="1">
      <c r="A1041" s="27" t="s">
        <v>1277</v>
      </c>
      <c r="B1041" s="17" t="s">
        <v>265</v>
      </c>
      <c r="C1041" s="25"/>
      <c r="D1041" s="17" t="s">
        <v>946</v>
      </c>
      <c r="E1041" s="48">
        <v>45939.0</v>
      </c>
      <c r="F1041" s="27"/>
      <c r="G1041" s="27"/>
      <c r="H1041" s="27"/>
      <c r="I1041" s="27"/>
      <c r="J1041" s="27"/>
      <c r="K1041" s="27"/>
      <c r="L1041" s="27"/>
      <c r="M1041" s="27"/>
      <c r="N1041" s="27"/>
      <c r="O1041" s="27">
        <v>2.0</v>
      </c>
      <c r="P1041" s="27">
        <v>2.0</v>
      </c>
      <c r="Q1041" s="17">
        <v>1.0</v>
      </c>
      <c r="R1041" s="17">
        <v>1.0</v>
      </c>
      <c r="S1041" s="17">
        <v>3.0</v>
      </c>
      <c r="T1041" s="14">
        <f t="shared" si="48"/>
        <v>9</v>
      </c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28"/>
      <c r="AH1041" s="28"/>
      <c r="AI1041" s="28"/>
    </row>
    <row r="1042" ht="15.75" customHeight="1">
      <c r="A1042" s="14" t="s">
        <v>1278</v>
      </c>
      <c r="B1042" s="19" t="s">
        <v>60</v>
      </c>
      <c r="C1042" s="16"/>
      <c r="D1042" s="17"/>
      <c r="E1042" s="18"/>
      <c r="F1042" s="14"/>
      <c r="G1042" s="14"/>
      <c r="H1042" s="14"/>
      <c r="I1042" s="14"/>
      <c r="J1042" s="14"/>
      <c r="K1042" s="14"/>
      <c r="L1042" s="14">
        <v>6.0</v>
      </c>
      <c r="M1042" s="14">
        <v>1.0</v>
      </c>
      <c r="N1042" s="14">
        <v>3.0</v>
      </c>
      <c r="O1042" s="14">
        <v>1.0</v>
      </c>
      <c r="P1042" s="14"/>
      <c r="Q1042" s="19">
        <v>1.0</v>
      </c>
      <c r="R1042" s="14"/>
      <c r="S1042" s="14"/>
      <c r="T1042" s="14">
        <f t="shared" si="48"/>
        <v>12</v>
      </c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2"/>
    </row>
    <row r="1043" ht="15.75" customHeight="1">
      <c r="A1043" s="19" t="s">
        <v>1279</v>
      </c>
      <c r="B1043" s="19" t="s">
        <v>73</v>
      </c>
      <c r="C1043" s="24" t="s">
        <v>32</v>
      </c>
      <c r="D1043" s="17"/>
      <c r="E1043" s="18"/>
      <c r="F1043" s="19" t="s">
        <v>74</v>
      </c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9"/>
      <c r="R1043" s="14"/>
      <c r="S1043" s="14"/>
      <c r="T1043" s="14">
        <f t="shared" si="48"/>
        <v>0</v>
      </c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</row>
    <row r="1044" ht="15.75" customHeight="1">
      <c r="A1044" s="27" t="s">
        <v>1280</v>
      </c>
      <c r="B1044" s="17" t="s">
        <v>214</v>
      </c>
      <c r="C1044" s="25"/>
      <c r="D1044" s="17"/>
      <c r="E1044" s="18"/>
      <c r="F1044" s="27"/>
      <c r="G1044" s="123"/>
      <c r="H1044" s="27"/>
      <c r="I1044" s="27"/>
      <c r="J1044" s="27"/>
      <c r="K1044" s="27"/>
      <c r="L1044" s="27"/>
      <c r="M1044" s="27"/>
      <c r="N1044" s="27"/>
      <c r="O1044" s="27"/>
      <c r="P1044" s="27">
        <v>2.0</v>
      </c>
      <c r="Q1044" s="17">
        <v>1.0</v>
      </c>
      <c r="R1044" s="27"/>
      <c r="S1044" s="27"/>
      <c r="T1044" s="14">
        <f t="shared" si="48"/>
        <v>3</v>
      </c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28"/>
      <c r="AH1044" s="28"/>
      <c r="AI1044" s="28"/>
    </row>
    <row r="1045" ht="15.75" customHeight="1">
      <c r="A1045" s="14" t="s">
        <v>1281</v>
      </c>
      <c r="B1045" s="14" t="s">
        <v>133</v>
      </c>
      <c r="C1045" s="16"/>
      <c r="D1045" s="47"/>
      <c r="E1045" s="18"/>
      <c r="F1045" s="14"/>
      <c r="G1045" s="20"/>
      <c r="H1045" s="14"/>
      <c r="I1045" s="14">
        <v>2.0</v>
      </c>
      <c r="J1045" s="14">
        <v>3.0</v>
      </c>
      <c r="K1045" s="14">
        <v>5.0</v>
      </c>
      <c r="L1045" s="14">
        <v>3.0</v>
      </c>
      <c r="M1045" s="14">
        <v>1.0</v>
      </c>
      <c r="N1045" s="14"/>
      <c r="O1045" s="14"/>
      <c r="P1045" s="14"/>
      <c r="Q1045" s="19">
        <v>3.0</v>
      </c>
      <c r="R1045" s="19">
        <v>1.0</v>
      </c>
      <c r="S1045" s="19">
        <v>1.0</v>
      </c>
      <c r="T1045" s="14">
        <f t="shared" si="48"/>
        <v>19</v>
      </c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2"/>
    </row>
    <row r="1046" ht="15.75" customHeight="1">
      <c r="A1046" s="27" t="s">
        <v>1282</v>
      </c>
      <c r="B1046" s="46" t="s">
        <v>311</v>
      </c>
      <c r="C1046" s="25"/>
      <c r="D1046" s="17"/>
      <c r="E1046" s="18"/>
      <c r="F1046" s="51"/>
      <c r="G1046" s="26"/>
      <c r="H1046" s="27"/>
      <c r="I1046" s="27"/>
      <c r="J1046" s="27"/>
      <c r="K1046" s="27">
        <v>2.0</v>
      </c>
      <c r="L1046" s="27">
        <v>3.0</v>
      </c>
      <c r="M1046" s="27"/>
      <c r="N1046" s="33">
        <v>1.0</v>
      </c>
      <c r="O1046" s="33">
        <v>2.0</v>
      </c>
      <c r="P1046" s="33">
        <v>1.0</v>
      </c>
      <c r="Q1046" s="33"/>
      <c r="R1046" s="33"/>
      <c r="S1046" s="46">
        <v>1.0</v>
      </c>
      <c r="T1046" s="34">
        <f t="shared" si="48"/>
        <v>10</v>
      </c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  <c r="AF1046" s="28"/>
      <c r="AG1046" s="28"/>
      <c r="AH1046" s="28"/>
      <c r="AI1046" s="28"/>
    </row>
    <row r="1047" ht="15.75" customHeight="1">
      <c r="A1047" s="19" t="s">
        <v>1283</v>
      </c>
      <c r="B1047" s="35"/>
      <c r="C1047" s="16"/>
      <c r="D1047" s="17"/>
      <c r="E1047" s="18"/>
      <c r="F1047" s="14"/>
      <c r="G1047" s="14"/>
      <c r="H1047" s="14"/>
      <c r="I1047" s="14"/>
      <c r="J1047" s="14"/>
      <c r="K1047" s="14"/>
      <c r="L1047" s="14"/>
      <c r="M1047" s="14"/>
      <c r="N1047" s="35"/>
      <c r="O1047" s="35"/>
      <c r="P1047" s="35"/>
      <c r="Q1047" s="41"/>
      <c r="R1047" s="41"/>
      <c r="S1047" s="41"/>
      <c r="T1047" s="35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F1047" s="22"/>
      <c r="AG1047" s="22"/>
      <c r="AH1047" s="22"/>
      <c r="AI1047" s="22"/>
    </row>
    <row r="1048" ht="15.75" customHeight="1">
      <c r="A1048" s="17" t="s">
        <v>1284</v>
      </c>
      <c r="B1048" s="17" t="s">
        <v>85</v>
      </c>
      <c r="C1048" s="25"/>
      <c r="D1048" s="17"/>
      <c r="E1048" s="18"/>
      <c r="F1048" s="51"/>
      <c r="G1048" s="27"/>
      <c r="H1048" s="27"/>
      <c r="I1048" s="27"/>
      <c r="J1048" s="27"/>
      <c r="K1048" s="27">
        <v>1.0</v>
      </c>
      <c r="L1048" s="27">
        <v>3.0</v>
      </c>
      <c r="M1048" s="27"/>
      <c r="N1048" s="27"/>
      <c r="O1048" s="27"/>
      <c r="P1048" s="27"/>
      <c r="Q1048" s="27"/>
      <c r="R1048" s="27"/>
      <c r="S1048" s="27"/>
      <c r="T1048" s="14">
        <f t="shared" ref="T1048:T1058" si="49">SUM(I1048:S1048)</f>
        <v>4</v>
      </c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  <c r="AF1048" s="28"/>
      <c r="AG1048" s="28"/>
      <c r="AH1048" s="28"/>
      <c r="AI1048" s="28"/>
    </row>
    <row r="1049" ht="15.75" customHeight="1">
      <c r="A1049" s="14" t="s">
        <v>1285</v>
      </c>
      <c r="B1049" s="19" t="s">
        <v>51</v>
      </c>
      <c r="C1049" s="16"/>
      <c r="D1049" s="17"/>
      <c r="E1049" s="18"/>
      <c r="F1049" s="14"/>
      <c r="G1049" s="20"/>
      <c r="H1049" s="14"/>
      <c r="I1049" s="14"/>
      <c r="J1049" s="14"/>
      <c r="K1049" s="14"/>
      <c r="L1049" s="14"/>
      <c r="M1049" s="14"/>
      <c r="N1049" s="14">
        <v>4.0</v>
      </c>
      <c r="O1049" s="14"/>
      <c r="P1049" s="14"/>
      <c r="Q1049" s="14"/>
      <c r="R1049" s="19">
        <v>1.0</v>
      </c>
      <c r="S1049" s="19"/>
      <c r="T1049" s="14">
        <f t="shared" si="49"/>
        <v>5</v>
      </c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</row>
    <row r="1050" ht="15.75" customHeight="1">
      <c r="A1050" s="27" t="s">
        <v>1286</v>
      </c>
      <c r="B1050" s="27" t="s">
        <v>46</v>
      </c>
      <c r="C1050" s="25"/>
      <c r="D1050" s="17"/>
      <c r="E1050" s="18"/>
      <c r="F1050" s="27"/>
      <c r="G1050" s="26"/>
      <c r="H1050" s="27"/>
      <c r="I1050" s="27"/>
      <c r="J1050" s="27"/>
      <c r="K1050" s="27"/>
      <c r="L1050" s="27"/>
      <c r="M1050" s="27"/>
      <c r="N1050" s="27"/>
      <c r="O1050" s="27"/>
      <c r="P1050" s="27"/>
      <c r="Q1050" s="17">
        <v>2.0</v>
      </c>
      <c r="R1050" s="27"/>
      <c r="S1050" s="27"/>
      <c r="T1050" s="14">
        <f t="shared" si="49"/>
        <v>2</v>
      </c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28"/>
      <c r="AH1050" s="28"/>
      <c r="AI1050" s="28"/>
    </row>
    <row r="1051" ht="15.75" customHeight="1">
      <c r="A1051" s="14" t="s">
        <v>1287</v>
      </c>
      <c r="B1051" s="19" t="s">
        <v>46</v>
      </c>
      <c r="C1051" s="16"/>
      <c r="D1051" s="17"/>
      <c r="E1051" s="18"/>
      <c r="F1051" s="14"/>
      <c r="G1051" s="20"/>
      <c r="H1051" s="14"/>
      <c r="I1051" s="14"/>
      <c r="J1051" s="14"/>
      <c r="K1051" s="14"/>
      <c r="L1051" s="14"/>
      <c r="M1051" s="14"/>
      <c r="N1051" s="14">
        <v>1.0</v>
      </c>
      <c r="O1051" s="14"/>
      <c r="P1051" s="14"/>
      <c r="Q1051" s="14"/>
      <c r="R1051" s="14"/>
      <c r="S1051" s="14"/>
      <c r="T1051" s="14">
        <f t="shared" si="49"/>
        <v>1</v>
      </c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2"/>
    </row>
    <row r="1052" ht="15.75" customHeight="1">
      <c r="A1052" s="19" t="s">
        <v>1288</v>
      </c>
      <c r="B1052" s="19" t="s">
        <v>250</v>
      </c>
      <c r="C1052" s="24" t="s">
        <v>578</v>
      </c>
      <c r="D1052" s="17"/>
      <c r="E1052" s="18"/>
      <c r="F1052" s="19"/>
      <c r="G1052" s="20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9">
        <v>1.0</v>
      </c>
      <c r="T1052" s="14">
        <f t="shared" si="49"/>
        <v>1</v>
      </c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</row>
    <row r="1053" ht="15.75" customHeight="1">
      <c r="A1053" s="19" t="s">
        <v>1289</v>
      </c>
      <c r="B1053" s="19" t="s">
        <v>25</v>
      </c>
      <c r="C1053" s="24" t="s">
        <v>576</v>
      </c>
      <c r="D1053" s="17"/>
      <c r="E1053" s="18"/>
      <c r="F1053" s="19"/>
      <c r="G1053" s="20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9">
        <v>1.0</v>
      </c>
      <c r="S1053" s="19"/>
      <c r="T1053" s="14">
        <f t="shared" si="49"/>
        <v>1</v>
      </c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</row>
    <row r="1054" ht="15.75" customHeight="1">
      <c r="A1054" s="27" t="s">
        <v>1290</v>
      </c>
      <c r="B1054" s="27" t="s">
        <v>25</v>
      </c>
      <c r="C1054" s="25"/>
      <c r="D1054" s="17"/>
      <c r="E1054" s="18"/>
      <c r="F1054" s="27"/>
      <c r="G1054" s="26"/>
      <c r="H1054" s="27"/>
      <c r="I1054" s="27"/>
      <c r="J1054" s="27"/>
      <c r="K1054" s="27"/>
      <c r="L1054" s="27"/>
      <c r="M1054" s="27"/>
      <c r="N1054" s="27">
        <v>1.0</v>
      </c>
      <c r="O1054" s="27"/>
      <c r="P1054" s="27"/>
      <c r="Q1054" s="27"/>
      <c r="R1054" s="17">
        <v>1.0</v>
      </c>
      <c r="S1054" s="17"/>
      <c r="T1054" s="14">
        <f t="shared" si="49"/>
        <v>2</v>
      </c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  <c r="AF1054" s="28"/>
      <c r="AG1054" s="28"/>
      <c r="AH1054" s="28"/>
      <c r="AI1054" s="28"/>
    </row>
    <row r="1055" ht="15.75" customHeight="1">
      <c r="A1055" s="19" t="s">
        <v>1291</v>
      </c>
      <c r="B1055" s="19" t="s">
        <v>49</v>
      </c>
      <c r="C1055" s="16"/>
      <c r="D1055" s="17"/>
      <c r="E1055" s="18"/>
      <c r="F1055" s="14"/>
      <c r="G1055" s="20"/>
      <c r="H1055" s="14"/>
      <c r="I1055" s="14"/>
      <c r="J1055" s="14"/>
      <c r="K1055" s="14"/>
      <c r="L1055" s="14"/>
      <c r="M1055" s="14"/>
      <c r="N1055" s="14"/>
      <c r="O1055" s="14"/>
      <c r="P1055" s="14"/>
      <c r="Q1055" s="19">
        <v>1.0</v>
      </c>
      <c r="R1055" s="27"/>
      <c r="S1055" s="27"/>
      <c r="T1055" s="14">
        <f t="shared" si="49"/>
        <v>1</v>
      </c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</row>
    <row r="1056" ht="15.75" customHeight="1">
      <c r="A1056" s="19" t="s">
        <v>1292</v>
      </c>
      <c r="B1056" s="19" t="s">
        <v>73</v>
      </c>
      <c r="C1056" s="24" t="s">
        <v>576</v>
      </c>
      <c r="D1056" s="17"/>
      <c r="E1056" s="18"/>
      <c r="F1056" s="19" t="s">
        <v>74</v>
      </c>
      <c r="G1056" s="20"/>
      <c r="H1056" s="14"/>
      <c r="I1056" s="14"/>
      <c r="J1056" s="14"/>
      <c r="K1056" s="14"/>
      <c r="L1056" s="14"/>
      <c r="M1056" s="14"/>
      <c r="N1056" s="14"/>
      <c r="O1056" s="14"/>
      <c r="P1056" s="14"/>
      <c r="Q1056" s="19"/>
      <c r="R1056" s="17">
        <v>1.0</v>
      </c>
      <c r="S1056" s="17">
        <v>1.0</v>
      </c>
      <c r="T1056" s="14">
        <f t="shared" si="49"/>
        <v>2</v>
      </c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</row>
    <row r="1057" ht="15.75" customHeight="1">
      <c r="A1057" s="19" t="s">
        <v>1293</v>
      </c>
      <c r="B1057" s="19" t="s">
        <v>51</v>
      </c>
      <c r="C1057" s="16"/>
      <c r="D1057" s="17"/>
      <c r="E1057" s="18"/>
      <c r="F1057" s="14"/>
      <c r="G1057" s="20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9">
        <v>1.0</v>
      </c>
      <c r="S1057" s="19"/>
      <c r="T1057" s="14">
        <f t="shared" si="49"/>
        <v>1</v>
      </c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2"/>
    </row>
    <row r="1058" ht="15.75" customHeight="1">
      <c r="A1058" s="27" t="s">
        <v>1294</v>
      </c>
      <c r="B1058" s="17" t="s">
        <v>27</v>
      </c>
      <c r="C1058" s="25"/>
      <c r="D1058" s="17"/>
      <c r="E1058" s="18"/>
      <c r="F1058" s="27"/>
      <c r="G1058" s="26"/>
      <c r="H1058" s="27"/>
      <c r="I1058" s="27"/>
      <c r="J1058" s="27"/>
      <c r="K1058" s="27"/>
      <c r="L1058" s="27"/>
      <c r="M1058" s="27"/>
      <c r="N1058" s="33">
        <v>6.0</v>
      </c>
      <c r="O1058" s="46">
        <v>5.0</v>
      </c>
      <c r="P1058" s="33">
        <v>1.0</v>
      </c>
      <c r="Q1058" s="46">
        <v>3.0</v>
      </c>
      <c r="R1058" s="46">
        <v>1.0</v>
      </c>
      <c r="S1058" s="46"/>
      <c r="T1058" s="34">
        <f t="shared" si="49"/>
        <v>16</v>
      </c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28"/>
      <c r="AE1058" s="28"/>
      <c r="AF1058" s="28"/>
      <c r="AG1058" s="28"/>
      <c r="AH1058" s="28"/>
      <c r="AI1058" s="28"/>
    </row>
    <row r="1059" ht="15.75" customHeight="1">
      <c r="A1059" s="14" t="s">
        <v>1294</v>
      </c>
      <c r="B1059" s="19" t="s">
        <v>27</v>
      </c>
      <c r="C1059" s="16"/>
      <c r="D1059" s="17"/>
      <c r="E1059" s="18"/>
      <c r="F1059" s="14"/>
      <c r="G1059" s="20"/>
      <c r="H1059" s="14"/>
      <c r="I1059" s="14"/>
      <c r="J1059" s="14"/>
      <c r="K1059" s="14"/>
      <c r="L1059" s="14"/>
      <c r="M1059" s="14"/>
      <c r="N1059" s="35"/>
      <c r="O1059" s="35"/>
      <c r="P1059" s="35"/>
      <c r="Q1059" s="41"/>
      <c r="R1059" s="41"/>
      <c r="S1059" s="41"/>
      <c r="T1059" s="35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</row>
    <row r="1060" ht="15.75" customHeight="1">
      <c r="A1060" s="27" t="s">
        <v>1295</v>
      </c>
      <c r="B1060" s="17" t="s">
        <v>62</v>
      </c>
      <c r="C1060" s="25"/>
      <c r="D1060" s="17"/>
      <c r="E1060" s="18"/>
      <c r="F1060" s="27"/>
      <c r="G1060" s="26"/>
      <c r="H1060" s="27"/>
      <c r="I1060" s="27"/>
      <c r="J1060" s="27"/>
      <c r="K1060" s="27"/>
      <c r="L1060" s="27"/>
      <c r="M1060" s="27"/>
      <c r="N1060" s="27"/>
      <c r="O1060" s="27">
        <v>1.0</v>
      </c>
      <c r="P1060" s="27">
        <v>1.0</v>
      </c>
      <c r="Q1060" s="27"/>
      <c r="R1060" s="27"/>
      <c r="S1060" s="27"/>
      <c r="T1060" s="14">
        <f t="shared" ref="T1060:T1080" si="50">SUM(I1060:S1060)</f>
        <v>2</v>
      </c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28"/>
      <c r="AE1060" s="28"/>
      <c r="AF1060" s="28"/>
      <c r="AG1060" s="28"/>
      <c r="AH1060" s="28"/>
      <c r="AI1060" s="28"/>
    </row>
    <row r="1061" ht="15.75" customHeight="1">
      <c r="A1061" s="17" t="s">
        <v>1296</v>
      </c>
      <c r="B1061" s="17" t="s">
        <v>73</v>
      </c>
      <c r="C1061" s="30" t="s">
        <v>1297</v>
      </c>
      <c r="D1061" s="17"/>
      <c r="E1061" s="18"/>
      <c r="F1061" s="17" t="s">
        <v>74</v>
      </c>
      <c r="G1061" s="26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14">
        <f t="shared" si="50"/>
        <v>0</v>
      </c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28"/>
      <c r="AE1061" s="28"/>
      <c r="AF1061" s="28"/>
      <c r="AG1061" s="28"/>
      <c r="AH1061" s="28"/>
      <c r="AI1061" s="28"/>
    </row>
    <row r="1062" ht="15.75" customHeight="1">
      <c r="A1062" s="23" t="s">
        <v>1298</v>
      </c>
      <c r="B1062" s="19" t="s">
        <v>22</v>
      </c>
      <c r="C1062" s="24"/>
      <c r="D1062" s="17"/>
      <c r="E1062" s="18"/>
      <c r="F1062" s="19"/>
      <c r="G1062" s="20"/>
      <c r="H1062" s="14"/>
      <c r="I1062" s="14"/>
      <c r="J1062" s="14">
        <v>2.0</v>
      </c>
      <c r="K1062" s="14">
        <v>1.0</v>
      </c>
      <c r="L1062" s="14"/>
      <c r="M1062" s="14"/>
      <c r="N1062" s="14"/>
      <c r="O1062" s="14"/>
      <c r="P1062" s="14"/>
      <c r="Q1062" s="14"/>
      <c r="R1062" s="14"/>
      <c r="S1062" s="14"/>
      <c r="T1062" s="14">
        <f t="shared" si="50"/>
        <v>3</v>
      </c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</row>
    <row r="1063" ht="15.75" customHeight="1">
      <c r="A1063" s="14" t="s">
        <v>1299</v>
      </c>
      <c r="B1063" s="19" t="s">
        <v>129</v>
      </c>
      <c r="C1063" s="16"/>
      <c r="D1063" s="17"/>
      <c r="E1063" s="18"/>
      <c r="F1063" s="14"/>
      <c r="G1063" s="20"/>
      <c r="H1063" s="14"/>
      <c r="I1063" s="14"/>
      <c r="J1063" s="14"/>
      <c r="K1063" s="14"/>
      <c r="L1063" s="14"/>
      <c r="M1063" s="14">
        <v>2.0</v>
      </c>
      <c r="N1063" s="14">
        <v>1.0</v>
      </c>
      <c r="O1063" s="14">
        <v>1.0</v>
      </c>
      <c r="P1063" s="14"/>
      <c r="Q1063" s="14"/>
      <c r="R1063" s="14"/>
      <c r="S1063" s="14"/>
      <c r="T1063" s="14">
        <f t="shared" si="50"/>
        <v>4</v>
      </c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</row>
    <row r="1064" ht="15.75" customHeight="1">
      <c r="A1064" s="27" t="s">
        <v>1300</v>
      </c>
      <c r="B1064" s="17" t="s">
        <v>136</v>
      </c>
      <c r="C1064" s="25"/>
      <c r="D1064" s="17"/>
      <c r="E1064" s="18"/>
      <c r="F1064" s="27"/>
      <c r="G1064" s="26"/>
      <c r="H1064" s="27"/>
      <c r="I1064" s="27"/>
      <c r="J1064" s="27">
        <v>1.0</v>
      </c>
      <c r="K1064" s="27"/>
      <c r="L1064" s="27"/>
      <c r="M1064" s="27"/>
      <c r="N1064" s="27"/>
      <c r="O1064" s="27">
        <v>1.0</v>
      </c>
      <c r="P1064" s="27"/>
      <c r="Q1064" s="27"/>
      <c r="R1064" s="27"/>
      <c r="S1064" s="27"/>
      <c r="T1064" s="14">
        <f t="shared" si="50"/>
        <v>2</v>
      </c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28"/>
      <c r="AE1064" s="28"/>
      <c r="AF1064" s="28"/>
      <c r="AG1064" s="28"/>
      <c r="AH1064" s="28"/>
      <c r="AI1064" s="28"/>
    </row>
    <row r="1065" ht="15.75" customHeight="1">
      <c r="A1065" s="19" t="s">
        <v>1301</v>
      </c>
      <c r="B1065" s="19" t="s">
        <v>252</v>
      </c>
      <c r="C1065" s="16"/>
      <c r="D1065" s="17"/>
      <c r="E1065" s="18"/>
      <c r="F1065" s="14"/>
      <c r="G1065" s="20"/>
      <c r="H1065" s="14"/>
      <c r="I1065" s="14">
        <v>1.0</v>
      </c>
      <c r="J1065" s="14">
        <v>1.0</v>
      </c>
      <c r="K1065" s="14"/>
      <c r="L1065" s="14"/>
      <c r="M1065" s="14">
        <v>1.0</v>
      </c>
      <c r="N1065" s="14">
        <v>1.0</v>
      </c>
      <c r="O1065" s="14"/>
      <c r="P1065" s="14"/>
      <c r="Q1065" s="14"/>
      <c r="R1065" s="14"/>
      <c r="S1065" s="14"/>
      <c r="T1065" s="14">
        <f t="shared" si="50"/>
        <v>4</v>
      </c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F1065" s="22"/>
      <c r="AG1065" s="22"/>
      <c r="AH1065" s="22"/>
      <c r="AI1065" s="22"/>
    </row>
    <row r="1066" ht="15.75" customHeight="1">
      <c r="A1066" s="17" t="s">
        <v>1302</v>
      </c>
      <c r="B1066" s="17" t="s">
        <v>252</v>
      </c>
      <c r="C1066" s="25"/>
      <c r="D1066" s="17"/>
      <c r="E1066" s="18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14"/>
      <c r="S1066" s="14"/>
      <c r="T1066" s="14">
        <f t="shared" si="50"/>
        <v>0</v>
      </c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28"/>
      <c r="AE1066" s="28"/>
      <c r="AF1066" s="28"/>
      <c r="AG1066" s="28"/>
      <c r="AH1066" s="28"/>
      <c r="AI1066" s="28"/>
    </row>
    <row r="1067" ht="15.75" customHeight="1">
      <c r="A1067" s="27" t="s">
        <v>1303</v>
      </c>
      <c r="B1067" s="17" t="s">
        <v>85</v>
      </c>
      <c r="C1067" s="25"/>
      <c r="D1067" s="17"/>
      <c r="E1067" s="18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>
        <v>4.0</v>
      </c>
      <c r="Q1067" s="27"/>
      <c r="R1067" s="27"/>
      <c r="S1067" s="27"/>
      <c r="T1067" s="14">
        <f t="shared" si="50"/>
        <v>4</v>
      </c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28"/>
      <c r="AE1067" s="28"/>
      <c r="AF1067" s="28"/>
      <c r="AG1067" s="28"/>
      <c r="AH1067" s="28"/>
      <c r="AI1067" s="28"/>
    </row>
    <row r="1068" ht="15.75" customHeight="1">
      <c r="A1068" s="14" t="s">
        <v>1304</v>
      </c>
      <c r="B1068" s="14" t="s">
        <v>62</v>
      </c>
      <c r="C1068" s="16"/>
      <c r="D1068" s="17"/>
      <c r="E1068" s="18"/>
      <c r="F1068" s="14"/>
      <c r="G1068" s="14" t="s">
        <v>40</v>
      </c>
      <c r="H1068" s="14" t="s">
        <v>91</v>
      </c>
      <c r="I1068" s="14"/>
      <c r="J1068" s="14">
        <v>1.0</v>
      </c>
      <c r="K1068" s="14"/>
      <c r="L1068" s="14"/>
      <c r="M1068" s="14"/>
      <c r="N1068" s="14"/>
      <c r="O1068" s="14"/>
      <c r="P1068" s="14"/>
      <c r="Q1068" s="14"/>
      <c r="R1068" s="14"/>
      <c r="S1068" s="14"/>
      <c r="T1068" s="14">
        <f t="shared" si="50"/>
        <v>1</v>
      </c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</row>
    <row r="1069" ht="15.75" customHeight="1">
      <c r="A1069" s="27" t="s">
        <v>1305</v>
      </c>
      <c r="B1069" s="17" t="s">
        <v>119</v>
      </c>
      <c r="C1069" s="25"/>
      <c r="D1069" s="17"/>
      <c r="E1069" s="18"/>
      <c r="F1069" s="27"/>
      <c r="G1069" s="26"/>
      <c r="H1069" s="27"/>
      <c r="I1069" s="27"/>
      <c r="J1069" s="27"/>
      <c r="K1069" s="27"/>
      <c r="L1069" s="27"/>
      <c r="M1069" s="27"/>
      <c r="N1069" s="27"/>
      <c r="O1069" s="27"/>
      <c r="P1069" s="27">
        <v>3.0</v>
      </c>
      <c r="Q1069" s="17">
        <v>1.0</v>
      </c>
      <c r="R1069" s="17">
        <v>3.0</v>
      </c>
      <c r="S1069" s="17"/>
      <c r="T1069" s="14">
        <f t="shared" si="50"/>
        <v>7</v>
      </c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28"/>
      <c r="AE1069" s="28"/>
      <c r="AF1069" s="28"/>
      <c r="AG1069" s="28"/>
      <c r="AH1069" s="28"/>
      <c r="AI1069" s="28"/>
    </row>
    <row r="1070" ht="15.75" customHeight="1">
      <c r="A1070" s="14" t="s">
        <v>1306</v>
      </c>
      <c r="B1070" s="14" t="s">
        <v>451</v>
      </c>
      <c r="C1070" s="16"/>
      <c r="D1070" s="17"/>
      <c r="E1070" s="18"/>
      <c r="F1070" s="14"/>
      <c r="G1070" s="20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>
        <f t="shared" si="50"/>
        <v>0</v>
      </c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</row>
    <row r="1071" ht="15.75" customHeight="1">
      <c r="A1071" s="17" t="s">
        <v>1307</v>
      </c>
      <c r="B1071" s="17" t="s">
        <v>21</v>
      </c>
      <c r="C1071" s="30" t="s">
        <v>953</v>
      </c>
      <c r="D1071" s="17"/>
      <c r="E1071" s="18"/>
      <c r="F1071" s="17"/>
      <c r="G1071" s="26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14"/>
      <c r="S1071" s="19">
        <v>1.0</v>
      </c>
      <c r="T1071" s="14">
        <f t="shared" si="50"/>
        <v>1</v>
      </c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28"/>
      <c r="AH1071" s="28"/>
      <c r="AI1071" s="28"/>
    </row>
    <row r="1072" ht="15.75" customHeight="1">
      <c r="A1072" s="17" t="s">
        <v>1308</v>
      </c>
      <c r="B1072" s="17" t="s">
        <v>250</v>
      </c>
      <c r="C1072" s="30" t="s">
        <v>1309</v>
      </c>
      <c r="D1072" s="17"/>
      <c r="E1072" s="18"/>
      <c r="F1072" s="17"/>
      <c r="G1072" s="26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17">
        <v>1.0</v>
      </c>
      <c r="T1072" s="14">
        <f t="shared" si="50"/>
        <v>1</v>
      </c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28"/>
      <c r="AE1072" s="28"/>
      <c r="AF1072" s="28"/>
      <c r="AG1072" s="28"/>
      <c r="AH1072" s="28"/>
      <c r="AI1072" s="28"/>
    </row>
    <row r="1073" ht="15.75" customHeight="1">
      <c r="A1073" s="27" t="s">
        <v>1310</v>
      </c>
      <c r="B1073" s="17" t="s">
        <v>62</v>
      </c>
      <c r="C1073" s="25"/>
      <c r="D1073" s="17"/>
      <c r="E1073" s="18"/>
      <c r="F1073" s="27"/>
      <c r="G1073" s="26"/>
      <c r="H1073" s="27"/>
      <c r="I1073" s="27"/>
      <c r="J1073" s="27">
        <v>8.0</v>
      </c>
      <c r="K1073" s="27">
        <v>3.0</v>
      </c>
      <c r="L1073" s="27"/>
      <c r="M1073" s="27">
        <v>2.0</v>
      </c>
      <c r="N1073" s="27">
        <v>2.0</v>
      </c>
      <c r="O1073" s="27"/>
      <c r="P1073" s="27"/>
      <c r="Q1073" s="27"/>
      <c r="R1073" s="27"/>
      <c r="S1073" s="27"/>
      <c r="T1073" s="14">
        <f t="shared" si="50"/>
        <v>15</v>
      </c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28"/>
      <c r="AE1073" s="28"/>
      <c r="AF1073" s="28"/>
      <c r="AG1073" s="28"/>
      <c r="AH1073" s="28"/>
      <c r="AI1073" s="28"/>
    </row>
    <row r="1074" ht="15.75" customHeight="1">
      <c r="A1074" s="19" t="s">
        <v>1311</v>
      </c>
      <c r="B1074" s="19" t="s">
        <v>73</v>
      </c>
      <c r="C1074" s="24" t="s">
        <v>32</v>
      </c>
      <c r="D1074" s="17"/>
      <c r="E1074" s="18"/>
      <c r="F1074" s="19" t="s">
        <v>74</v>
      </c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9"/>
      <c r="S1074" s="19"/>
      <c r="T1074" s="14">
        <f t="shared" si="50"/>
        <v>0</v>
      </c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</row>
    <row r="1075" ht="15.75" customHeight="1">
      <c r="A1075" s="14" t="s">
        <v>1312</v>
      </c>
      <c r="B1075" s="19" t="s">
        <v>763</v>
      </c>
      <c r="C1075" s="16"/>
      <c r="D1075" s="17"/>
      <c r="E1075" s="18"/>
      <c r="F1075" s="14"/>
      <c r="G1075" s="14" t="s">
        <v>40</v>
      </c>
      <c r="H1075" s="14" t="s">
        <v>280</v>
      </c>
      <c r="I1075" s="14"/>
      <c r="J1075" s="14"/>
      <c r="K1075" s="14"/>
      <c r="L1075" s="14"/>
      <c r="M1075" s="14">
        <v>1.0</v>
      </c>
      <c r="N1075" s="14">
        <v>2.0</v>
      </c>
      <c r="O1075" s="14">
        <v>1.0</v>
      </c>
      <c r="P1075" s="14"/>
      <c r="Q1075" s="14"/>
      <c r="R1075" s="19">
        <v>1.0</v>
      </c>
      <c r="S1075" s="19"/>
      <c r="T1075" s="14">
        <f t="shared" si="50"/>
        <v>5</v>
      </c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F1075" s="22"/>
      <c r="AG1075" s="22"/>
      <c r="AH1075" s="22"/>
      <c r="AI1075" s="22"/>
    </row>
    <row r="1076" ht="15.75" customHeight="1">
      <c r="A1076" s="27" t="s">
        <v>1313</v>
      </c>
      <c r="B1076" s="17" t="s">
        <v>192</v>
      </c>
      <c r="C1076" s="25"/>
      <c r="D1076" s="17"/>
      <c r="E1076" s="18"/>
      <c r="F1076" s="27"/>
      <c r="G1076" s="26"/>
      <c r="H1076" s="27"/>
      <c r="I1076" s="27">
        <v>3.0</v>
      </c>
      <c r="J1076" s="27">
        <v>4.0</v>
      </c>
      <c r="K1076" s="27">
        <v>2.0</v>
      </c>
      <c r="L1076" s="27">
        <v>2.0</v>
      </c>
      <c r="M1076" s="27"/>
      <c r="N1076" s="27"/>
      <c r="O1076" s="27"/>
      <c r="P1076" s="27"/>
      <c r="Q1076" s="27"/>
      <c r="R1076" s="27"/>
      <c r="S1076" s="27"/>
      <c r="T1076" s="14">
        <f t="shared" si="50"/>
        <v>11</v>
      </c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28"/>
      <c r="AE1076" s="28"/>
      <c r="AF1076" s="28"/>
      <c r="AG1076" s="28"/>
      <c r="AH1076" s="28"/>
      <c r="AI1076" s="28"/>
    </row>
    <row r="1077" ht="15.75" customHeight="1">
      <c r="A1077" s="14" t="s">
        <v>1314</v>
      </c>
      <c r="B1077" s="14" t="s">
        <v>194</v>
      </c>
      <c r="C1077" s="16"/>
      <c r="D1077" s="17"/>
      <c r="E1077" s="18"/>
      <c r="F1077" s="14"/>
      <c r="G1077" s="20"/>
      <c r="H1077" s="14"/>
      <c r="I1077" s="14">
        <v>1.0</v>
      </c>
      <c r="J1077" s="14">
        <v>2.0</v>
      </c>
      <c r="K1077" s="14"/>
      <c r="L1077" s="14"/>
      <c r="M1077" s="14"/>
      <c r="N1077" s="14"/>
      <c r="O1077" s="14"/>
      <c r="P1077" s="14"/>
      <c r="Q1077" s="14"/>
      <c r="R1077" s="14"/>
      <c r="S1077" s="14"/>
      <c r="T1077" s="14">
        <f t="shared" si="50"/>
        <v>3</v>
      </c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2"/>
    </row>
    <row r="1078" ht="15.75" customHeight="1">
      <c r="A1078" s="17" t="s">
        <v>1315</v>
      </c>
      <c r="B1078" s="17" t="s">
        <v>247</v>
      </c>
      <c r="C1078" s="25"/>
      <c r="D1078" s="17"/>
      <c r="E1078" s="18"/>
      <c r="F1078" s="27"/>
      <c r="G1078" s="26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14">
        <f t="shared" si="50"/>
        <v>0</v>
      </c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28"/>
      <c r="AE1078" s="28"/>
      <c r="AF1078" s="28"/>
      <c r="AG1078" s="28"/>
      <c r="AH1078" s="28"/>
      <c r="AI1078" s="28"/>
    </row>
    <row r="1079" ht="15.75" customHeight="1">
      <c r="A1079" s="17" t="s">
        <v>1316</v>
      </c>
      <c r="B1079" s="17" t="s">
        <v>73</v>
      </c>
      <c r="C1079" s="30" t="s">
        <v>335</v>
      </c>
      <c r="D1079" s="17"/>
      <c r="E1079" s="18"/>
      <c r="F1079" s="17" t="s">
        <v>74</v>
      </c>
      <c r="G1079" s="26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14">
        <f t="shared" si="50"/>
        <v>0</v>
      </c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28"/>
      <c r="AE1079" s="28"/>
      <c r="AF1079" s="28"/>
      <c r="AG1079" s="28"/>
      <c r="AH1079" s="28"/>
      <c r="AI1079" s="28"/>
    </row>
    <row r="1080" ht="15.75" customHeight="1">
      <c r="A1080" s="17" t="s">
        <v>1317</v>
      </c>
      <c r="B1080" s="46" t="s">
        <v>149</v>
      </c>
      <c r="C1080" s="25"/>
      <c r="D1080" s="17"/>
      <c r="E1080" s="18"/>
      <c r="F1080" s="27"/>
      <c r="G1080" s="26"/>
      <c r="H1080" s="27"/>
      <c r="I1080" s="27"/>
      <c r="J1080" s="27">
        <v>1.0</v>
      </c>
      <c r="K1080" s="27"/>
      <c r="L1080" s="27"/>
      <c r="M1080" s="27"/>
      <c r="N1080" s="27">
        <v>1.0</v>
      </c>
      <c r="O1080" s="27"/>
      <c r="P1080" s="27"/>
      <c r="Q1080" s="33"/>
      <c r="R1080" s="33"/>
      <c r="S1080" s="33"/>
      <c r="T1080" s="34">
        <f t="shared" si="50"/>
        <v>2</v>
      </c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28"/>
      <c r="AE1080" s="28"/>
      <c r="AF1080" s="28"/>
      <c r="AG1080" s="28"/>
      <c r="AH1080" s="28"/>
      <c r="AI1080" s="28"/>
    </row>
    <row r="1081" ht="15.75" customHeight="1">
      <c r="A1081" s="19" t="s">
        <v>1318</v>
      </c>
      <c r="B1081" s="35"/>
      <c r="C1081" s="16"/>
      <c r="D1081" s="17"/>
      <c r="E1081" s="18"/>
      <c r="F1081" s="14"/>
      <c r="G1081" s="20"/>
      <c r="H1081" s="14"/>
      <c r="I1081" s="14"/>
      <c r="J1081" s="14"/>
      <c r="K1081" s="14"/>
      <c r="L1081" s="14"/>
      <c r="M1081" s="14"/>
      <c r="N1081" s="14"/>
      <c r="O1081" s="14"/>
      <c r="P1081" s="14"/>
      <c r="Q1081" s="35"/>
      <c r="R1081" s="35"/>
      <c r="S1081" s="35"/>
      <c r="T1081" s="35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  <c r="AG1081" s="22"/>
      <c r="AH1081" s="22"/>
      <c r="AI1081" s="22"/>
    </row>
    <row r="1082" ht="15.75" customHeight="1">
      <c r="A1082" s="14" t="s">
        <v>1319</v>
      </c>
      <c r="B1082" s="19" t="s">
        <v>451</v>
      </c>
      <c r="C1082" s="16"/>
      <c r="D1082" s="17"/>
      <c r="E1082" s="18"/>
      <c r="F1082" s="14"/>
      <c r="G1082" s="124" t="s">
        <v>1320</v>
      </c>
      <c r="H1082" s="14"/>
      <c r="I1082" s="14"/>
      <c r="J1082" s="14"/>
      <c r="K1082" s="14"/>
      <c r="L1082" s="14"/>
      <c r="M1082" s="14"/>
      <c r="N1082" s="14"/>
      <c r="O1082" s="14">
        <v>2.0</v>
      </c>
      <c r="P1082" s="14">
        <v>1.0</v>
      </c>
      <c r="Q1082" s="14"/>
      <c r="R1082" s="14"/>
      <c r="S1082" s="14"/>
      <c r="T1082" s="14">
        <f t="shared" ref="T1082:T1084" si="51">SUM(I1082:S1082)</f>
        <v>3</v>
      </c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2"/>
      <c r="AI1082" s="22"/>
    </row>
    <row r="1083" ht="15.75" customHeight="1">
      <c r="A1083" s="19" t="s">
        <v>1321</v>
      </c>
      <c r="B1083" s="19" t="s">
        <v>176</v>
      </c>
      <c r="C1083" s="24" t="s">
        <v>177</v>
      </c>
      <c r="D1083" s="17"/>
      <c r="E1083" s="54"/>
      <c r="F1083" s="19"/>
      <c r="G1083" s="20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>
        <f t="shared" si="51"/>
        <v>0</v>
      </c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</row>
    <row r="1084" ht="15.75" customHeight="1">
      <c r="A1084" s="27" t="s">
        <v>1322</v>
      </c>
      <c r="B1084" s="46" t="s">
        <v>166</v>
      </c>
      <c r="C1084" s="25"/>
      <c r="D1084" s="50"/>
      <c r="E1084" s="48"/>
      <c r="F1084" s="27"/>
      <c r="G1084" s="27"/>
      <c r="H1084" s="27"/>
      <c r="I1084" s="27"/>
      <c r="J1084" s="27"/>
      <c r="K1084" s="27"/>
      <c r="L1084" s="27"/>
      <c r="M1084" s="27"/>
      <c r="N1084" s="27">
        <v>4.0</v>
      </c>
      <c r="O1084" s="27">
        <v>1.0</v>
      </c>
      <c r="P1084" s="27"/>
      <c r="Q1084" s="46">
        <v>1.0</v>
      </c>
      <c r="R1084" s="33"/>
      <c r="S1084" s="33"/>
      <c r="T1084" s="34">
        <f t="shared" si="51"/>
        <v>6</v>
      </c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28"/>
      <c r="AE1084" s="28"/>
      <c r="AF1084" s="28"/>
      <c r="AG1084" s="28"/>
      <c r="AH1084" s="28"/>
      <c r="AI1084" s="28"/>
    </row>
    <row r="1085" ht="15.75" customHeight="1">
      <c r="A1085" s="19" t="s">
        <v>1323</v>
      </c>
      <c r="B1085" s="35"/>
      <c r="C1085" s="16"/>
      <c r="D1085" s="17"/>
      <c r="E1085" s="18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35"/>
      <c r="R1085" s="35"/>
      <c r="S1085" s="35"/>
      <c r="T1085" s="35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2"/>
      <c r="AI1085" s="22"/>
    </row>
    <row r="1086" ht="15.75" customHeight="1">
      <c r="A1086" s="19" t="s">
        <v>1324</v>
      </c>
      <c r="B1086" s="17" t="s">
        <v>73</v>
      </c>
      <c r="C1086" s="24" t="s">
        <v>1260</v>
      </c>
      <c r="D1086" s="17"/>
      <c r="E1086" s="18"/>
      <c r="F1086" s="19" t="s">
        <v>74</v>
      </c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7"/>
      <c r="R1086" s="27"/>
      <c r="S1086" s="27"/>
      <c r="T1086" s="14">
        <f t="shared" ref="T1086:T1092" si="52">SUM(I1086:S1086)</f>
        <v>0</v>
      </c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  <c r="AF1086" s="22"/>
      <c r="AG1086" s="22"/>
      <c r="AH1086" s="22"/>
      <c r="AI1086" s="22"/>
    </row>
    <row r="1087" ht="15.75" customHeight="1">
      <c r="A1087" s="27" t="s">
        <v>1325</v>
      </c>
      <c r="B1087" s="27" t="s">
        <v>65</v>
      </c>
      <c r="C1087" s="25" t="s">
        <v>141</v>
      </c>
      <c r="D1087" s="17"/>
      <c r="E1087" s="18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>
        <v>1.0</v>
      </c>
      <c r="S1087" s="27"/>
      <c r="T1087" s="14">
        <f t="shared" si="52"/>
        <v>1</v>
      </c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28"/>
      <c r="AE1087" s="28"/>
      <c r="AF1087" s="28"/>
      <c r="AG1087" s="28"/>
      <c r="AH1087" s="28"/>
      <c r="AI1087" s="28"/>
    </row>
    <row r="1088" ht="15.75" customHeight="1">
      <c r="A1088" s="14" t="s">
        <v>1326</v>
      </c>
      <c r="B1088" s="19" t="s">
        <v>62</v>
      </c>
      <c r="C1088" s="16"/>
      <c r="D1088" s="17"/>
      <c r="E1088" s="18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>
        <v>1.0</v>
      </c>
      <c r="P1088" s="14"/>
      <c r="Q1088" s="14"/>
      <c r="R1088" s="14"/>
      <c r="S1088" s="14"/>
      <c r="T1088" s="14">
        <f t="shared" si="52"/>
        <v>1</v>
      </c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F1088" s="22"/>
      <c r="AG1088" s="22"/>
      <c r="AH1088" s="22"/>
      <c r="AI1088" s="22"/>
    </row>
    <row r="1089" ht="15.75" customHeight="1">
      <c r="A1089" s="27" t="s">
        <v>1327</v>
      </c>
      <c r="B1089" s="27" t="s">
        <v>338</v>
      </c>
      <c r="C1089" s="25"/>
      <c r="D1089" s="17"/>
      <c r="E1089" s="18"/>
      <c r="F1089" s="27"/>
      <c r="G1089" s="27"/>
      <c r="H1089" s="27"/>
      <c r="I1089" s="27"/>
      <c r="J1089" s="27"/>
      <c r="K1089" s="27"/>
      <c r="L1089" s="27">
        <v>2.0</v>
      </c>
      <c r="M1089" s="27">
        <v>1.0</v>
      </c>
      <c r="N1089" s="27">
        <v>1.0</v>
      </c>
      <c r="O1089" s="27"/>
      <c r="P1089" s="27"/>
      <c r="Q1089" s="27"/>
      <c r="R1089" s="17">
        <v>1.0</v>
      </c>
      <c r="S1089" s="17"/>
      <c r="T1089" s="14">
        <f t="shared" si="52"/>
        <v>5</v>
      </c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28"/>
      <c r="AE1089" s="28"/>
      <c r="AF1089" s="28"/>
      <c r="AG1089" s="28"/>
      <c r="AH1089" s="28"/>
      <c r="AI1089" s="28"/>
    </row>
    <row r="1090" ht="15.75" customHeight="1">
      <c r="A1090" s="14" t="s">
        <v>1328</v>
      </c>
      <c r="B1090" s="19" t="s">
        <v>62</v>
      </c>
      <c r="C1090" s="16"/>
      <c r="D1090" s="17"/>
      <c r="E1090" s="18"/>
      <c r="F1090" s="14"/>
      <c r="G1090" s="14"/>
      <c r="H1090" s="14"/>
      <c r="I1090" s="14"/>
      <c r="J1090" s="14"/>
      <c r="K1090" s="14"/>
      <c r="L1090" s="14"/>
      <c r="M1090" s="14"/>
      <c r="N1090" s="14">
        <v>2.0</v>
      </c>
      <c r="O1090" s="14">
        <v>3.0</v>
      </c>
      <c r="P1090" s="14">
        <v>1.0</v>
      </c>
      <c r="Q1090" s="14"/>
      <c r="R1090" s="14"/>
      <c r="S1090" s="14"/>
      <c r="T1090" s="14">
        <f t="shared" si="52"/>
        <v>6</v>
      </c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F1090" s="22"/>
      <c r="AG1090" s="22"/>
      <c r="AH1090" s="22"/>
      <c r="AI1090" s="22"/>
    </row>
    <row r="1091" ht="15.75" customHeight="1">
      <c r="A1091" s="27" t="s">
        <v>1329</v>
      </c>
      <c r="B1091" s="17" t="s">
        <v>85</v>
      </c>
      <c r="C1091" s="25"/>
      <c r="D1091" s="17"/>
      <c r="E1091" s="18"/>
      <c r="F1091" s="27"/>
      <c r="G1091" s="27"/>
      <c r="H1091" s="27"/>
      <c r="I1091" s="27"/>
      <c r="J1091" s="27"/>
      <c r="K1091" s="27"/>
      <c r="L1091" s="27"/>
      <c r="M1091" s="27">
        <v>1.0</v>
      </c>
      <c r="N1091" s="27"/>
      <c r="O1091" s="27"/>
      <c r="P1091" s="27">
        <v>1.0</v>
      </c>
      <c r="Q1091" s="27"/>
      <c r="R1091" s="27"/>
      <c r="S1091" s="27"/>
      <c r="T1091" s="14">
        <f t="shared" si="52"/>
        <v>2</v>
      </c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28"/>
      <c r="AE1091" s="28"/>
      <c r="AF1091" s="28"/>
      <c r="AG1091" s="28"/>
      <c r="AH1091" s="28"/>
      <c r="AI1091" s="28"/>
    </row>
    <row r="1092" ht="15.75" customHeight="1">
      <c r="A1092" s="14" t="s">
        <v>1330</v>
      </c>
      <c r="B1092" s="40" t="s">
        <v>276</v>
      </c>
      <c r="C1092" s="16"/>
      <c r="D1092" s="17"/>
      <c r="E1092" s="18"/>
      <c r="F1092" s="14"/>
      <c r="G1092" s="14"/>
      <c r="H1092" s="14"/>
      <c r="I1092" s="14"/>
      <c r="J1092" s="14"/>
      <c r="K1092" s="14"/>
      <c r="L1092" s="14">
        <v>1.0</v>
      </c>
      <c r="M1092" s="14">
        <v>3.0</v>
      </c>
      <c r="N1092" s="14">
        <v>1.0</v>
      </c>
      <c r="O1092" s="14">
        <v>1.0</v>
      </c>
      <c r="P1092" s="14"/>
      <c r="Q1092" s="34"/>
      <c r="R1092" s="34"/>
      <c r="S1092" s="40">
        <v>1.0</v>
      </c>
      <c r="T1092" s="34">
        <f t="shared" si="52"/>
        <v>7</v>
      </c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F1092" s="22"/>
      <c r="AG1092" s="22"/>
      <c r="AH1092" s="22"/>
      <c r="AI1092" s="22"/>
    </row>
    <row r="1093" ht="15.75" customHeight="1">
      <c r="A1093" s="27" t="s">
        <v>1331</v>
      </c>
      <c r="B1093" s="41"/>
      <c r="C1093" s="25"/>
      <c r="D1093" s="17"/>
      <c r="E1093" s="18"/>
      <c r="F1093" s="51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41"/>
      <c r="R1093" s="41"/>
      <c r="S1093" s="41"/>
      <c r="T1093" s="41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28"/>
      <c r="AE1093" s="28"/>
      <c r="AF1093" s="28"/>
      <c r="AG1093" s="28"/>
      <c r="AH1093" s="28"/>
      <c r="AI1093" s="28"/>
    </row>
    <row r="1094" ht="15.75" customHeight="1">
      <c r="A1094" s="19" t="s">
        <v>1332</v>
      </c>
      <c r="B1094" s="35"/>
      <c r="C1094" s="16"/>
      <c r="D1094" s="17"/>
      <c r="E1094" s="18"/>
      <c r="F1094" s="67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41"/>
      <c r="R1094" s="41"/>
      <c r="S1094" s="41"/>
      <c r="T1094" s="35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  <c r="AG1094" s="22"/>
      <c r="AH1094" s="22"/>
      <c r="AI1094" s="22"/>
    </row>
    <row r="1095" ht="15.75" customHeight="1">
      <c r="A1095" s="27" t="s">
        <v>1333</v>
      </c>
      <c r="B1095" s="27" t="s">
        <v>38</v>
      </c>
      <c r="C1095" s="25"/>
      <c r="D1095" s="17"/>
      <c r="E1095" s="18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>
        <v>1.0</v>
      </c>
      <c r="Q1095" s="27"/>
      <c r="R1095" s="27"/>
      <c r="S1095" s="27"/>
      <c r="T1095" s="14">
        <f t="shared" ref="T1095:T1100" si="53">SUM(I1095:S1095)</f>
        <v>1</v>
      </c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28"/>
      <c r="AE1095" s="28"/>
      <c r="AF1095" s="28"/>
      <c r="AG1095" s="28"/>
      <c r="AH1095" s="28"/>
      <c r="AI1095" s="28"/>
    </row>
    <row r="1096" ht="15.75" customHeight="1">
      <c r="A1096" s="19" t="s">
        <v>1334</v>
      </c>
      <c r="B1096" s="14" t="s">
        <v>38</v>
      </c>
      <c r="C1096" s="16"/>
      <c r="D1096" s="17"/>
      <c r="E1096" s="18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>
        <v>1.0</v>
      </c>
      <c r="Q1096" s="14"/>
      <c r="R1096" s="14"/>
      <c r="S1096" s="14"/>
      <c r="T1096" s="14">
        <f t="shared" si="53"/>
        <v>1</v>
      </c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F1096" s="22"/>
      <c r="AG1096" s="22"/>
      <c r="AH1096" s="22"/>
      <c r="AI1096" s="22"/>
    </row>
    <row r="1097" ht="15.75" customHeight="1">
      <c r="A1097" s="27" t="s">
        <v>1335</v>
      </c>
      <c r="B1097" s="17" t="s">
        <v>85</v>
      </c>
      <c r="C1097" s="25"/>
      <c r="D1097" s="17"/>
      <c r="E1097" s="18"/>
      <c r="F1097" s="51"/>
      <c r="G1097" s="27"/>
      <c r="H1097" s="27"/>
      <c r="I1097" s="27"/>
      <c r="J1097" s="27"/>
      <c r="K1097" s="27">
        <v>1.0</v>
      </c>
      <c r="L1097" s="27">
        <v>3.0</v>
      </c>
      <c r="M1097" s="27"/>
      <c r="N1097" s="27"/>
      <c r="O1097" s="27"/>
      <c r="P1097" s="27"/>
      <c r="Q1097" s="27"/>
      <c r="R1097" s="27"/>
      <c r="S1097" s="27"/>
      <c r="T1097" s="14">
        <f t="shared" si="53"/>
        <v>4</v>
      </c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28"/>
      <c r="AE1097" s="28"/>
      <c r="AF1097" s="28"/>
      <c r="AG1097" s="28"/>
      <c r="AH1097" s="28"/>
      <c r="AI1097" s="28"/>
    </row>
    <row r="1098" ht="15.75" customHeight="1">
      <c r="A1098" s="19" t="s">
        <v>1336</v>
      </c>
      <c r="B1098" s="19" t="s">
        <v>107</v>
      </c>
      <c r="C1098" s="16"/>
      <c r="D1098" s="17"/>
      <c r="E1098" s="18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34"/>
      <c r="R1098" s="34"/>
      <c r="S1098" s="34"/>
      <c r="T1098" s="14">
        <f t="shared" si="53"/>
        <v>0</v>
      </c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2"/>
    </row>
    <row r="1099" ht="15.75" customHeight="1">
      <c r="A1099" s="19" t="s">
        <v>1337</v>
      </c>
      <c r="B1099" s="19" t="s">
        <v>42</v>
      </c>
      <c r="C1099" s="16"/>
      <c r="D1099" s="17"/>
      <c r="E1099" s="18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34"/>
      <c r="R1099" s="34"/>
      <c r="S1099" s="34"/>
      <c r="T1099" s="14">
        <f t="shared" si="53"/>
        <v>0</v>
      </c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F1099" s="22"/>
      <c r="AG1099" s="22"/>
      <c r="AH1099" s="22"/>
      <c r="AI1099" s="22"/>
    </row>
    <row r="1100" ht="15.75" customHeight="1">
      <c r="A1100" s="14" t="s">
        <v>1338</v>
      </c>
      <c r="B1100" s="19" t="s">
        <v>21</v>
      </c>
      <c r="C1100" s="16"/>
      <c r="D1100" s="17"/>
      <c r="E1100" s="18"/>
      <c r="F1100" s="14"/>
      <c r="G1100" s="14"/>
      <c r="H1100" s="14"/>
      <c r="I1100" s="14"/>
      <c r="J1100" s="14"/>
      <c r="K1100" s="14"/>
      <c r="L1100" s="34"/>
      <c r="M1100" s="34">
        <v>1.0</v>
      </c>
      <c r="N1100" s="34"/>
      <c r="O1100" s="34"/>
      <c r="P1100" s="34"/>
      <c r="Q1100" s="34"/>
      <c r="R1100" s="40">
        <v>1.0</v>
      </c>
      <c r="S1100" s="40"/>
      <c r="T1100" s="34">
        <f t="shared" si="53"/>
        <v>2</v>
      </c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2"/>
      <c r="AI1100" s="22"/>
    </row>
    <row r="1101" ht="15.75" customHeight="1">
      <c r="A1101" s="17" t="s">
        <v>1339</v>
      </c>
      <c r="B1101" s="17" t="s">
        <v>21</v>
      </c>
      <c r="C1101" s="25"/>
      <c r="D1101" s="17"/>
      <c r="E1101" s="18"/>
      <c r="F1101" s="27"/>
      <c r="G1101" s="27"/>
      <c r="H1101" s="27"/>
      <c r="I1101" s="27"/>
      <c r="J1101" s="27"/>
      <c r="K1101" s="27"/>
      <c r="L1101" s="41"/>
      <c r="M1101" s="41"/>
      <c r="N1101" s="41"/>
      <c r="O1101" s="41"/>
      <c r="P1101" s="41"/>
      <c r="Q1101" s="41"/>
      <c r="R1101" s="41"/>
      <c r="S1101" s="41"/>
      <c r="T1101" s="41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28"/>
      <c r="AE1101" s="28"/>
      <c r="AF1101" s="28"/>
      <c r="AG1101" s="28"/>
      <c r="AH1101" s="28"/>
      <c r="AI1101" s="28"/>
    </row>
    <row r="1102" ht="15.75" customHeight="1">
      <c r="A1102" s="14" t="s">
        <v>1340</v>
      </c>
      <c r="B1102" s="19" t="s">
        <v>21</v>
      </c>
      <c r="C1102" s="16"/>
      <c r="D1102" s="17"/>
      <c r="E1102" s="18"/>
      <c r="F1102" s="14"/>
      <c r="G1102" s="14"/>
      <c r="H1102" s="14"/>
      <c r="I1102" s="14"/>
      <c r="J1102" s="14"/>
      <c r="K1102" s="14"/>
      <c r="L1102" s="35"/>
      <c r="M1102" s="35"/>
      <c r="N1102" s="35"/>
      <c r="O1102" s="35"/>
      <c r="P1102" s="35"/>
      <c r="Q1102" s="41"/>
      <c r="R1102" s="41"/>
      <c r="S1102" s="41"/>
      <c r="T1102" s="35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2"/>
    </row>
    <row r="1103" ht="15.75" customHeight="1">
      <c r="A1103" s="27" t="s">
        <v>1341</v>
      </c>
      <c r="B1103" s="17" t="s">
        <v>225</v>
      </c>
      <c r="C1103" s="25"/>
      <c r="D1103" s="17"/>
      <c r="E1103" s="18"/>
      <c r="F1103" s="27"/>
      <c r="G1103" s="27" t="s">
        <v>40</v>
      </c>
      <c r="H1103" s="27"/>
      <c r="I1103" s="27"/>
      <c r="J1103" s="27">
        <v>1.0</v>
      </c>
      <c r="K1103" s="27"/>
      <c r="L1103" s="27"/>
      <c r="M1103" s="27">
        <v>1.0</v>
      </c>
      <c r="N1103" s="27"/>
      <c r="O1103" s="27"/>
      <c r="P1103" s="27">
        <v>1.0</v>
      </c>
      <c r="Q1103" s="27"/>
      <c r="R1103" s="27"/>
      <c r="S1103" s="27"/>
      <c r="T1103" s="14">
        <f t="shared" ref="T1103:T1114" si="54">SUM(I1103:S1103)</f>
        <v>3</v>
      </c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28"/>
      <c r="AE1103" s="28"/>
      <c r="AF1103" s="28"/>
      <c r="AG1103" s="28"/>
      <c r="AH1103" s="28"/>
      <c r="AI1103" s="28"/>
    </row>
    <row r="1104" ht="15.75" customHeight="1">
      <c r="A1104" s="15" t="s">
        <v>1342</v>
      </c>
      <c r="B1104" s="19" t="s">
        <v>42</v>
      </c>
      <c r="C1104" s="16"/>
      <c r="D1104" s="17"/>
      <c r="E1104" s="18"/>
      <c r="F1104" s="67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>
        <f t="shared" si="54"/>
        <v>0</v>
      </c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2"/>
      <c r="AI1104" s="22"/>
    </row>
    <row r="1105" ht="15.75" customHeight="1">
      <c r="A1105" s="45" t="s">
        <v>1343</v>
      </c>
      <c r="B1105" s="19" t="s">
        <v>155</v>
      </c>
      <c r="C1105" s="16"/>
      <c r="D1105" s="17"/>
      <c r="E1105" s="18"/>
      <c r="F1105" s="67"/>
      <c r="G1105" s="14"/>
      <c r="H1105" s="14"/>
      <c r="I1105" s="14"/>
      <c r="J1105" s="14"/>
      <c r="K1105" s="14"/>
      <c r="L1105" s="14">
        <v>6.0</v>
      </c>
      <c r="M1105" s="14">
        <v>1.0</v>
      </c>
      <c r="N1105" s="14"/>
      <c r="O1105" s="14"/>
      <c r="P1105" s="14"/>
      <c r="Q1105" s="14"/>
      <c r="R1105" s="14"/>
      <c r="S1105" s="14"/>
      <c r="T1105" s="14">
        <f t="shared" si="54"/>
        <v>7</v>
      </c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2"/>
      <c r="AI1105" s="22"/>
    </row>
    <row r="1106" ht="15.75" customHeight="1">
      <c r="A1106" s="15" t="s">
        <v>1344</v>
      </c>
      <c r="B1106" s="17" t="s">
        <v>107</v>
      </c>
      <c r="C1106" s="30" t="s">
        <v>158</v>
      </c>
      <c r="D1106" s="17" t="s">
        <v>1345</v>
      </c>
      <c r="E1106" s="18">
        <v>45948.0</v>
      </c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17">
        <v>2.0</v>
      </c>
      <c r="S1106" s="17">
        <v>1.0</v>
      </c>
      <c r="T1106" s="14">
        <f t="shared" si="54"/>
        <v>3</v>
      </c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28"/>
      <c r="AE1106" s="28"/>
      <c r="AF1106" s="28"/>
      <c r="AG1106" s="28"/>
      <c r="AH1106" s="28"/>
      <c r="AI1106" s="28"/>
    </row>
    <row r="1107" ht="15.75" customHeight="1">
      <c r="A1107" s="49" t="s">
        <v>1346</v>
      </c>
      <c r="B1107" s="27" t="s">
        <v>202</v>
      </c>
      <c r="C1107" s="25"/>
      <c r="D1107" s="17"/>
      <c r="E1107" s="18"/>
      <c r="F1107" s="27"/>
      <c r="G1107" s="27"/>
      <c r="H1107" s="27"/>
      <c r="I1107" s="27"/>
      <c r="J1107" s="27"/>
      <c r="K1107" s="27"/>
      <c r="L1107" s="27">
        <v>2.0</v>
      </c>
      <c r="M1107" s="27">
        <v>1.0</v>
      </c>
      <c r="N1107" s="27"/>
      <c r="O1107" s="27"/>
      <c r="P1107" s="27"/>
      <c r="Q1107" s="27"/>
      <c r="R1107" s="27"/>
      <c r="S1107" s="27"/>
      <c r="T1107" s="14">
        <f t="shared" si="54"/>
        <v>3</v>
      </c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28"/>
      <c r="AE1107" s="28"/>
      <c r="AF1107" s="28"/>
      <c r="AG1107" s="28"/>
      <c r="AH1107" s="28"/>
      <c r="AI1107" s="28"/>
    </row>
    <row r="1108" ht="15.75" customHeight="1">
      <c r="A1108" s="37" t="s">
        <v>1347</v>
      </c>
      <c r="B1108" s="17" t="s">
        <v>73</v>
      </c>
      <c r="C1108" s="30" t="s">
        <v>32</v>
      </c>
      <c r="D1108" s="17"/>
      <c r="E1108" s="18"/>
      <c r="F1108" s="17" t="s">
        <v>74</v>
      </c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14">
        <f t="shared" si="54"/>
        <v>0</v>
      </c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28"/>
      <c r="AE1108" s="28"/>
      <c r="AF1108" s="28"/>
      <c r="AG1108" s="28"/>
      <c r="AH1108" s="28"/>
      <c r="AI1108" s="28"/>
    </row>
    <row r="1109" ht="15.75" customHeight="1">
      <c r="A1109" s="14" t="s">
        <v>1348</v>
      </c>
      <c r="B1109" s="19" t="s">
        <v>263</v>
      </c>
      <c r="C1109" s="16"/>
      <c r="D1109" s="17"/>
      <c r="E1109" s="18"/>
      <c r="F1109" s="14"/>
      <c r="G1109" s="14"/>
      <c r="H1109" s="14"/>
      <c r="I1109" s="14"/>
      <c r="J1109" s="14"/>
      <c r="K1109" s="14"/>
      <c r="L1109" s="14">
        <v>1.0</v>
      </c>
      <c r="M1109" s="14"/>
      <c r="N1109" s="14"/>
      <c r="O1109" s="14"/>
      <c r="P1109" s="14"/>
      <c r="Q1109" s="14"/>
      <c r="R1109" s="14"/>
      <c r="S1109" s="14"/>
      <c r="T1109" s="14">
        <f t="shared" si="54"/>
        <v>1</v>
      </c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2"/>
    </row>
    <row r="1110" ht="15.75" customHeight="1">
      <c r="A1110" s="27" t="s">
        <v>1349</v>
      </c>
      <c r="B1110" s="27" t="s">
        <v>46</v>
      </c>
      <c r="C1110" s="25"/>
      <c r="D1110" s="17"/>
      <c r="E1110" s="18"/>
      <c r="F1110" s="27"/>
      <c r="G1110" s="27"/>
      <c r="H1110" s="27"/>
      <c r="I1110" s="27"/>
      <c r="J1110" s="27"/>
      <c r="K1110" s="27">
        <v>1.0</v>
      </c>
      <c r="L1110" s="27">
        <v>1.0</v>
      </c>
      <c r="M1110" s="27"/>
      <c r="N1110" s="27">
        <v>1.0</v>
      </c>
      <c r="O1110" s="27">
        <v>1.0</v>
      </c>
      <c r="P1110" s="27"/>
      <c r="Q1110" s="27"/>
      <c r="R1110" s="27"/>
      <c r="S1110" s="17">
        <v>1.0</v>
      </c>
      <c r="T1110" s="14">
        <f t="shared" si="54"/>
        <v>5</v>
      </c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28"/>
      <c r="AE1110" s="28"/>
      <c r="AF1110" s="28"/>
      <c r="AG1110" s="28"/>
      <c r="AH1110" s="28"/>
      <c r="AI1110" s="28"/>
    </row>
    <row r="1111" ht="15.75" customHeight="1">
      <c r="A1111" s="19" t="s">
        <v>1350</v>
      </c>
      <c r="B1111" s="19" t="s">
        <v>176</v>
      </c>
      <c r="C1111" s="16"/>
      <c r="D1111" s="17"/>
      <c r="E1111" s="18"/>
      <c r="F1111" s="14"/>
      <c r="G1111" s="14" t="s">
        <v>40</v>
      </c>
      <c r="H1111" s="14" t="s">
        <v>435</v>
      </c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>
        <f t="shared" si="54"/>
        <v>0</v>
      </c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F1111" s="22"/>
      <c r="AG1111" s="22"/>
      <c r="AH1111" s="22"/>
      <c r="AI1111" s="22"/>
    </row>
    <row r="1112" ht="15.75" customHeight="1">
      <c r="A1112" s="17" t="s">
        <v>1351</v>
      </c>
      <c r="B1112" s="17" t="s">
        <v>21</v>
      </c>
      <c r="C1112" s="30" t="s">
        <v>141</v>
      </c>
      <c r="D1112" s="17"/>
      <c r="E1112" s="18"/>
      <c r="F1112" s="27"/>
      <c r="G1112" s="26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14">
        <f t="shared" si="54"/>
        <v>0</v>
      </c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28"/>
      <c r="AE1112" s="28"/>
      <c r="AF1112" s="28"/>
      <c r="AG1112" s="28"/>
      <c r="AH1112" s="28"/>
      <c r="AI1112" s="28"/>
    </row>
    <row r="1113" ht="15.75" customHeight="1">
      <c r="A1113" s="27" t="s">
        <v>1352</v>
      </c>
      <c r="B1113" s="17" t="s">
        <v>206</v>
      </c>
      <c r="C1113" s="25"/>
      <c r="D1113" s="17"/>
      <c r="E1113" s="18"/>
      <c r="F1113" s="27"/>
      <c r="G1113" s="26"/>
      <c r="H1113" s="27"/>
      <c r="I1113" s="27"/>
      <c r="J1113" s="27"/>
      <c r="K1113" s="27"/>
      <c r="L1113" s="27"/>
      <c r="M1113" s="27"/>
      <c r="N1113" s="27"/>
      <c r="O1113" s="27"/>
      <c r="P1113" s="27">
        <v>1.0</v>
      </c>
      <c r="Q1113" s="27"/>
      <c r="R1113" s="17">
        <v>1.0</v>
      </c>
      <c r="S1113" s="17"/>
      <c r="T1113" s="14">
        <f t="shared" si="54"/>
        <v>2</v>
      </c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28"/>
      <c r="AE1113" s="28"/>
      <c r="AF1113" s="28"/>
      <c r="AG1113" s="28"/>
      <c r="AH1113" s="28"/>
      <c r="AI1113" s="28"/>
    </row>
    <row r="1114" ht="15.75" customHeight="1">
      <c r="A1114" s="14" t="s">
        <v>1353</v>
      </c>
      <c r="B1114" s="19" t="s">
        <v>125</v>
      </c>
      <c r="C1114" s="16"/>
      <c r="D1114" s="17"/>
      <c r="E1114" s="48"/>
      <c r="F1114" s="14"/>
      <c r="G1114" s="20"/>
      <c r="H1114" s="14"/>
      <c r="I1114" s="14"/>
      <c r="J1114" s="14"/>
      <c r="K1114" s="14"/>
      <c r="L1114" s="14"/>
      <c r="M1114" s="14">
        <v>1.0</v>
      </c>
      <c r="N1114" s="14">
        <v>2.0</v>
      </c>
      <c r="O1114" s="14">
        <v>1.0</v>
      </c>
      <c r="P1114" s="14"/>
      <c r="Q1114" s="40">
        <v>3.0</v>
      </c>
      <c r="R1114" s="40">
        <v>1.0</v>
      </c>
      <c r="S1114" s="40">
        <v>1.0</v>
      </c>
      <c r="T1114" s="34">
        <f t="shared" si="54"/>
        <v>9</v>
      </c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2"/>
    </row>
    <row r="1115" ht="15.75" customHeight="1">
      <c r="A1115" s="27" t="s">
        <v>1353</v>
      </c>
      <c r="B1115" s="17" t="s">
        <v>125</v>
      </c>
      <c r="C1115" s="25"/>
      <c r="D1115" s="17"/>
      <c r="E1115" s="102"/>
      <c r="F1115" s="27"/>
      <c r="G1115" s="26"/>
      <c r="H1115" s="27"/>
      <c r="I1115" s="27"/>
      <c r="J1115" s="27"/>
      <c r="K1115" s="27"/>
      <c r="L1115" s="27"/>
      <c r="M1115" s="27"/>
      <c r="N1115" s="27"/>
      <c r="O1115" s="27"/>
      <c r="P1115" s="27"/>
      <c r="Q1115" s="35"/>
      <c r="R1115" s="35"/>
      <c r="S1115" s="35"/>
      <c r="T1115" s="35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28"/>
      <c r="AE1115" s="28"/>
      <c r="AF1115" s="28"/>
      <c r="AG1115" s="28"/>
      <c r="AH1115" s="28"/>
      <c r="AI1115" s="28"/>
    </row>
    <row r="1116" ht="15.75" customHeight="1">
      <c r="A1116" s="17" t="s">
        <v>1354</v>
      </c>
      <c r="B1116" s="17" t="s">
        <v>87</v>
      </c>
      <c r="C1116" s="25"/>
      <c r="D1116" s="17"/>
      <c r="E1116" s="18"/>
      <c r="F1116" s="27"/>
      <c r="G1116" s="26"/>
      <c r="H1116" s="27"/>
      <c r="I1116" s="27"/>
      <c r="J1116" s="27">
        <v>1.0</v>
      </c>
      <c r="K1116" s="27"/>
      <c r="L1116" s="27"/>
      <c r="M1116" s="27"/>
      <c r="N1116" s="27"/>
      <c r="O1116" s="27"/>
      <c r="P1116" s="27">
        <v>1.0</v>
      </c>
      <c r="Q1116" s="27"/>
      <c r="R1116" s="27"/>
      <c r="S1116" s="27"/>
      <c r="T1116" s="14">
        <f t="shared" ref="T1116:T1151" si="55">SUM(I1116:S1116)</f>
        <v>2</v>
      </c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28"/>
      <c r="AE1116" s="28"/>
      <c r="AF1116" s="28"/>
      <c r="AG1116" s="28"/>
      <c r="AH1116" s="28"/>
      <c r="AI1116" s="28"/>
    </row>
    <row r="1117" ht="15.75" customHeight="1">
      <c r="A1117" s="19" t="s">
        <v>1355</v>
      </c>
      <c r="B1117" s="19" t="s">
        <v>107</v>
      </c>
      <c r="C1117" s="16"/>
      <c r="D1117" s="47" t="s">
        <v>1345</v>
      </c>
      <c r="E1117" s="48">
        <v>45948.0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9">
        <v>1.0</v>
      </c>
      <c r="R1117" s="14"/>
      <c r="S1117" s="19">
        <v>2.0</v>
      </c>
      <c r="T1117" s="14">
        <f t="shared" si="55"/>
        <v>3</v>
      </c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  <c r="AF1117" s="22"/>
      <c r="AG1117" s="22"/>
      <c r="AH1117" s="22"/>
      <c r="AI1117" s="22"/>
    </row>
    <row r="1118" ht="15.75" customHeight="1">
      <c r="A1118" s="14" t="s">
        <v>1356</v>
      </c>
      <c r="B1118" s="19" t="s">
        <v>173</v>
      </c>
      <c r="C1118" s="16"/>
      <c r="D1118" s="17"/>
      <c r="E1118" s="48"/>
      <c r="F1118" s="14"/>
      <c r="G1118" s="14"/>
      <c r="H1118" s="14" t="s">
        <v>1357</v>
      </c>
      <c r="I1118" s="14"/>
      <c r="J1118" s="14"/>
      <c r="K1118" s="14">
        <v>4.0</v>
      </c>
      <c r="L1118" s="14">
        <v>1.0</v>
      </c>
      <c r="M1118" s="14">
        <v>2.0</v>
      </c>
      <c r="N1118" s="14"/>
      <c r="O1118" s="14">
        <v>3.0</v>
      </c>
      <c r="P1118" s="14"/>
      <c r="Q1118" s="19">
        <v>1.0</v>
      </c>
      <c r="R1118" s="14"/>
      <c r="S1118" s="14"/>
      <c r="T1118" s="14">
        <f t="shared" si="55"/>
        <v>11</v>
      </c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2"/>
      <c r="AI1118" s="22"/>
    </row>
    <row r="1119" ht="15.75" customHeight="1">
      <c r="A1119" s="19" t="s">
        <v>1358</v>
      </c>
      <c r="B1119" s="19" t="s">
        <v>73</v>
      </c>
      <c r="C1119" s="24" t="s">
        <v>269</v>
      </c>
      <c r="D1119" s="17"/>
      <c r="E1119" s="48"/>
      <c r="F1119" s="19" t="s">
        <v>74</v>
      </c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9"/>
      <c r="R1119" s="14"/>
      <c r="S1119" s="14"/>
      <c r="T1119" s="14">
        <f t="shared" si="55"/>
        <v>0</v>
      </c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  <c r="AF1119" s="22"/>
      <c r="AG1119" s="22"/>
      <c r="AH1119" s="22"/>
      <c r="AI1119" s="22"/>
    </row>
    <row r="1120" ht="15.75" customHeight="1">
      <c r="A1120" s="17" t="s">
        <v>1359</v>
      </c>
      <c r="B1120" s="17" t="s">
        <v>152</v>
      </c>
      <c r="C1120" s="25"/>
      <c r="D1120" s="17"/>
      <c r="E1120" s="18"/>
      <c r="F1120" s="27"/>
      <c r="G1120" s="26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14">
        <f t="shared" si="55"/>
        <v>0</v>
      </c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28"/>
      <c r="AE1120" s="28"/>
      <c r="AF1120" s="28"/>
      <c r="AG1120" s="28"/>
      <c r="AH1120" s="28"/>
      <c r="AI1120" s="28"/>
    </row>
    <row r="1121" ht="15.75" customHeight="1">
      <c r="A1121" s="17" t="s">
        <v>1360</v>
      </c>
      <c r="B1121" s="17" t="s">
        <v>187</v>
      </c>
      <c r="C1121" s="25"/>
      <c r="D1121" s="17"/>
      <c r="E1121" s="18"/>
      <c r="F1121" s="27"/>
      <c r="G1121" s="26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14"/>
      <c r="S1121" s="19">
        <v>1.0</v>
      </c>
      <c r="T1121" s="14">
        <f t="shared" si="55"/>
        <v>1</v>
      </c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28"/>
      <c r="AE1121" s="28"/>
      <c r="AF1121" s="28"/>
      <c r="AG1121" s="28"/>
      <c r="AH1121" s="28"/>
      <c r="AI1121" s="28"/>
    </row>
    <row r="1122" ht="15.75" customHeight="1">
      <c r="A1122" s="19" t="s">
        <v>1361</v>
      </c>
      <c r="B1122" s="17" t="s">
        <v>214</v>
      </c>
      <c r="C1122" s="30" t="s">
        <v>141</v>
      </c>
      <c r="D1122" s="17"/>
      <c r="E1122" s="18"/>
      <c r="F1122" s="27"/>
      <c r="G1122" s="26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17">
        <v>1.0</v>
      </c>
      <c r="S1122" s="17"/>
      <c r="T1122" s="14">
        <f t="shared" si="55"/>
        <v>1</v>
      </c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28"/>
      <c r="AE1122" s="28"/>
      <c r="AF1122" s="28"/>
      <c r="AG1122" s="28"/>
      <c r="AH1122" s="28"/>
      <c r="AI1122" s="28"/>
    </row>
    <row r="1123" ht="15.75" customHeight="1">
      <c r="A1123" s="27" t="s">
        <v>1362</v>
      </c>
      <c r="B1123" s="17" t="s">
        <v>198</v>
      </c>
      <c r="C1123" s="25"/>
      <c r="D1123" s="17"/>
      <c r="E1123" s="18"/>
      <c r="F1123" s="27"/>
      <c r="G1123" s="26"/>
      <c r="H1123" s="27"/>
      <c r="I1123" s="27"/>
      <c r="J1123" s="27"/>
      <c r="K1123" s="27"/>
      <c r="L1123" s="27"/>
      <c r="M1123" s="27">
        <v>3.0</v>
      </c>
      <c r="N1123" s="27">
        <v>3.0</v>
      </c>
      <c r="O1123" s="27">
        <v>3.0</v>
      </c>
      <c r="P1123" s="27"/>
      <c r="Q1123" s="27"/>
      <c r="R1123" s="27"/>
      <c r="S1123" s="27"/>
      <c r="T1123" s="14">
        <f t="shared" si="55"/>
        <v>9</v>
      </c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28"/>
      <c r="AE1123" s="28"/>
      <c r="AF1123" s="28"/>
      <c r="AG1123" s="28"/>
      <c r="AH1123" s="28"/>
      <c r="AI1123" s="28"/>
    </row>
    <row r="1124" ht="15.75" customHeight="1">
      <c r="A1124" s="14" t="s">
        <v>1363</v>
      </c>
      <c r="B1124" s="19" t="s">
        <v>276</v>
      </c>
      <c r="C1124" s="16"/>
      <c r="D1124" s="47"/>
      <c r="E1124" s="18"/>
      <c r="F1124" s="14"/>
      <c r="G1124" s="20"/>
      <c r="H1124" s="14"/>
      <c r="I1124" s="14"/>
      <c r="J1124" s="14"/>
      <c r="K1124" s="14"/>
      <c r="L1124" s="14"/>
      <c r="M1124" s="14">
        <v>3.0</v>
      </c>
      <c r="N1124" s="14">
        <v>4.0</v>
      </c>
      <c r="O1124" s="14">
        <v>4.0</v>
      </c>
      <c r="P1124" s="14">
        <v>1.0</v>
      </c>
      <c r="Q1124" s="19">
        <v>1.0</v>
      </c>
      <c r="R1124" s="19">
        <v>1.0</v>
      </c>
      <c r="S1124" s="19">
        <v>1.0</v>
      </c>
      <c r="T1124" s="14">
        <f t="shared" si="55"/>
        <v>15</v>
      </c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2"/>
    </row>
    <row r="1125" ht="15.75" customHeight="1">
      <c r="A1125" s="27" t="s">
        <v>1364</v>
      </c>
      <c r="B1125" s="17" t="s">
        <v>488</v>
      </c>
      <c r="C1125" s="25"/>
      <c r="D1125" s="17"/>
      <c r="E1125" s="18"/>
      <c r="F1125" s="27"/>
      <c r="G1125" s="26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14">
        <f t="shared" si="55"/>
        <v>0</v>
      </c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28"/>
      <c r="AE1125" s="28"/>
      <c r="AF1125" s="28"/>
      <c r="AG1125" s="28"/>
      <c r="AH1125" s="28"/>
      <c r="AI1125" s="28"/>
    </row>
    <row r="1126" ht="15.75" customHeight="1">
      <c r="A1126" s="19" t="s">
        <v>1365</v>
      </c>
      <c r="B1126" s="19" t="s">
        <v>21</v>
      </c>
      <c r="C1126" s="16"/>
      <c r="D1126" s="17"/>
      <c r="E1126" s="18"/>
      <c r="F1126" s="14"/>
      <c r="G1126" s="20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27"/>
      <c r="S1126" s="27"/>
      <c r="T1126" s="14">
        <f t="shared" si="55"/>
        <v>0</v>
      </c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2"/>
    </row>
    <row r="1127" ht="15.75" customHeight="1">
      <c r="A1127" s="14" t="s">
        <v>1366</v>
      </c>
      <c r="B1127" s="14" t="s">
        <v>136</v>
      </c>
      <c r="C1127" s="16"/>
      <c r="D1127" s="17"/>
      <c r="E1127" s="18"/>
      <c r="F1127" s="14"/>
      <c r="G1127" s="20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>
        <f t="shared" si="55"/>
        <v>0</v>
      </c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F1127" s="22"/>
      <c r="AG1127" s="22"/>
      <c r="AH1127" s="22"/>
      <c r="AI1127" s="22"/>
    </row>
    <row r="1128" ht="15.75" customHeight="1">
      <c r="A1128" s="27" t="s">
        <v>1367</v>
      </c>
      <c r="B1128" s="17" t="s">
        <v>291</v>
      </c>
      <c r="C1128" s="25"/>
      <c r="D1128" s="17"/>
      <c r="E1128" s="18"/>
      <c r="F1128" s="27"/>
      <c r="G1128" s="26"/>
      <c r="H1128" s="27"/>
      <c r="I1128" s="27"/>
      <c r="J1128" s="27"/>
      <c r="K1128" s="27"/>
      <c r="L1128" s="27"/>
      <c r="M1128" s="27"/>
      <c r="N1128" s="27">
        <v>2.0</v>
      </c>
      <c r="O1128" s="27"/>
      <c r="P1128" s="27"/>
      <c r="Q1128" s="27"/>
      <c r="R1128" s="27"/>
      <c r="S1128" s="27"/>
      <c r="T1128" s="14">
        <f t="shared" si="55"/>
        <v>2</v>
      </c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28"/>
      <c r="AE1128" s="28"/>
      <c r="AF1128" s="28"/>
      <c r="AG1128" s="28"/>
      <c r="AH1128" s="28"/>
      <c r="AI1128" s="28"/>
    </row>
    <row r="1129" ht="15.75" customHeight="1">
      <c r="A1129" s="14" t="s">
        <v>1368</v>
      </c>
      <c r="B1129" s="14" t="s">
        <v>46</v>
      </c>
      <c r="C1129" s="16"/>
      <c r="D1129" s="17"/>
      <c r="E1129" s="18"/>
      <c r="F1129" s="14"/>
      <c r="G1129" s="20"/>
      <c r="H1129" s="14"/>
      <c r="I1129" s="14"/>
      <c r="J1129" s="14"/>
      <c r="K1129" s="14"/>
      <c r="L1129" s="14"/>
      <c r="M1129" s="14">
        <v>2.0</v>
      </c>
      <c r="N1129" s="14"/>
      <c r="O1129" s="14"/>
      <c r="P1129" s="14"/>
      <c r="Q1129" s="14"/>
      <c r="R1129" s="14"/>
      <c r="S1129" s="14"/>
      <c r="T1129" s="14">
        <f t="shared" si="55"/>
        <v>2</v>
      </c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  <c r="AF1129" s="22"/>
      <c r="AG1129" s="22"/>
      <c r="AH1129" s="22"/>
      <c r="AI1129" s="22"/>
    </row>
    <row r="1130" ht="15.75" customHeight="1">
      <c r="A1130" s="17" t="s">
        <v>1369</v>
      </c>
      <c r="B1130" s="17" t="s">
        <v>51</v>
      </c>
      <c r="C1130" s="25"/>
      <c r="D1130" s="17"/>
      <c r="E1130" s="18"/>
      <c r="F1130" s="27"/>
      <c r="G1130" s="26"/>
      <c r="H1130" s="27"/>
      <c r="I1130" s="27"/>
      <c r="J1130" s="27"/>
      <c r="K1130" s="27"/>
      <c r="L1130" s="27"/>
      <c r="M1130" s="27"/>
      <c r="N1130" s="27"/>
      <c r="O1130" s="27"/>
      <c r="P1130" s="27"/>
      <c r="Q1130" s="17">
        <v>1.0</v>
      </c>
      <c r="R1130" s="19">
        <v>1.0</v>
      </c>
      <c r="S1130" s="19"/>
      <c r="T1130" s="14">
        <f t="shared" si="55"/>
        <v>2</v>
      </c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28"/>
      <c r="AE1130" s="28"/>
      <c r="AF1130" s="28"/>
      <c r="AG1130" s="28"/>
      <c r="AH1130" s="28"/>
      <c r="AI1130" s="28"/>
    </row>
    <row r="1131" ht="15.75" customHeight="1">
      <c r="A1131" s="17" t="s">
        <v>1370</v>
      </c>
      <c r="B1131" s="17" t="s">
        <v>386</v>
      </c>
      <c r="C1131" s="25"/>
      <c r="D1131" s="17"/>
      <c r="E1131" s="18"/>
      <c r="F1131" s="27"/>
      <c r="G1131" s="26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14"/>
      <c r="S1131" s="14"/>
      <c r="T1131" s="14">
        <f t="shared" si="55"/>
        <v>0</v>
      </c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28"/>
      <c r="AE1131" s="28"/>
      <c r="AF1131" s="28"/>
      <c r="AG1131" s="28"/>
      <c r="AH1131" s="28"/>
      <c r="AI1131" s="28"/>
    </row>
    <row r="1132" ht="15.75" customHeight="1">
      <c r="A1132" s="27" t="s">
        <v>1371</v>
      </c>
      <c r="B1132" s="27" t="s">
        <v>62</v>
      </c>
      <c r="C1132" s="25"/>
      <c r="D1132" s="17"/>
      <c r="E1132" s="18"/>
      <c r="F1132" s="27"/>
      <c r="G1132" s="26"/>
      <c r="H1132" s="27"/>
      <c r="I1132" s="27"/>
      <c r="J1132" s="27">
        <v>2.0</v>
      </c>
      <c r="K1132" s="27"/>
      <c r="L1132" s="27"/>
      <c r="M1132" s="27"/>
      <c r="N1132" s="27"/>
      <c r="O1132" s="27"/>
      <c r="P1132" s="27"/>
      <c r="Q1132" s="27"/>
      <c r="R1132" s="27"/>
      <c r="S1132" s="27"/>
      <c r="T1132" s="14">
        <f t="shared" si="55"/>
        <v>2</v>
      </c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28"/>
      <c r="AE1132" s="28"/>
      <c r="AF1132" s="28"/>
      <c r="AG1132" s="28"/>
      <c r="AH1132" s="28"/>
      <c r="AI1132" s="28"/>
    </row>
    <row r="1133" ht="15.75" customHeight="1">
      <c r="A1133" s="14" t="s">
        <v>1372</v>
      </c>
      <c r="B1133" s="14" t="s">
        <v>46</v>
      </c>
      <c r="C1133" s="16"/>
      <c r="D1133" s="17"/>
      <c r="E1133" s="18"/>
      <c r="F1133" s="14"/>
      <c r="G1133" s="20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>
        <f t="shared" si="55"/>
        <v>0</v>
      </c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2"/>
      <c r="AI1133" s="22"/>
    </row>
    <row r="1134" ht="15.75" customHeight="1">
      <c r="A1134" s="27" t="s">
        <v>1373</v>
      </c>
      <c r="B1134" s="27" t="s">
        <v>619</v>
      </c>
      <c r="C1134" s="25"/>
      <c r="D1134" s="17"/>
      <c r="E1134" s="18"/>
      <c r="F1134" s="27"/>
      <c r="G1134" s="26"/>
      <c r="H1134" s="27"/>
      <c r="I1134" s="27"/>
      <c r="J1134" s="27">
        <v>1.0</v>
      </c>
      <c r="K1134" s="27">
        <v>1.0</v>
      </c>
      <c r="L1134" s="27"/>
      <c r="M1134" s="27"/>
      <c r="N1134" s="27"/>
      <c r="O1134" s="27"/>
      <c r="P1134" s="27"/>
      <c r="Q1134" s="27"/>
      <c r="R1134" s="27"/>
      <c r="S1134" s="27"/>
      <c r="T1134" s="14">
        <f t="shared" si="55"/>
        <v>2</v>
      </c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28"/>
      <c r="AE1134" s="28"/>
      <c r="AF1134" s="28"/>
      <c r="AG1134" s="28"/>
      <c r="AH1134" s="28"/>
      <c r="AI1134" s="28"/>
    </row>
    <row r="1135" ht="15.75" customHeight="1">
      <c r="A1135" s="19" t="s">
        <v>1374</v>
      </c>
      <c r="B1135" s="19" t="s">
        <v>192</v>
      </c>
      <c r="C1135" s="16"/>
      <c r="D1135" s="17"/>
      <c r="E1135" s="18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9">
        <v>4.0</v>
      </c>
      <c r="R1135" s="19">
        <v>1.0</v>
      </c>
      <c r="S1135" s="19">
        <v>2.0</v>
      </c>
      <c r="T1135" s="14">
        <f t="shared" si="55"/>
        <v>7</v>
      </c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2"/>
    </row>
    <row r="1136" ht="15.75" customHeight="1">
      <c r="A1136" s="17" t="s">
        <v>1375</v>
      </c>
      <c r="B1136" s="17" t="s">
        <v>29</v>
      </c>
      <c r="C1136" s="25"/>
      <c r="D1136" s="47"/>
      <c r="E1136" s="48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17">
        <v>2.0</v>
      </c>
      <c r="R1136" s="19">
        <v>2.0</v>
      </c>
      <c r="S1136" s="19">
        <v>1.0</v>
      </c>
      <c r="T1136" s="14">
        <f t="shared" si="55"/>
        <v>5</v>
      </c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28"/>
      <c r="AE1136" s="28"/>
      <c r="AF1136" s="28"/>
      <c r="AG1136" s="28"/>
      <c r="AH1136" s="28"/>
      <c r="AI1136" s="28"/>
    </row>
    <row r="1137" ht="15.75" customHeight="1">
      <c r="A1137" s="17" t="s">
        <v>1376</v>
      </c>
      <c r="B1137" s="17" t="s">
        <v>73</v>
      </c>
      <c r="C1137" s="30" t="s">
        <v>32</v>
      </c>
      <c r="D1137" s="47"/>
      <c r="E1137" s="48"/>
      <c r="F1137" s="17" t="s">
        <v>74</v>
      </c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17"/>
      <c r="R1137" s="19"/>
      <c r="S1137" s="19"/>
      <c r="T1137" s="14">
        <f t="shared" si="55"/>
        <v>0</v>
      </c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28"/>
      <c r="AE1137" s="28"/>
      <c r="AF1137" s="28"/>
      <c r="AG1137" s="28"/>
      <c r="AH1137" s="28"/>
      <c r="AI1137" s="28"/>
    </row>
    <row r="1138" ht="15.75" customHeight="1">
      <c r="A1138" s="17" t="s">
        <v>1377</v>
      </c>
      <c r="B1138" s="17" t="s">
        <v>176</v>
      </c>
      <c r="C1138" s="25"/>
      <c r="D1138" s="17"/>
      <c r="E1138" s="18"/>
      <c r="F1138" s="27"/>
      <c r="G1138" s="27" t="s">
        <v>40</v>
      </c>
      <c r="H1138" s="27" t="s">
        <v>1378</v>
      </c>
      <c r="I1138" s="27"/>
      <c r="J1138" s="27">
        <v>3.0</v>
      </c>
      <c r="K1138" s="27">
        <v>2.0</v>
      </c>
      <c r="L1138" s="27"/>
      <c r="M1138" s="27">
        <v>1.0</v>
      </c>
      <c r="N1138" s="27"/>
      <c r="O1138" s="27">
        <v>1.0</v>
      </c>
      <c r="P1138" s="27">
        <v>1.0</v>
      </c>
      <c r="Q1138" s="17">
        <v>1.0</v>
      </c>
      <c r="R1138" s="17">
        <v>1.0</v>
      </c>
      <c r="S1138" s="17">
        <v>1.0</v>
      </c>
      <c r="T1138" s="14">
        <f t="shared" si="55"/>
        <v>11</v>
      </c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28"/>
      <c r="AE1138" s="28"/>
      <c r="AF1138" s="28"/>
      <c r="AG1138" s="28"/>
      <c r="AH1138" s="28"/>
      <c r="AI1138" s="28"/>
    </row>
    <row r="1139" ht="15.75" customHeight="1">
      <c r="A1139" s="14" t="s">
        <v>1379</v>
      </c>
      <c r="B1139" s="19" t="s">
        <v>176</v>
      </c>
      <c r="C1139" s="16"/>
      <c r="D1139" s="17"/>
      <c r="E1139" s="18"/>
      <c r="F1139" s="14"/>
      <c r="G1139" s="14"/>
      <c r="H1139" s="14"/>
      <c r="I1139" s="14"/>
      <c r="J1139" s="14"/>
      <c r="K1139" s="14"/>
      <c r="L1139" s="14"/>
      <c r="M1139" s="14">
        <v>1.0</v>
      </c>
      <c r="N1139" s="14">
        <v>1.0</v>
      </c>
      <c r="O1139" s="14"/>
      <c r="P1139" s="14"/>
      <c r="Q1139" s="14"/>
      <c r="R1139" s="14"/>
      <c r="S1139" s="19">
        <v>1.0</v>
      </c>
      <c r="T1139" s="14">
        <f t="shared" si="55"/>
        <v>3</v>
      </c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  <c r="AG1139" s="22"/>
      <c r="AH1139" s="22"/>
      <c r="AI1139" s="22"/>
    </row>
    <row r="1140" ht="15.75" customHeight="1">
      <c r="A1140" s="17" t="s">
        <v>1380</v>
      </c>
      <c r="B1140" s="17" t="s">
        <v>176</v>
      </c>
      <c r="C1140" s="25"/>
      <c r="D1140" s="47"/>
      <c r="E1140" s="18"/>
      <c r="F1140" s="51"/>
      <c r="G1140" s="26"/>
      <c r="H1140" s="27"/>
      <c r="I1140" s="27"/>
      <c r="J1140" s="27"/>
      <c r="K1140" s="27"/>
      <c r="L1140" s="27">
        <v>4.0</v>
      </c>
      <c r="M1140" s="27"/>
      <c r="N1140" s="27"/>
      <c r="O1140" s="27">
        <v>1.0</v>
      </c>
      <c r="P1140" s="27">
        <v>2.0</v>
      </c>
      <c r="Q1140" s="17">
        <v>3.0</v>
      </c>
      <c r="R1140" s="27"/>
      <c r="S1140" s="27"/>
      <c r="T1140" s="14">
        <f t="shared" si="55"/>
        <v>10</v>
      </c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28"/>
      <c r="AE1140" s="28"/>
      <c r="AF1140" s="28"/>
      <c r="AG1140" s="28"/>
      <c r="AH1140" s="28"/>
      <c r="AI1140" s="28"/>
    </row>
    <row r="1141" ht="15.75" customHeight="1">
      <c r="A1141" s="19" t="s">
        <v>1381</v>
      </c>
      <c r="B1141" s="19" t="s">
        <v>176</v>
      </c>
      <c r="C1141" s="16"/>
      <c r="D1141" s="17"/>
      <c r="E1141" s="18"/>
      <c r="F1141" s="14"/>
      <c r="G1141" s="20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>
        <f t="shared" si="55"/>
        <v>0</v>
      </c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2"/>
    </row>
    <row r="1142" ht="15.75" customHeight="1">
      <c r="A1142" s="14" t="s">
        <v>1382</v>
      </c>
      <c r="B1142" s="14"/>
      <c r="C1142" s="16"/>
      <c r="D1142" s="17"/>
      <c r="E1142" s="18"/>
      <c r="F1142" s="14"/>
      <c r="G1142" s="20"/>
      <c r="H1142" s="14"/>
      <c r="I1142" s="14"/>
      <c r="J1142" s="14"/>
      <c r="K1142" s="14"/>
      <c r="L1142" s="14"/>
      <c r="M1142" s="14"/>
      <c r="N1142" s="14">
        <v>2.0</v>
      </c>
      <c r="O1142" s="14">
        <v>4.0</v>
      </c>
      <c r="P1142" s="14">
        <v>1.0</v>
      </c>
      <c r="Q1142" s="14"/>
      <c r="R1142" s="14"/>
      <c r="S1142" s="14"/>
      <c r="T1142" s="14">
        <f t="shared" si="55"/>
        <v>7</v>
      </c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  <c r="AF1142" s="22"/>
      <c r="AG1142" s="22"/>
      <c r="AH1142" s="22"/>
      <c r="AI1142" s="22"/>
    </row>
    <row r="1143" ht="15.75" customHeight="1">
      <c r="A1143" s="27" t="s">
        <v>1383</v>
      </c>
      <c r="B1143" s="27" t="s">
        <v>70</v>
      </c>
      <c r="C1143" s="25"/>
      <c r="D1143" s="17"/>
      <c r="E1143" s="18"/>
      <c r="F1143" s="27"/>
      <c r="G1143" s="26"/>
      <c r="H1143" s="27"/>
      <c r="I1143" s="27"/>
      <c r="J1143" s="27"/>
      <c r="K1143" s="27"/>
      <c r="L1143" s="27"/>
      <c r="M1143" s="27"/>
      <c r="N1143" s="27"/>
      <c r="O1143" s="27"/>
      <c r="P1143" s="27">
        <v>2.0</v>
      </c>
      <c r="Q1143" s="27"/>
      <c r="R1143" s="27"/>
      <c r="S1143" s="27"/>
      <c r="T1143" s="14">
        <f t="shared" si="55"/>
        <v>2</v>
      </c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28"/>
      <c r="AE1143" s="28"/>
      <c r="AF1143" s="28"/>
      <c r="AG1143" s="28"/>
      <c r="AH1143" s="28"/>
      <c r="AI1143" s="28"/>
    </row>
    <row r="1144" ht="15.75" customHeight="1">
      <c r="A1144" s="14" t="s">
        <v>1384</v>
      </c>
      <c r="B1144" s="19" t="s">
        <v>291</v>
      </c>
      <c r="C1144" s="16"/>
      <c r="D1144" s="17"/>
      <c r="E1144" s="18"/>
      <c r="F1144" s="14"/>
      <c r="G1144" s="20"/>
      <c r="H1144" s="14"/>
      <c r="I1144" s="14"/>
      <c r="J1144" s="14"/>
      <c r="K1144" s="14"/>
      <c r="L1144" s="14"/>
      <c r="M1144" s="14">
        <v>1.0</v>
      </c>
      <c r="N1144" s="14">
        <v>4.0</v>
      </c>
      <c r="O1144" s="14"/>
      <c r="P1144" s="14">
        <v>1.0</v>
      </c>
      <c r="Q1144" s="14"/>
      <c r="R1144" s="19">
        <v>1.0</v>
      </c>
      <c r="S1144" s="19"/>
      <c r="T1144" s="14">
        <f t="shared" si="55"/>
        <v>7</v>
      </c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2"/>
      <c r="AI1144" s="22"/>
    </row>
    <row r="1145" ht="15.75" customHeight="1">
      <c r="A1145" s="27" t="s">
        <v>1385</v>
      </c>
      <c r="B1145" s="27" t="s">
        <v>256</v>
      </c>
      <c r="C1145" s="25"/>
      <c r="D1145" s="17"/>
      <c r="E1145" s="18"/>
      <c r="F1145" s="27"/>
      <c r="G1145" s="26"/>
      <c r="H1145" s="27"/>
      <c r="I1145" s="27">
        <v>1.0</v>
      </c>
      <c r="J1145" s="27">
        <v>1.0</v>
      </c>
      <c r="K1145" s="27">
        <v>1.0</v>
      </c>
      <c r="L1145" s="27">
        <v>1.0</v>
      </c>
      <c r="M1145" s="27"/>
      <c r="N1145" s="27"/>
      <c r="O1145" s="27"/>
      <c r="P1145" s="27"/>
      <c r="Q1145" s="27"/>
      <c r="R1145" s="27"/>
      <c r="S1145" s="27"/>
      <c r="T1145" s="14">
        <f t="shared" si="55"/>
        <v>4</v>
      </c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28"/>
      <c r="AE1145" s="28"/>
      <c r="AF1145" s="28"/>
      <c r="AG1145" s="28"/>
      <c r="AH1145" s="28"/>
      <c r="AI1145" s="28"/>
    </row>
    <row r="1146" ht="15.75" customHeight="1">
      <c r="A1146" s="14" t="s">
        <v>1386</v>
      </c>
      <c r="B1146" s="19" t="s">
        <v>49</v>
      </c>
      <c r="C1146" s="16"/>
      <c r="D1146" s="17"/>
      <c r="E1146" s="18"/>
      <c r="F1146" s="14"/>
      <c r="G1146" s="20"/>
      <c r="H1146" s="14"/>
      <c r="I1146" s="14"/>
      <c r="J1146" s="14"/>
      <c r="K1146" s="14"/>
      <c r="L1146" s="14"/>
      <c r="M1146" s="14"/>
      <c r="N1146" s="14"/>
      <c r="O1146" s="14"/>
      <c r="P1146" s="14"/>
      <c r="Q1146" s="19">
        <v>1.0</v>
      </c>
      <c r="R1146" s="19">
        <v>1.0</v>
      </c>
      <c r="S1146" s="19"/>
      <c r="T1146" s="14">
        <f t="shared" si="55"/>
        <v>2</v>
      </c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  <c r="AG1146" s="22"/>
      <c r="AH1146" s="22"/>
      <c r="AI1146" s="22"/>
    </row>
    <row r="1147" ht="15.75" customHeight="1">
      <c r="A1147" s="19" t="s">
        <v>1387</v>
      </c>
      <c r="B1147" s="19" t="s">
        <v>152</v>
      </c>
      <c r="C1147" s="16"/>
      <c r="D1147" s="17"/>
      <c r="E1147" s="18"/>
      <c r="F1147" s="14"/>
      <c r="G1147" s="20"/>
      <c r="H1147" s="14"/>
      <c r="I1147" s="14"/>
      <c r="J1147" s="14"/>
      <c r="K1147" s="14"/>
      <c r="L1147" s="14"/>
      <c r="M1147" s="14"/>
      <c r="N1147" s="19">
        <v>3.0</v>
      </c>
      <c r="O1147" s="14"/>
      <c r="P1147" s="14"/>
      <c r="Q1147" s="19"/>
      <c r="R1147" s="19"/>
      <c r="S1147" s="19"/>
      <c r="T1147" s="14">
        <f t="shared" si="55"/>
        <v>3</v>
      </c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2"/>
      <c r="AI1147" s="22"/>
    </row>
    <row r="1148" ht="15.75" customHeight="1">
      <c r="A1148" s="19" t="s">
        <v>1388</v>
      </c>
      <c r="B1148" s="19" t="s">
        <v>90</v>
      </c>
      <c r="C1148" s="16"/>
      <c r="D1148" s="17"/>
      <c r="E1148" s="18"/>
      <c r="F1148" s="14"/>
      <c r="G1148" s="20"/>
      <c r="H1148" s="14"/>
      <c r="I1148" s="14"/>
      <c r="J1148" s="14"/>
      <c r="K1148" s="14"/>
      <c r="L1148" s="14"/>
      <c r="M1148" s="14"/>
      <c r="N1148" s="14"/>
      <c r="O1148" s="14"/>
      <c r="P1148" s="14"/>
      <c r="Q1148" s="19"/>
      <c r="R1148" s="19"/>
      <c r="S1148" s="19"/>
      <c r="T1148" s="14">
        <f t="shared" si="55"/>
        <v>0</v>
      </c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2"/>
      <c r="AI1148" s="22"/>
    </row>
    <row r="1149" ht="15.75" customHeight="1">
      <c r="A1149" s="19" t="s">
        <v>1389</v>
      </c>
      <c r="B1149" s="19" t="s">
        <v>247</v>
      </c>
      <c r="C1149" s="16"/>
      <c r="D1149" s="17"/>
      <c r="E1149" s="18"/>
      <c r="F1149" s="14"/>
      <c r="G1149" s="20"/>
      <c r="H1149" s="14"/>
      <c r="I1149" s="14"/>
      <c r="J1149" s="14"/>
      <c r="K1149" s="14"/>
      <c r="L1149" s="14"/>
      <c r="M1149" s="14"/>
      <c r="N1149" s="14"/>
      <c r="O1149" s="14"/>
      <c r="P1149" s="14"/>
      <c r="Q1149" s="19">
        <v>2.0</v>
      </c>
      <c r="R1149" s="19">
        <v>1.0</v>
      </c>
      <c r="S1149" s="19"/>
      <c r="T1149" s="14">
        <f t="shared" si="55"/>
        <v>3</v>
      </c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  <c r="AF1149" s="22"/>
      <c r="AG1149" s="22"/>
      <c r="AH1149" s="22"/>
      <c r="AI1149" s="22"/>
    </row>
    <row r="1150" ht="15.75" customHeight="1">
      <c r="A1150" s="19" t="s">
        <v>1390</v>
      </c>
      <c r="B1150" s="19" t="s">
        <v>258</v>
      </c>
      <c r="C1150" s="16"/>
      <c r="D1150" s="17"/>
      <c r="E1150" s="18"/>
      <c r="F1150" s="14"/>
      <c r="G1150" s="20"/>
      <c r="H1150" s="14"/>
      <c r="I1150" s="14"/>
      <c r="J1150" s="14"/>
      <c r="K1150" s="14"/>
      <c r="L1150" s="14"/>
      <c r="M1150" s="14"/>
      <c r="N1150" s="14"/>
      <c r="O1150" s="14"/>
      <c r="P1150" s="14"/>
      <c r="Q1150" s="19">
        <v>1.0</v>
      </c>
      <c r="R1150" s="14"/>
      <c r="S1150" s="14"/>
      <c r="T1150" s="14">
        <f t="shared" si="55"/>
        <v>1</v>
      </c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2"/>
    </row>
    <row r="1151" ht="15.75" customHeight="1">
      <c r="A1151" s="14" t="s">
        <v>1391</v>
      </c>
      <c r="B1151" s="40" t="s">
        <v>125</v>
      </c>
      <c r="C1151" s="16"/>
      <c r="D1151" s="47"/>
      <c r="E1151" s="48"/>
      <c r="F1151" s="14"/>
      <c r="G1151" s="20"/>
      <c r="H1151" s="14"/>
      <c r="I1151" s="14"/>
      <c r="J1151" s="14"/>
      <c r="K1151" s="14"/>
      <c r="L1151" s="14"/>
      <c r="M1151" s="14"/>
      <c r="N1151" s="14">
        <v>2.0</v>
      </c>
      <c r="O1151" s="14">
        <v>5.0</v>
      </c>
      <c r="P1151" s="14">
        <v>3.0</v>
      </c>
      <c r="Q1151" s="40">
        <v>1.0</v>
      </c>
      <c r="R1151" s="40">
        <v>2.0</v>
      </c>
      <c r="S1151" s="40"/>
      <c r="T1151" s="34">
        <f t="shared" si="55"/>
        <v>13</v>
      </c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  <c r="AF1151" s="22"/>
      <c r="AG1151" s="22"/>
      <c r="AH1151" s="22"/>
      <c r="AI1151" s="22"/>
    </row>
    <row r="1152" ht="15.75" customHeight="1">
      <c r="A1152" s="27" t="s">
        <v>1392</v>
      </c>
      <c r="B1152" s="35"/>
      <c r="C1152" s="25"/>
      <c r="D1152" s="17"/>
      <c r="E1152" s="18"/>
      <c r="F1152" s="27"/>
      <c r="G1152" s="26"/>
      <c r="H1152" s="27"/>
      <c r="I1152" s="27"/>
      <c r="J1152" s="27"/>
      <c r="K1152" s="27"/>
      <c r="L1152" s="27"/>
      <c r="M1152" s="27"/>
      <c r="N1152" s="27"/>
      <c r="O1152" s="27"/>
      <c r="P1152" s="27"/>
      <c r="Q1152" s="35"/>
      <c r="R1152" s="35"/>
      <c r="S1152" s="35"/>
      <c r="T1152" s="35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28"/>
      <c r="AE1152" s="28"/>
      <c r="AF1152" s="28"/>
      <c r="AG1152" s="28"/>
      <c r="AH1152" s="28"/>
      <c r="AI1152" s="28"/>
    </row>
    <row r="1153" ht="15.75" customHeight="1">
      <c r="A1153" s="27" t="s">
        <v>1393</v>
      </c>
      <c r="B1153" s="17" t="s">
        <v>247</v>
      </c>
      <c r="C1153" s="25"/>
      <c r="D1153" s="17"/>
      <c r="E1153" s="48"/>
      <c r="F1153" s="27"/>
      <c r="G1153" s="26"/>
      <c r="H1153" s="27"/>
      <c r="I1153" s="27"/>
      <c r="J1153" s="27"/>
      <c r="K1153" s="27"/>
      <c r="L1153" s="27"/>
      <c r="M1153" s="27"/>
      <c r="N1153" s="27"/>
      <c r="O1153" s="27"/>
      <c r="P1153" s="27"/>
      <c r="Q1153" s="17">
        <v>1.0</v>
      </c>
      <c r="R1153" s="14"/>
      <c r="S1153" s="19">
        <v>1.0</v>
      </c>
      <c r="T1153" s="14">
        <f t="shared" ref="T1153:T1154" si="56">SUM(I1153:S1153)</f>
        <v>2</v>
      </c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28"/>
      <c r="AE1153" s="28"/>
      <c r="AF1153" s="28"/>
      <c r="AG1153" s="28"/>
      <c r="AH1153" s="28"/>
      <c r="AI1153" s="28"/>
    </row>
    <row r="1154" ht="15.75" customHeight="1">
      <c r="A1154" s="28" t="s">
        <v>1394</v>
      </c>
      <c r="B1154" s="27" t="s">
        <v>133</v>
      </c>
      <c r="C1154" s="25"/>
      <c r="D1154" s="17"/>
      <c r="E1154" s="18"/>
      <c r="F1154" s="27"/>
      <c r="G1154" s="26"/>
      <c r="H1154" s="27"/>
      <c r="I1154" s="27"/>
      <c r="J1154" s="27">
        <v>1.0</v>
      </c>
      <c r="K1154" s="27"/>
      <c r="L1154" s="27">
        <v>1.0</v>
      </c>
      <c r="M1154" s="27">
        <v>2.0</v>
      </c>
      <c r="N1154" s="27">
        <v>1.0</v>
      </c>
      <c r="O1154" s="27"/>
      <c r="P1154" s="27"/>
      <c r="Q1154" s="33"/>
      <c r="R1154" s="33"/>
      <c r="S1154" s="33"/>
      <c r="T1154" s="34">
        <f t="shared" si="56"/>
        <v>5</v>
      </c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28"/>
      <c r="AE1154" s="28"/>
      <c r="AF1154" s="28"/>
      <c r="AG1154" s="28"/>
      <c r="AH1154" s="28"/>
      <c r="AI1154" s="28"/>
    </row>
    <row r="1155" ht="15.75" customHeight="1">
      <c r="A1155" s="14" t="s">
        <v>1394</v>
      </c>
      <c r="B1155" s="14" t="s">
        <v>133</v>
      </c>
      <c r="C1155" s="16"/>
      <c r="D1155" s="17"/>
      <c r="E1155" s="18"/>
      <c r="F1155" s="14"/>
      <c r="G1155" s="20"/>
      <c r="H1155" s="14"/>
      <c r="I1155" s="14"/>
      <c r="J1155" s="14"/>
      <c r="K1155" s="14"/>
      <c r="L1155" s="14"/>
      <c r="M1155" s="14"/>
      <c r="N1155" s="14"/>
      <c r="O1155" s="14"/>
      <c r="P1155" s="14"/>
      <c r="Q1155" s="35"/>
      <c r="R1155" s="35"/>
      <c r="S1155" s="35"/>
      <c r="T1155" s="35"/>
      <c r="U1155" s="22"/>
      <c r="V1155" s="22"/>
      <c r="W1155" s="22"/>
      <c r="X1155" s="22"/>
      <c r="Y1155" s="22"/>
      <c r="Z1155" s="22"/>
      <c r="AA1155" s="22"/>
      <c r="AB1155" s="22"/>
      <c r="AC1155" s="22"/>
      <c r="AD1155" s="22"/>
      <c r="AE1155" s="22"/>
      <c r="AF1155" s="22"/>
      <c r="AG1155" s="22"/>
      <c r="AH1155" s="22"/>
      <c r="AI1155" s="22"/>
    </row>
    <row r="1156" ht="15.75" customHeight="1">
      <c r="A1156" s="27" t="s">
        <v>1395</v>
      </c>
      <c r="B1156" s="17" t="s">
        <v>46</v>
      </c>
      <c r="C1156" s="25"/>
      <c r="D1156" s="17"/>
      <c r="E1156" s="18"/>
      <c r="F1156" s="27"/>
      <c r="G1156" s="26"/>
      <c r="H1156" s="27"/>
      <c r="I1156" s="27"/>
      <c r="J1156" s="27"/>
      <c r="K1156" s="27"/>
      <c r="L1156" s="27"/>
      <c r="M1156" s="27">
        <v>1.0</v>
      </c>
      <c r="N1156" s="27">
        <v>8.0</v>
      </c>
      <c r="O1156" s="27"/>
      <c r="P1156" s="27">
        <v>2.0</v>
      </c>
      <c r="Q1156" s="27"/>
      <c r="R1156" s="27"/>
      <c r="S1156" s="27"/>
      <c r="T1156" s="14">
        <f t="shared" ref="T1156:T1158" si="57">SUM(I1156:S1156)</f>
        <v>11</v>
      </c>
      <c r="U1156" s="28"/>
      <c r="V1156" s="28"/>
      <c r="W1156" s="28"/>
      <c r="X1156" s="28"/>
      <c r="Y1156" s="28"/>
      <c r="Z1156" s="28"/>
      <c r="AA1156" s="28"/>
      <c r="AB1156" s="28"/>
      <c r="AC1156" s="28"/>
      <c r="AD1156" s="28"/>
      <c r="AE1156" s="28"/>
      <c r="AF1156" s="28"/>
      <c r="AG1156" s="28"/>
      <c r="AH1156" s="28"/>
      <c r="AI1156" s="28"/>
    </row>
    <row r="1157" ht="15.75" customHeight="1">
      <c r="A1157" s="17" t="s">
        <v>1396</v>
      </c>
      <c r="B1157" s="17" t="s">
        <v>107</v>
      </c>
      <c r="C1157" s="30" t="s">
        <v>110</v>
      </c>
      <c r="D1157" s="17"/>
      <c r="E1157" s="54"/>
      <c r="F1157" s="17"/>
      <c r="G1157" s="26"/>
      <c r="H1157" s="27"/>
      <c r="I1157" s="27"/>
      <c r="J1157" s="27"/>
      <c r="K1157" s="27"/>
      <c r="L1157" s="27"/>
      <c r="M1157" s="27"/>
      <c r="N1157" s="27"/>
      <c r="O1157" s="27"/>
      <c r="P1157" s="27"/>
      <c r="Q1157" s="33"/>
      <c r="R1157" s="33"/>
      <c r="S1157" s="33"/>
      <c r="T1157" s="14">
        <f t="shared" si="57"/>
        <v>0</v>
      </c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28"/>
      <c r="AE1157" s="28"/>
      <c r="AF1157" s="28"/>
      <c r="AG1157" s="28"/>
      <c r="AH1157" s="28"/>
      <c r="AI1157" s="28"/>
    </row>
    <row r="1158" ht="15.75" customHeight="1">
      <c r="A1158" s="19" t="s">
        <v>1397</v>
      </c>
      <c r="B1158" s="19" t="s">
        <v>125</v>
      </c>
      <c r="C1158" s="16"/>
      <c r="D1158" s="47"/>
      <c r="E1158" s="48"/>
      <c r="F1158" s="14"/>
      <c r="G1158" s="20"/>
      <c r="H1158" s="14"/>
      <c r="I1158" s="14"/>
      <c r="J1158" s="14"/>
      <c r="K1158" s="34">
        <v>5.0</v>
      </c>
      <c r="L1158" s="34">
        <v>1.0</v>
      </c>
      <c r="M1158" s="34">
        <v>2.0</v>
      </c>
      <c r="N1158" s="34">
        <v>2.0</v>
      </c>
      <c r="O1158" s="34">
        <v>2.0</v>
      </c>
      <c r="P1158" s="34">
        <v>1.0</v>
      </c>
      <c r="Q1158" s="40">
        <v>1.0</v>
      </c>
      <c r="R1158" s="40">
        <v>3.0</v>
      </c>
      <c r="S1158" s="40">
        <v>1.0</v>
      </c>
      <c r="T1158" s="34">
        <f t="shared" si="57"/>
        <v>18</v>
      </c>
      <c r="U1158" s="22"/>
      <c r="V1158" s="22"/>
      <c r="W1158" s="22"/>
      <c r="X1158" s="22"/>
      <c r="Y1158" s="22"/>
      <c r="Z1158" s="22"/>
      <c r="AA1158" s="22"/>
      <c r="AB1158" s="22"/>
      <c r="AC1158" s="22"/>
      <c r="AD1158" s="22"/>
      <c r="AE1158" s="22"/>
      <c r="AF1158" s="22"/>
      <c r="AG1158" s="22"/>
      <c r="AH1158" s="22"/>
      <c r="AI1158" s="22"/>
    </row>
    <row r="1159" ht="15.75" customHeight="1">
      <c r="A1159" s="14" t="s">
        <v>1398</v>
      </c>
      <c r="B1159" s="19" t="s">
        <v>125</v>
      </c>
      <c r="C1159" s="16"/>
      <c r="D1159" s="17"/>
      <c r="E1159" s="18"/>
      <c r="F1159" s="14"/>
      <c r="G1159" s="14"/>
      <c r="H1159" s="14"/>
      <c r="I1159" s="14"/>
      <c r="J1159" s="14"/>
      <c r="K1159" s="35"/>
      <c r="L1159" s="35"/>
      <c r="M1159" s="35"/>
      <c r="N1159" s="35"/>
      <c r="O1159" s="35"/>
      <c r="P1159" s="35"/>
      <c r="Q1159" s="41"/>
      <c r="R1159" s="41"/>
      <c r="S1159" s="41"/>
      <c r="T1159" s="35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  <c r="AF1159" s="22"/>
      <c r="AG1159" s="22"/>
      <c r="AH1159" s="22"/>
      <c r="AI1159" s="22"/>
    </row>
    <row r="1160" ht="15.75" customHeight="1">
      <c r="A1160" s="28" t="s">
        <v>1399</v>
      </c>
      <c r="B1160" s="27" t="s">
        <v>136</v>
      </c>
      <c r="C1160" s="25"/>
      <c r="D1160" s="17"/>
      <c r="E1160" s="18"/>
      <c r="F1160" s="27"/>
      <c r="G1160" s="27"/>
      <c r="H1160" s="27"/>
      <c r="I1160" s="27"/>
      <c r="J1160" s="27"/>
      <c r="K1160" s="27"/>
      <c r="L1160" s="27"/>
      <c r="M1160" s="27"/>
      <c r="N1160" s="27">
        <v>1.0</v>
      </c>
      <c r="O1160" s="27">
        <v>2.0</v>
      </c>
      <c r="P1160" s="27">
        <v>1.0</v>
      </c>
      <c r="Q1160" s="27"/>
      <c r="R1160" s="27"/>
      <c r="S1160" s="27"/>
      <c r="T1160" s="14">
        <f t="shared" ref="T1160:T1178" si="58">SUM(I1160:S1160)</f>
        <v>4</v>
      </c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28"/>
      <c r="AE1160" s="28"/>
      <c r="AF1160" s="28"/>
      <c r="AG1160" s="28"/>
      <c r="AH1160" s="28"/>
      <c r="AI1160" s="28"/>
    </row>
    <row r="1161" ht="15.75" customHeight="1">
      <c r="A1161" s="14" t="s">
        <v>1400</v>
      </c>
      <c r="B1161" s="19" t="s">
        <v>125</v>
      </c>
      <c r="C1161" s="16"/>
      <c r="D1161" s="17"/>
      <c r="E1161" s="18"/>
      <c r="F1161" s="14"/>
      <c r="G1161" s="14"/>
      <c r="H1161" s="14"/>
      <c r="I1161" s="14"/>
      <c r="J1161" s="14"/>
      <c r="K1161" s="14"/>
      <c r="L1161" s="14"/>
      <c r="M1161" s="14">
        <v>2.0</v>
      </c>
      <c r="N1161" s="14"/>
      <c r="O1161" s="14"/>
      <c r="P1161" s="14"/>
      <c r="Q1161" s="14"/>
      <c r="R1161" s="14"/>
      <c r="S1161" s="14"/>
      <c r="T1161" s="14">
        <f t="shared" si="58"/>
        <v>2</v>
      </c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F1161" s="22"/>
      <c r="AG1161" s="22"/>
      <c r="AH1161" s="22"/>
      <c r="AI1161" s="22"/>
    </row>
    <row r="1162" ht="15.75" customHeight="1">
      <c r="A1162" s="19" t="s">
        <v>1401</v>
      </c>
      <c r="B1162" s="19" t="s">
        <v>62</v>
      </c>
      <c r="C1162" s="16"/>
      <c r="D1162" s="17"/>
      <c r="E1162" s="18"/>
      <c r="F1162" s="14"/>
      <c r="G1162" s="20"/>
      <c r="H1162" s="14"/>
      <c r="I1162" s="14"/>
      <c r="J1162" s="14"/>
      <c r="K1162" s="14"/>
      <c r="L1162" s="14"/>
      <c r="M1162" s="14"/>
      <c r="N1162" s="14"/>
      <c r="O1162" s="14"/>
      <c r="P1162" s="14"/>
      <c r="Q1162" s="34"/>
      <c r="R1162" s="33"/>
      <c r="S1162" s="33"/>
      <c r="T1162" s="14">
        <f t="shared" si="58"/>
        <v>0</v>
      </c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F1162" s="22"/>
      <c r="AG1162" s="22"/>
      <c r="AH1162" s="22"/>
      <c r="AI1162" s="22"/>
    </row>
    <row r="1163" ht="15.75" customHeight="1">
      <c r="A1163" s="17" t="s">
        <v>1402</v>
      </c>
      <c r="B1163" s="17" t="s">
        <v>25</v>
      </c>
      <c r="C1163" s="25"/>
      <c r="D1163" s="17"/>
      <c r="E1163" s="18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17">
        <v>1.0</v>
      </c>
      <c r="R1163" s="27"/>
      <c r="S1163" s="27"/>
      <c r="T1163" s="14">
        <f t="shared" si="58"/>
        <v>1</v>
      </c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28"/>
      <c r="AE1163" s="28"/>
      <c r="AF1163" s="28"/>
      <c r="AG1163" s="28"/>
      <c r="AH1163" s="28"/>
      <c r="AI1163" s="28"/>
    </row>
    <row r="1164" ht="15.75" customHeight="1">
      <c r="A1164" s="27" t="s">
        <v>1403</v>
      </c>
      <c r="B1164" s="17" t="s">
        <v>90</v>
      </c>
      <c r="C1164" s="25"/>
      <c r="D1164" s="17"/>
      <c r="E1164" s="18"/>
      <c r="F1164" s="27"/>
      <c r="G1164" s="27" t="s">
        <v>40</v>
      </c>
      <c r="H1164" s="27" t="s">
        <v>91</v>
      </c>
      <c r="I1164" s="27"/>
      <c r="J1164" s="27">
        <v>1.0</v>
      </c>
      <c r="K1164" s="27"/>
      <c r="L1164" s="27">
        <v>1.0</v>
      </c>
      <c r="M1164" s="27"/>
      <c r="N1164" s="27"/>
      <c r="O1164" s="27"/>
      <c r="P1164" s="27"/>
      <c r="Q1164" s="27"/>
      <c r="R1164" s="27"/>
      <c r="S1164" s="27"/>
      <c r="T1164" s="14">
        <f t="shared" si="58"/>
        <v>2</v>
      </c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28"/>
      <c r="AE1164" s="28"/>
      <c r="AF1164" s="28"/>
      <c r="AG1164" s="28"/>
      <c r="AH1164" s="28"/>
      <c r="AI1164" s="28"/>
    </row>
    <row r="1165" ht="15.75" customHeight="1">
      <c r="A1165" s="14" t="s">
        <v>1404</v>
      </c>
      <c r="B1165" s="19" t="s">
        <v>451</v>
      </c>
      <c r="C1165" s="16"/>
      <c r="D1165" s="17"/>
      <c r="E1165" s="18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>
        <f t="shared" si="58"/>
        <v>0</v>
      </c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F1165" s="22"/>
      <c r="AG1165" s="22"/>
      <c r="AH1165" s="22"/>
      <c r="AI1165" s="22"/>
    </row>
    <row r="1166" ht="15.75" customHeight="1">
      <c r="A1166" s="17" t="s">
        <v>1405</v>
      </c>
      <c r="B1166" s="17" t="s">
        <v>38</v>
      </c>
      <c r="C1166" s="25"/>
      <c r="D1166" s="17"/>
      <c r="E1166" s="18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17">
        <v>1.0</v>
      </c>
      <c r="R1166" s="19">
        <v>1.0</v>
      </c>
      <c r="S1166" s="19"/>
      <c r="T1166" s="14">
        <f t="shared" si="58"/>
        <v>2</v>
      </c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28"/>
      <c r="AE1166" s="28"/>
      <c r="AF1166" s="28"/>
      <c r="AG1166" s="28"/>
      <c r="AH1166" s="28"/>
      <c r="AI1166" s="28"/>
    </row>
    <row r="1167" ht="15.75" customHeight="1">
      <c r="A1167" s="17" t="s">
        <v>1406</v>
      </c>
      <c r="B1167" s="17" t="s">
        <v>136</v>
      </c>
      <c r="C1167" s="25"/>
      <c r="D1167" s="17"/>
      <c r="E1167" s="18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17">
        <v>4.0</v>
      </c>
      <c r="R1167" s="19">
        <v>2.0</v>
      </c>
      <c r="S1167" s="19">
        <v>3.0</v>
      </c>
      <c r="T1167" s="14">
        <f t="shared" si="58"/>
        <v>9</v>
      </c>
      <c r="U1167" s="28"/>
      <c r="V1167" s="28"/>
      <c r="W1167" s="28"/>
      <c r="X1167" s="28"/>
      <c r="Y1167" s="28"/>
      <c r="Z1167" s="28"/>
      <c r="AA1167" s="28"/>
      <c r="AB1167" s="28"/>
      <c r="AC1167" s="28"/>
      <c r="AD1167" s="28"/>
      <c r="AE1167" s="28"/>
      <c r="AF1167" s="28"/>
      <c r="AG1167" s="28"/>
      <c r="AH1167" s="28"/>
      <c r="AI1167" s="28"/>
    </row>
    <row r="1168" ht="15.75" customHeight="1">
      <c r="A1168" s="17" t="s">
        <v>1407</v>
      </c>
      <c r="B1168" s="17" t="s">
        <v>136</v>
      </c>
      <c r="C1168" s="30" t="s">
        <v>150</v>
      </c>
      <c r="D1168" s="17"/>
      <c r="E1168" s="18"/>
      <c r="F1168" s="1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17"/>
      <c r="R1168" s="19"/>
      <c r="S1168" s="19">
        <v>3.0</v>
      </c>
      <c r="T1168" s="14">
        <f t="shared" si="58"/>
        <v>3</v>
      </c>
      <c r="U1168" s="28"/>
      <c r="V1168" s="28"/>
      <c r="W1168" s="28"/>
      <c r="X1168" s="28"/>
      <c r="Y1168" s="28"/>
      <c r="Z1168" s="28"/>
      <c r="AA1168" s="28"/>
      <c r="AB1168" s="28"/>
      <c r="AC1168" s="28"/>
      <c r="AD1168" s="28"/>
      <c r="AE1168" s="28"/>
      <c r="AF1168" s="28"/>
      <c r="AG1168" s="28"/>
      <c r="AH1168" s="28"/>
      <c r="AI1168" s="28"/>
    </row>
    <row r="1169" ht="15.75" customHeight="1">
      <c r="A1169" s="27" t="s">
        <v>1408</v>
      </c>
      <c r="B1169" s="17" t="s">
        <v>51</v>
      </c>
      <c r="C1169" s="25"/>
      <c r="D1169" s="17"/>
      <c r="E1169" s="18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>
        <v>1.0</v>
      </c>
      <c r="Q1169" s="27"/>
      <c r="R1169" s="27"/>
      <c r="S1169" s="27"/>
      <c r="T1169" s="14">
        <f t="shared" si="58"/>
        <v>1</v>
      </c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28"/>
      <c r="AE1169" s="28"/>
      <c r="AF1169" s="28"/>
      <c r="AG1169" s="28"/>
      <c r="AH1169" s="28"/>
      <c r="AI1169" s="28"/>
    </row>
    <row r="1170" ht="15.75" customHeight="1">
      <c r="A1170" s="19" t="s">
        <v>1409</v>
      </c>
      <c r="B1170" s="19" t="s">
        <v>386</v>
      </c>
      <c r="C1170" s="30" t="s">
        <v>953</v>
      </c>
      <c r="D1170" s="17"/>
      <c r="E1170" s="18"/>
      <c r="F1170" s="19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9">
        <v>1.0</v>
      </c>
      <c r="R1170" s="17">
        <v>1.0</v>
      </c>
      <c r="S1170" s="17">
        <v>1.0</v>
      </c>
      <c r="T1170" s="14">
        <f t="shared" si="58"/>
        <v>3</v>
      </c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2"/>
    </row>
    <row r="1171" ht="15.75" customHeight="1">
      <c r="A1171" s="14" t="s">
        <v>1410</v>
      </c>
      <c r="B1171" s="19" t="s">
        <v>107</v>
      </c>
      <c r="C1171" s="16"/>
      <c r="D1171" s="17"/>
      <c r="E1171" s="18"/>
      <c r="F1171" s="14"/>
      <c r="G1171" s="14" t="s">
        <v>40</v>
      </c>
      <c r="H1171" s="14"/>
      <c r="I1171" s="14"/>
      <c r="J1171" s="14"/>
      <c r="K1171" s="14"/>
      <c r="L1171" s="14"/>
      <c r="M1171" s="14">
        <v>1.0</v>
      </c>
      <c r="N1171" s="14"/>
      <c r="O1171" s="14"/>
      <c r="P1171" s="14"/>
      <c r="Q1171" s="14"/>
      <c r="R1171" s="14"/>
      <c r="S1171" s="14"/>
      <c r="T1171" s="14">
        <f t="shared" si="58"/>
        <v>1</v>
      </c>
      <c r="U1171" s="22"/>
      <c r="V1171" s="22"/>
      <c r="W1171" s="22"/>
      <c r="X1171" s="22"/>
      <c r="Y1171" s="22"/>
      <c r="Z1171" s="22"/>
      <c r="AA1171" s="22"/>
      <c r="AB1171" s="22"/>
      <c r="AC1171" s="22"/>
      <c r="AD1171" s="22"/>
      <c r="AE1171" s="22"/>
      <c r="AF1171" s="22"/>
      <c r="AG1171" s="22"/>
      <c r="AH1171" s="22"/>
      <c r="AI1171" s="22"/>
    </row>
    <row r="1172" ht="15.75" customHeight="1">
      <c r="A1172" s="17" t="s">
        <v>1411</v>
      </c>
      <c r="B1172" s="17" t="s">
        <v>70</v>
      </c>
      <c r="C1172" s="25"/>
      <c r="D1172" s="17"/>
      <c r="E1172" s="18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17">
        <v>1.0</v>
      </c>
      <c r="R1172" s="19">
        <v>1.0</v>
      </c>
      <c r="S1172" s="19"/>
      <c r="T1172" s="14">
        <f t="shared" si="58"/>
        <v>2</v>
      </c>
      <c r="U1172" s="28"/>
      <c r="V1172" s="28"/>
      <c r="W1172" s="28"/>
      <c r="X1172" s="28"/>
      <c r="Y1172" s="28"/>
      <c r="Z1172" s="28"/>
      <c r="AA1172" s="28"/>
      <c r="AB1172" s="28"/>
      <c r="AC1172" s="28"/>
      <c r="AD1172" s="28"/>
      <c r="AE1172" s="28"/>
      <c r="AF1172" s="28"/>
      <c r="AG1172" s="28"/>
      <c r="AH1172" s="28"/>
      <c r="AI1172" s="28"/>
    </row>
    <row r="1173" ht="15.75" customHeight="1">
      <c r="A1173" s="27" t="s">
        <v>1412</v>
      </c>
      <c r="B1173" s="27" t="s">
        <v>136</v>
      </c>
      <c r="C1173" s="25"/>
      <c r="D1173" s="17"/>
      <c r="E1173" s="18"/>
      <c r="F1173" s="27"/>
      <c r="G1173" s="27" t="s">
        <v>40</v>
      </c>
      <c r="H1173" s="27"/>
      <c r="I1173" s="27"/>
      <c r="J1173" s="27"/>
      <c r="K1173" s="27"/>
      <c r="L1173" s="27"/>
      <c r="M1173" s="27"/>
      <c r="N1173" s="27">
        <v>2.0</v>
      </c>
      <c r="O1173" s="27"/>
      <c r="P1173" s="27"/>
      <c r="Q1173" s="27"/>
      <c r="R1173" s="27"/>
      <c r="S1173" s="27"/>
      <c r="T1173" s="14">
        <f t="shared" si="58"/>
        <v>2</v>
      </c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28"/>
      <c r="AE1173" s="28"/>
      <c r="AF1173" s="28"/>
      <c r="AG1173" s="28"/>
      <c r="AH1173" s="28"/>
      <c r="AI1173" s="28"/>
    </row>
    <row r="1174" ht="15.75" customHeight="1">
      <c r="A1174" s="14" t="s">
        <v>1413</v>
      </c>
      <c r="B1174" s="14" t="s">
        <v>136</v>
      </c>
      <c r="C1174" s="16"/>
      <c r="D1174" s="17"/>
      <c r="E1174" s="18"/>
      <c r="F1174" s="14"/>
      <c r="G1174" s="14"/>
      <c r="H1174" s="14"/>
      <c r="I1174" s="14"/>
      <c r="J1174" s="14"/>
      <c r="K1174" s="14"/>
      <c r="L1174" s="14">
        <v>1.0</v>
      </c>
      <c r="M1174" s="14"/>
      <c r="N1174" s="14">
        <v>4.0</v>
      </c>
      <c r="O1174" s="14">
        <v>2.0</v>
      </c>
      <c r="P1174" s="14"/>
      <c r="Q1174" s="14"/>
      <c r="R1174" s="14"/>
      <c r="S1174" s="14"/>
      <c r="T1174" s="14">
        <f t="shared" si="58"/>
        <v>7</v>
      </c>
      <c r="U1174" s="22"/>
      <c r="V1174" s="22"/>
      <c r="W1174" s="22"/>
      <c r="X1174" s="22"/>
      <c r="Y1174" s="22"/>
      <c r="Z1174" s="22"/>
      <c r="AA1174" s="22"/>
      <c r="AB1174" s="22"/>
      <c r="AC1174" s="22"/>
      <c r="AD1174" s="22"/>
      <c r="AE1174" s="22"/>
      <c r="AF1174" s="22"/>
      <c r="AG1174" s="22"/>
      <c r="AH1174" s="22"/>
      <c r="AI1174" s="22"/>
    </row>
    <row r="1175" ht="15.75" customHeight="1">
      <c r="A1175" s="17" t="s">
        <v>1414</v>
      </c>
      <c r="B1175" s="17" t="s">
        <v>781</v>
      </c>
      <c r="C1175" s="30" t="s">
        <v>1068</v>
      </c>
      <c r="D1175" s="47"/>
      <c r="E1175" s="48"/>
      <c r="F1175" s="1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17"/>
      <c r="R1175" s="17">
        <v>1.0</v>
      </c>
      <c r="S1175" s="17">
        <v>4.0</v>
      </c>
      <c r="T1175" s="14">
        <f t="shared" si="58"/>
        <v>5</v>
      </c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28"/>
      <c r="AE1175" s="28"/>
      <c r="AF1175" s="28"/>
      <c r="AG1175" s="28"/>
      <c r="AH1175" s="28"/>
      <c r="AI1175" s="28"/>
    </row>
    <row r="1176" ht="15.75" customHeight="1">
      <c r="A1176" s="27" t="s">
        <v>1415</v>
      </c>
      <c r="B1176" s="17" t="s">
        <v>279</v>
      </c>
      <c r="C1176" s="25"/>
      <c r="D1176" s="47"/>
      <c r="E1176" s="48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>
        <v>4.0</v>
      </c>
      <c r="Q1176" s="17">
        <v>2.0</v>
      </c>
      <c r="R1176" s="27"/>
      <c r="S1176" s="17">
        <v>1.0</v>
      </c>
      <c r="T1176" s="14">
        <f t="shared" si="58"/>
        <v>7</v>
      </c>
      <c r="U1176" s="28"/>
      <c r="V1176" s="28"/>
      <c r="W1176" s="28"/>
      <c r="X1176" s="28"/>
      <c r="Y1176" s="28"/>
      <c r="Z1176" s="28"/>
      <c r="AA1176" s="28"/>
      <c r="AB1176" s="28"/>
      <c r="AC1176" s="28"/>
      <c r="AD1176" s="28"/>
      <c r="AE1176" s="28"/>
      <c r="AF1176" s="28"/>
      <c r="AG1176" s="28"/>
      <c r="AH1176" s="28"/>
      <c r="AI1176" s="28"/>
    </row>
    <row r="1177" ht="15.75" customHeight="1">
      <c r="A1177" s="19" t="s">
        <v>1416</v>
      </c>
      <c r="B1177" s="19" t="s">
        <v>55</v>
      </c>
      <c r="C1177" s="16"/>
      <c r="D1177" s="17"/>
      <c r="E1177" s="18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>
        <f t="shared" si="58"/>
        <v>0</v>
      </c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  <c r="AF1177" s="22"/>
      <c r="AG1177" s="22"/>
      <c r="AH1177" s="22"/>
      <c r="AI1177" s="22"/>
    </row>
    <row r="1178" ht="15.75" customHeight="1">
      <c r="A1178" s="14" t="s">
        <v>1417</v>
      </c>
      <c r="B1178" s="19" t="s">
        <v>129</v>
      </c>
      <c r="C1178" s="16"/>
      <c r="D1178" s="47"/>
      <c r="E1178" s="48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>
        <v>1.0</v>
      </c>
      <c r="Q1178" s="40">
        <v>5.0</v>
      </c>
      <c r="R1178" s="40">
        <v>1.0</v>
      </c>
      <c r="S1178" s="40">
        <v>2.0</v>
      </c>
      <c r="T1178" s="34">
        <f t="shared" si="58"/>
        <v>9</v>
      </c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  <c r="AG1178" s="22"/>
      <c r="AH1178" s="22"/>
      <c r="AI1178" s="22"/>
    </row>
    <row r="1179" ht="15.75" customHeight="1">
      <c r="A1179" s="17" t="s">
        <v>1417</v>
      </c>
      <c r="B1179" s="17" t="s">
        <v>129</v>
      </c>
      <c r="C1179" s="25"/>
      <c r="D1179" s="47"/>
      <c r="E1179" s="18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35"/>
      <c r="R1179" s="35"/>
      <c r="S1179" s="35"/>
      <c r="T1179" s="35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28"/>
      <c r="AE1179" s="28"/>
      <c r="AF1179" s="28"/>
      <c r="AG1179" s="28"/>
      <c r="AH1179" s="28"/>
      <c r="AI1179" s="28"/>
    </row>
    <row r="1180" ht="15.75" customHeight="1">
      <c r="A1180" s="27" t="s">
        <v>1418</v>
      </c>
      <c r="B1180" s="17" t="s">
        <v>51</v>
      </c>
      <c r="C1180" s="25"/>
      <c r="D1180" s="17"/>
      <c r="E1180" s="18"/>
      <c r="F1180" s="27"/>
      <c r="G1180" s="125" t="s">
        <v>40</v>
      </c>
      <c r="H1180" s="126">
        <v>45882.0</v>
      </c>
      <c r="I1180" s="27"/>
      <c r="J1180" s="27"/>
      <c r="K1180" s="27"/>
      <c r="L1180" s="27"/>
      <c r="M1180" s="27">
        <v>1.0</v>
      </c>
      <c r="N1180" s="27">
        <v>3.0</v>
      </c>
      <c r="O1180" s="27">
        <v>2.0</v>
      </c>
      <c r="P1180" s="27"/>
      <c r="Q1180" s="27"/>
      <c r="R1180" s="27"/>
      <c r="S1180" s="17">
        <v>1.0</v>
      </c>
      <c r="T1180" s="14">
        <f t="shared" ref="T1180:T1202" si="59">SUM(I1180:S1180)</f>
        <v>7</v>
      </c>
      <c r="U1180" s="28"/>
      <c r="V1180" s="28"/>
      <c r="W1180" s="28"/>
      <c r="X1180" s="28"/>
      <c r="Y1180" s="28"/>
      <c r="Z1180" s="28"/>
      <c r="AA1180" s="28"/>
      <c r="AB1180" s="28"/>
      <c r="AC1180" s="28"/>
      <c r="AD1180" s="28"/>
      <c r="AE1180" s="28"/>
      <c r="AF1180" s="28"/>
      <c r="AG1180" s="28"/>
      <c r="AH1180" s="28"/>
      <c r="AI1180" s="28"/>
    </row>
    <row r="1181" ht="15.75" customHeight="1">
      <c r="A1181" s="14" t="s">
        <v>1419</v>
      </c>
      <c r="B1181" s="19" t="s">
        <v>51</v>
      </c>
      <c r="C1181" s="16"/>
      <c r="D1181" s="17"/>
      <c r="E1181" s="18"/>
      <c r="F1181" s="14"/>
      <c r="G1181" s="14"/>
      <c r="H1181" s="14"/>
      <c r="I1181" s="14"/>
      <c r="J1181" s="14"/>
      <c r="K1181" s="14"/>
      <c r="L1181" s="14"/>
      <c r="M1181" s="14"/>
      <c r="N1181" s="14">
        <v>4.0</v>
      </c>
      <c r="O1181" s="14">
        <v>1.0</v>
      </c>
      <c r="P1181" s="14"/>
      <c r="Q1181" s="14"/>
      <c r="R1181" s="14"/>
      <c r="S1181" s="14"/>
      <c r="T1181" s="14">
        <f t="shared" si="59"/>
        <v>5</v>
      </c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  <c r="AF1181" s="22"/>
      <c r="AG1181" s="22"/>
      <c r="AH1181" s="22"/>
      <c r="AI1181" s="22"/>
    </row>
    <row r="1182" ht="15.75" customHeight="1">
      <c r="A1182" s="27" t="s">
        <v>1420</v>
      </c>
      <c r="B1182" s="17" t="s">
        <v>25</v>
      </c>
      <c r="C1182" s="25"/>
      <c r="D1182" s="17"/>
      <c r="E1182" s="18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14">
        <f t="shared" si="59"/>
        <v>0</v>
      </c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28"/>
      <c r="AE1182" s="28"/>
      <c r="AF1182" s="28"/>
      <c r="AG1182" s="28"/>
      <c r="AH1182" s="28"/>
      <c r="AI1182" s="28"/>
    </row>
    <row r="1183" ht="15.75" customHeight="1">
      <c r="A1183" s="14" t="s">
        <v>1421</v>
      </c>
      <c r="B1183" s="19" t="s">
        <v>21</v>
      </c>
      <c r="C1183" s="16"/>
      <c r="D1183" s="17"/>
      <c r="E1183" s="18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>
        <v>3.0</v>
      </c>
      <c r="Q1183" s="14"/>
      <c r="R1183" s="14"/>
      <c r="S1183" s="14"/>
      <c r="T1183" s="14">
        <f t="shared" si="59"/>
        <v>3</v>
      </c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2"/>
    </row>
    <row r="1184" ht="15.75" customHeight="1">
      <c r="A1184" s="17" t="s">
        <v>1422</v>
      </c>
      <c r="B1184" s="17" t="s">
        <v>386</v>
      </c>
      <c r="C1184" s="25"/>
      <c r="D1184" s="17"/>
      <c r="E1184" s="18"/>
      <c r="F1184" s="27"/>
      <c r="G1184" s="27"/>
      <c r="H1184" s="27"/>
      <c r="I1184" s="27"/>
      <c r="J1184" s="27"/>
      <c r="K1184" s="27"/>
      <c r="L1184" s="27"/>
      <c r="M1184" s="27"/>
      <c r="N1184" s="27">
        <v>2.0</v>
      </c>
      <c r="O1184" s="27">
        <v>1.0</v>
      </c>
      <c r="P1184" s="27">
        <v>1.0</v>
      </c>
      <c r="Q1184" s="17">
        <v>2.0</v>
      </c>
      <c r="R1184" s="17">
        <v>2.0</v>
      </c>
      <c r="S1184" s="17"/>
      <c r="T1184" s="14">
        <f t="shared" si="59"/>
        <v>8</v>
      </c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28"/>
      <c r="AE1184" s="28"/>
      <c r="AF1184" s="28"/>
      <c r="AG1184" s="28"/>
      <c r="AH1184" s="28"/>
      <c r="AI1184" s="28"/>
    </row>
    <row r="1185" ht="15.75" customHeight="1">
      <c r="A1185" s="14" t="s">
        <v>1423</v>
      </c>
      <c r="B1185" s="19" t="s">
        <v>361</v>
      </c>
      <c r="C1185" s="16"/>
      <c r="D1185" s="17"/>
      <c r="E1185" s="18"/>
      <c r="F1185" s="14"/>
      <c r="G1185" s="14" t="s">
        <v>40</v>
      </c>
      <c r="H1185" s="14" t="s">
        <v>91</v>
      </c>
      <c r="I1185" s="14"/>
      <c r="J1185" s="14">
        <v>10.0</v>
      </c>
      <c r="K1185" s="14">
        <v>2.0</v>
      </c>
      <c r="L1185" s="14">
        <v>1.0</v>
      </c>
      <c r="M1185" s="14">
        <v>1.0</v>
      </c>
      <c r="N1185" s="14"/>
      <c r="O1185" s="14">
        <v>2.0</v>
      </c>
      <c r="P1185" s="14"/>
      <c r="Q1185" s="34"/>
      <c r="R1185" s="40">
        <v>4.0</v>
      </c>
      <c r="S1185" s="40"/>
      <c r="T1185" s="14">
        <f t="shared" si="59"/>
        <v>20</v>
      </c>
      <c r="U1185" s="22"/>
      <c r="V1185" s="22"/>
      <c r="W1185" s="22"/>
      <c r="X1185" s="22"/>
      <c r="Y1185" s="22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2"/>
    </row>
    <row r="1186" ht="15.75" customHeight="1">
      <c r="A1186" s="14" t="s">
        <v>1424</v>
      </c>
      <c r="B1186" s="17" t="s">
        <v>85</v>
      </c>
      <c r="C1186" s="25"/>
      <c r="D1186" s="47"/>
      <c r="E1186" s="48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46"/>
      <c r="R1186" s="46">
        <v>2.0</v>
      </c>
      <c r="S1186" s="46"/>
      <c r="T1186" s="14">
        <f t="shared" si="59"/>
        <v>2</v>
      </c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28"/>
      <c r="AE1186" s="28"/>
      <c r="AF1186" s="28"/>
      <c r="AG1186" s="28"/>
      <c r="AH1186" s="28"/>
      <c r="AI1186" s="28"/>
    </row>
    <row r="1187" ht="15.75" customHeight="1">
      <c r="A1187" s="17" t="s">
        <v>1425</v>
      </c>
      <c r="B1187" s="17" t="s">
        <v>107</v>
      </c>
      <c r="C1187" s="30" t="s">
        <v>1068</v>
      </c>
      <c r="D1187" s="47"/>
      <c r="E1187" s="48"/>
      <c r="F1187" s="1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46"/>
      <c r="R1187" s="46">
        <v>2.0</v>
      </c>
      <c r="S1187" s="46">
        <v>1.0</v>
      </c>
      <c r="T1187" s="14">
        <f t="shared" si="59"/>
        <v>3</v>
      </c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28"/>
      <c r="AE1187" s="28"/>
      <c r="AF1187" s="28"/>
      <c r="AG1187" s="28"/>
      <c r="AH1187" s="28"/>
      <c r="AI1187" s="28"/>
    </row>
    <row r="1188" ht="15.75" customHeight="1">
      <c r="A1188" s="27" t="s">
        <v>1426</v>
      </c>
      <c r="B1188" s="17" t="s">
        <v>214</v>
      </c>
      <c r="C1188" s="25"/>
      <c r="D1188" s="50"/>
      <c r="E1188" s="48"/>
      <c r="F1188" s="27"/>
      <c r="G1188" s="27"/>
      <c r="H1188" s="27"/>
      <c r="I1188" s="27"/>
      <c r="J1188" s="27"/>
      <c r="K1188" s="27"/>
      <c r="L1188" s="27"/>
      <c r="M1188" s="27"/>
      <c r="N1188" s="27">
        <v>2.0</v>
      </c>
      <c r="O1188" s="27"/>
      <c r="P1188" s="27"/>
      <c r="Q1188" s="17">
        <v>1.0</v>
      </c>
      <c r="R1188" s="27"/>
      <c r="S1188" s="27"/>
      <c r="T1188" s="14">
        <f t="shared" si="59"/>
        <v>3</v>
      </c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28"/>
      <c r="AE1188" s="28"/>
      <c r="AF1188" s="28"/>
      <c r="AG1188" s="28"/>
      <c r="AH1188" s="28"/>
      <c r="AI1188" s="28"/>
    </row>
    <row r="1189" ht="15.75" customHeight="1">
      <c r="A1189" s="19" t="s">
        <v>1427</v>
      </c>
      <c r="B1189" s="19" t="s">
        <v>73</v>
      </c>
      <c r="C1189" s="24" t="s">
        <v>32</v>
      </c>
      <c r="D1189" s="17"/>
      <c r="E1189" s="54"/>
      <c r="F1189" s="19" t="s">
        <v>74</v>
      </c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>
        <f t="shared" si="59"/>
        <v>0</v>
      </c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F1189" s="22"/>
      <c r="AG1189" s="22"/>
      <c r="AH1189" s="22"/>
      <c r="AI1189" s="22"/>
    </row>
    <row r="1190" ht="15.75" customHeight="1">
      <c r="A1190" s="14" t="s">
        <v>1428</v>
      </c>
      <c r="B1190" s="19" t="s">
        <v>25</v>
      </c>
      <c r="C1190" s="16"/>
      <c r="D1190" s="17"/>
      <c r="E1190" s="18"/>
      <c r="F1190" s="14"/>
      <c r="G1190" s="14"/>
      <c r="H1190" s="14"/>
      <c r="I1190" s="14"/>
      <c r="J1190" s="14"/>
      <c r="K1190" s="14"/>
      <c r="L1190" s="14"/>
      <c r="M1190" s="14"/>
      <c r="N1190" s="14">
        <v>3.0</v>
      </c>
      <c r="O1190" s="14">
        <v>1.0</v>
      </c>
      <c r="P1190" s="14"/>
      <c r="Q1190" s="14"/>
      <c r="R1190" s="14"/>
      <c r="S1190" s="14"/>
      <c r="T1190" s="14">
        <f t="shared" si="59"/>
        <v>4</v>
      </c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F1190" s="22"/>
      <c r="AG1190" s="22"/>
      <c r="AH1190" s="22"/>
      <c r="AI1190" s="22"/>
    </row>
    <row r="1191" ht="15.75" customHeight="1">
      <c r="A1191" s="27" t="s">
        <v>1429</v>
      </c>
      <c r="B1191" s="17" t="s">
        <v>62</v>
      </c>
      <c r="C1191" s="25"/>
      <c r="D1191" s="17"/>
      <c r="E1191" s="18"/>
      <c r="F1191" s="27"/>
      <c r="G1191" s="27"/>
      <c r="H1191" s="27"/>
      <c r="I1191" s="27"/>
      <c r="J1191" s="27"/>
      <c r="K1191" s="27"/>
      <c r="L1191" s="27"/>
      <c r="M1191" s="27">
        <v>1.0</v>
      </c>
      <c r="N1191" s="27"/>
      <c r="O1191" s="27"/>
      <c r="P1191" s="27">
        <v>1.0</v>
      </c>
      <c r="Q1191" s="27"/>
      <c r="R1191" s="27"/>
      <c r="S1191" s="27"/>
      <c r="T1191" s="14">
        <f t="shared" si="59"/>
        <v>2</v>
      </c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28"/>
      <c r="AE1191" s="28"/>
      <c r="AF1191" s="28"/>
      <c r="AG1191" s="28"/>
      <c r="AH1191" s="28"/>
      <c r="AI1191" s="28"/>
    </row>
    <row r="1192" ht="15.75" customHeight="1">
      <c r="A1192" s="14" t="s">
        <v>1430</v>
      </c>
      <c r="B1192" s="19" t="s">
        <v>286</v>
      </c>
      <c r="C1192" s="16"/>
      <c r="D1192" s="17"/>
      <c r="E1192" s="18"/>
      <c r="F1192" s="14"/>
      <c r="G1192" s="14"/>
      <c r="H1192" s="14"/>
      <c r="I1192" s="14"/>
      <c r="J1192" s="14"/>
      <c r="K1192" s="14"/>
      <c r="L1192" s="14">
        <v>3.0</v>
      </c>
      <c r="M1192" s="14">
        <v>3.0</v>
      </c>
      <c r="N1192" s="14">
        <v>1.0</v>
      </c>
      <c r="O1192" s="14">
        <v>1.0</v>
      </c>
      <c r="P1192" s="14">
        <v>1.0</v>
      </c>
      <c r="Q1192" s="19">
        <v>1.0</v>
      </c>
      <c r="R1192" s="19">
        <v>2.0</v>
      </c>
      <c r="S1192" s="19">
        <v>2.0</v>
      </c>
      <c r="T1192" s="14">
        <f t="shared" si="59"/>
        <v>14</v>
      </c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  <c r="AF1192" s="22"/>
      <c r="AG1192" s="22"/>
      <c r="AH1192" s="22"/>
      <c r="AI1192" s="22"/>
    </row>
    <row r="1193" ht="15.75" customHeight="1">
      <c r="A1193" s="19" t="s">
        <v>1431</v>
      </c>
      <c r="B1193" s="19" t="s">
        <v>107</v>
      </c>
      <c r="C1193" s="24" t="s">
        <v>110</v>
      </c>
      <c r="D1193" s="17"/>
      <c r="E1193" s="18"/>
      <c r="F1193" s="19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9"/>
      <c r="R1193" s="19"/>
      <c r="S1193" s="19"/>
      <c r="T1193" s="14">
        <f t="shared" si="59"/>
        <v>0</v>
      </c>
      <c r="U1193" s="22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  <c r="AF1193" s="22"/>
      <c r="AG1193" s="22"/>
      <c r="AH1193" s="22"/>
      <c r="AI1193" s="22"/>
    </row>
    <row r="1194" ht="15.75" customHeight="1">
      <c r="A1194" s="27" t="s">
        <v>1432</v>
      </c>
      <c r="B1194" s="17" t="s">
        <v>291</v>
      </c>
      <c r="C1194" s="25"/>
      <c r="D1194" s="17"/>
      <c r="E1194" s="18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14">
        <f t="shared" si="59"/>
        <v>0</v>
      </c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28"/>
      <c r="AE1194" s="28"/>
      <c r="AF1194" s="28"/>
      <c r="AG1194" s="28"/>
      <c r="AH1194" s="28"/>
      <c r="AI1194" s="28"/>
    </row>
    <row r="1195" ht="15.75" customHeight="1">
      <c r="A1195" s="14" t="s">
        <v>1433</v>
      </c>
      <c r="B1195" s="19" t="s">
        <v>286</v>
      </c>
      <c r="C1195" s="16"/>
      <c r="D1195" s="17"/>
      <c r="E1195" s="18"/>
      <c r="F1195" s="14"/>
      <c r="G1195" s="14" t="s">
        <v>40</v>
      </c>
      <c r="H1195" s="14" t="s">
        <v>1434</v>
      </c>
      <c r="I1195" s="14">
        <v>1.0</v>
      </c>
      <c r="J1195" s="14">
        <v>2.0</v>
      </c>
      <c r="K1195" s="14"/>
      <c r="L1195" s="14">
        <v>1.0</v>
      </c>
      <c r="M1195" s="14"/>
      <c r="N1195" s="14">
        <v>1.0</v>
      </c>
      <c r="O1195" s="14"/>
      <c r="P1195" s="14"/>
      <c r="Q1195" s="14"/>
      <c r="R1195" s="14"/>
      <c r="S1195" s="14"/>
      <c r="T1195" s="14">
        <f t="shared" si="59"/>
        <v>5</v>
      </c>
      <c r="U1195" s="22"/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  <c r="AF1195" s="22"/>
      <c r="AG1195" s="22"/>
      <c r="AH1195" s="22"/>
      <c r="AI1195" s="22"/>
    </row>
    <row r="1196" ht="15.75" customHeight="1">
      <c r="A1196" s="19" t="s">
        <v>1435</v>
      </c>
      <c r="B1196" s="19" t="s">
        <v>133</v>
      </c>
      <c r="C1196" s="16"/>
      <c r="D1196" s="17"/>
      <c r="E1196" s="48"/>
      <c r="F1196" s="14"/>
      <c r="G1196" s="20"/>
      <c r="H1196" s="14"/>
      <c r="I1196" s="14"/>
      <c r="J1196" s="14"/>
      <c r="K1196" s="14"/>
      <c r="L1196" s="14"/>
      <c r="M1196" s="14"/>
      <c r="N1196" s="14"/>
      <c r="O1196" s="14"/>
      <c r="P1196" s="14"/>
      <c r="Q1196" s="19">
        <v>1.0</v>
      </c>
      <c r="R1196" s="19">
        <v>1.0</v>
      </c>
      <c r="S1196" s="19"/>
      <c r="T1196" s="14">
        <f t="shared" si="59"/>
        <v>2</v>
      </c>
      <c r="U1196" s="22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2"/>
    </row>
    <row r="1197" ht="15.75" customHeight="1">
      <c r="A1197" s="27" t="s">
        <v>1436</v>
      </c>
      <c r="B1197" s="17" t="s">
        <v>454</v>
      </c>
      <c r="C1197" s="25"/>
      <c r="D1197" s="47"/>
      <c r="E1197" s="18"/>
      <c r="F1197" s="51"/>
      <c r="G1197" s="27" t="s">
        <v>40</v>
      </c>
      <c r="H1197" s="27" t="s">
        <v>1437</v>
      </c>
      <c r="I1197" s="27">
        <v>2.0</v>
      </c>
      <c r="J1197" s="27">
        <v>2.0</v>
      </c>
      <c r="K1197" s="27">
        <v>1.0</v>
      </c>
      <c r="L1197" s="27">
        <v>3.0</v>
      </c>
      <c r="M1197" s="27"/>
      <c r="N1197" s="27"/>
      <c r="O1197" s="27"/>
      <c r="P1197" s="27"/>
      <c r="Q1197" s="17">
        <v>2.0</v>
      </c>
      <c r="R1197" s="17">
        <v>1.0</v>
      </c>
      <c r="S1197" s="17">
        <v>1.0</v>
      </c>
      <c r="T1197" s="14">
        <f t="shared" si="59"/>
        <v>12</v>
      </c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28"/>
      <c r="AE1197" s="28"/>
      <c r="AF1197" s="28"/>
      <c r="AG1197" s="28"/>
      <c r="AH1197" s="28"/>
      <c r="AI1197" s="28"/>
    </row>
    <row r="1198" ht="15.75" customHeight="1">
      <c r="A1198" s="17" t="s">
        <v>1438</v>
      </c>
      <c r="B1198" s="17" t="s">
        <v>454</v>
      </c>
      <c r="C1198" s="25"/>
      <c r="D1198" s="50"/>
      <c r="E1198" s="18"/>
      <c r="F1198" s="51"/>
      <c r="G1198" s="27" t="s">
        <v>40</v>
      </c>
      <c r="H1198" s="27" t="s">
        <v>1437</v>
      </c>
      <c r="I1198" s="27">
        <v>1.0</v>
      </c>
      <c r="J1198" s="27">
        <v>2.0</v>
      </c>
      <c r="K1198" s="27">
        <v>1.0</v>
      </c>
      <c r="L1198" s="27">
        <v>1.0</v>
      </c>
      <c r="M1198" s="27"/>
      <c r="N1198" s="27"/>
      <c r="O1198" s="27"/>
      <c r="P1198" s="27"/>
      <c r="Q1198" s="17">
        <v>2.0</v>
      </c>
      <c r="R1198" s="27"/>
      <c r="S1198" s="27"/>
      <c r="T1198" s="14">
        <f t="shared" si="59"/>
        <v>7</v>
      </c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28"/>
      <c r="AE1198" s="28"/>
      <c r="AF1198" s="28"/>
      <c r="AG1198" s="28"/>
      <c r="AH1198" s="28"/>
      <c r="AI1198" s="28"/>
    </row>
    <row r="1199" ht="15.75" customHeight="1">
      <c r="A1199" s="19" t="s">
        <v>1439</v>
      </c>
      <c r="B1199" s="19" t="s">
        <v>454</v>
      </c>
      <c r="C1199" s="16"/>
      <c r="D1199" s="50"/>
      <c r="E1199" s="18"/>
      <c r="F1199" s="67"/>
      <c r="G1199" s="14" t="s">
        <v>40</v>
      </c>
      <c r="H1199" s="14" t="s">
        <v>1437</v>
      </c>
      <c r="I1199" s="14">
        <v>1.0</v>
      </c>
      <c r="J1199" s="14">
        <v>2.0</v>
      </c>
      <c r="K1199" s="14"/>
      <c r="L1199" s="14">
        <v>1.0</v>
      </c>
      <c r="M1199" s="14"/>
      <c r="N1199" s="14"/>
      <c r="O1199" s="14"/>
      <c r="P1199" s="14"/>
      <c r="Q1199" s="19">
        <v>2.0</v>
      </c>
      <c r="R1199" s="14"/>
      <c r="S1199" s="14"/>
      <c r="T1199" s="14">
        <f t="shared" si="59"/>
        <v>6</v>
      </c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2"/>
    </row>
    <row r="1200" ht="15.75" customHeight="1">
      <c r="A1200" s="14" t="s">
        <v>1440</v>
      </c>
      <c r="B1200" s="14" t="s">
        <v>263</v>
      </c>
      <c r="C1200" s="16"/>
      <c r="D1200" s="17"/>
      <c r="E1200" s="18"/>
      <c r="F1200" s="14"/>
      <c r="G1200" s="20"/>
      <c r="H1200" s="14"/>
      <c r="I1200" s="14"/>
      <c r="J1200" s="14"/>
      <c r="K1200" s="14"/>
      <c r="L1200" s="14"/>
      <c r="M1200" s="14"/>
      <c r="N1200" s="14">
        <v>1.0</v>
      </c>
      <c r="O1200" s="14"/>
      <c r="P1200" s="14"/>
      <c r="Q1200" s="14"/>
      <c r="R1200" s="14"/>
      <c r="S1200" s="14"/>
      <c r="T1200" s="14">
        <f t="shared" si="59"/>
        <v>1</v>
      </c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F1200" s="22"/>
      <c r="AG1200" s="22"/>
      <c r="AH1200" s="22"/>
      <c r="AI1200" s="22"/>
    </row>
    <row r="1201" ht="15.75" customHeight="1">
      <c r="A1201" s="27" t="s">
        <v>1441</v>
      </c>
      <c r="B1201" s="17" t="s">
        <v>21</v>
      </c>
      <c r="C1201" s="25"/>
      <c r="D1201" s="17"/>
      <c r="E1201" s="18"/>
      <c r="F1201" s="27"/>
      <c r="G1201" s="26"/>
      <c r="H1201" s="27"/>
      <c r="I1201" s="27"/>
      <c r="J1201" s="27"/>
      <c r="K1201" s="27"/>
      <c r="L1201" s="27"/>
      <c r="M1201" s="27"/>
      <c r="N1201" s="27"/>
      <c r="O1201" s="27"/>
      <c r="P1201" s="27">
        <v>2.0</v>
      </c>
      <c r="Q1201" s="17">
        <v>1.0</v>
      </c>
      <c r="R1201" s="17">
        <v>1.0</v>
      </c>
      <c r="S1201" s="17">
        <v>1.0</v>
      </c>
      <c r="T1201" s="14">
        <f t="shared" si="59"/>
        <v>5</v>
      </c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28"/>
      <c r="AE1201" s="28"/>
      <c r="AF1201" s="28"/>
      <c r="AG1201" s="28"/>
      <c r="AH1201" s="28"/>
      <c r="AI1201" s="28"/>
    </row>
    <row r="1202" ht="15.75" customHeight="1">
      <c r="A1202" s="14" t="s">
        <v>1442</v>
      </c>
      <c r="B1202" s="40" t="s">
        <v>107</v>
      </c>
      <c r="C1202" s="16"/>
      <c r="D1202" s="17"/>
      <c r="E1202" s="18"/>
      <c r="F1202" s="14"/>
      <c r="G1202" s="20"/>
      <c r="H1202" s="14"/>
      <c r="I1202" s="14"/>
      <c r="J1202" s="14"/>
      <c r="K1202" s="14"/>
      <c r="L1202" s="14"/>
      <c r="M1202" s="14"/>
      <c r="N1202" s="14">
        <v>5.0</v>
      </c>
      <c r="O1202" s="34">
        <v>3.0</v>
      </c>
      <c r="P1202" s="34"/>
      <c r="Q1202" s="34"/>
      <c r="R1202" s="34">
        <v>1.0</v>
      </c>
      <c r="S1202" s="34"/>
      <c r="T1202" s="34">
        <f t="shared" si="59"/>
        <v>9</v>
      </c>
      <c r="U1202" s="22"/>
      <c r="V1202" s="22"/>
      <c r="W1202" s="22"/>
      <c r="X1202" s="22"/>
      <c r="Y1202" s="22"/>
      <c r="Z1202" s="22"/>
      <c r="AA1202" s="22"/>
      <c r="AB1202" s="22"/>
      <c r="AC1202" s="22"/>
      <c r="AD1202" s="22"/>
      <c r="AE1202" s="22"/>
      <c r="AF1202" s="22"/>
      <c r="AG1202" s="22"/>
      <c r="AH1202" s="22"/>
      <c r="AI1202" s="22"/>
    </row>
    <row r="1203" ht="15.75" customHeight="1">
      <c r="A1203" s="27" t="s">
        <v>1443</v>
      </c>
      <c r="B1203" s="41"/>
      <c r="C1203" s="25"/>
      <c r="D1203" s="17"/>
      <c r="E1203" s="18"/>
      <c r="F1203" s="27"/>
      <c r="G1203" s="26"/>
      <c r="H1203" s="27"/>
      <c r="I1203" s="27"/>
      <c r="J1203" s="27"/>
      <c r="K1203" s="27"/>
      <c r="L1203" s="27"/>
      <c r="M1203" s="27"/>
      <c r="N1203" s="27"/>
      <c r="O1203" s="41"/>
      <c r="P1203" s="41"/>
      <c r="Q1203" s="41"/>
      <c r="R1203" s="41"/>
      <c r="S1203" s="41"/>
      <c r="T1203" s="41"/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28"/>
      <c r="AE1203" s="28"/>
      <c r="AF1203" s="28"/>
      <c r="AG1203" s="28"/>
      <c r="AH1203" s="28"/>
      <c r="AI1203" s="28"/>
    </row>
    <row r="1204" ht="15.75" customHeight="1">
      <c r="A1204" s="14" t="s">
        <v>1444</v>
      </c>
      <c r="B1204" s="41"/>
      <c r="C1204" s="16"/>
      <c r="D1204" s="17"/>
      <c r="E1204" s="18"/>
      <c r="F1204" s="14"/>
      <c r="G1204" s="20"/>
      <c r="H1204" s="14"/>
      <c r="I1204" s="14"/>
      <c r="J1204" s="14"/>
      <c r="K1204" s="14"/>
      <c r="L1204" s="14"/>
      <c r="M1204" s="14"/>
      <c r="N1204" s="14"/>
      <c r="O1204" s="41"/>
      <c r="P1204" s="41"/>
      <c r="Q1204" s="41"/>
      <c r="R1204" s="41"/>
      <c r="S1204" s="41"/>
      <c r="T1204" s="41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  <c r="AF1204" s="22"/>
      <c r="AG1204" s="22"/>
      <c r="AH1204" s="22"/>
      <c r="AI1204" s="22"/>
    </row>
    <row r="1205" ht="15.75" customHeight="1">
      <c r="A1205" s="27" t="s">
        <v>1445</v>
      </c>
      <c r="B1205" s="41"/>
      <c r="C1205" s="25"/>
      <c r="D1205" s="17"/>
      <c r="E1205" s="18"/>
      <c r="F1205" s="27"/>
      <c r="G1205" s="26"/>
      <c r="H1205" s="27"/>
      <c r="I1205" s="27"/>
      <c r="J1205" s="27"/>
      <c r="K1205" s="27"/>
      <c r="L1205" s="27"/>
      <c r="M1205" s="27"/>
      <c r="N1205" s="27"/>
      <c r="O1205" s="41"/>
      <c r="P1205" s="41"/>
      <c r="Q1205" s="41"/>
      <c r="R1205" s="41"/>
      <c r="S1205" s="41"/>
      <c r="T1205" s="41"/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28"/>
      <c r="AE1205" s="28"/>
      <c r="AF1205" s="28"/>
      <c r="AG1205" s="28"/>
      <c r="AH1205" s="28"/>
      <c r="AI1205" s="28"/>
    </row>
    <row r="1206" ht="15.75" customHeight="1">
      <c r="A1206" s="14" t="s">
        <v>1446</v>
      </c>
      <c r="B1206" s="35"/>
      <c r="C1206" s="16"/>
      <c r="D1206" s="17"/>
      <c r="E1206" s="18"/>
      <c r="F1206" s="14"/>
      <c r="G1206" s="20"/>
      <c r="H1206" s="14"/>
      <c r="I1206" s="14"/>
      <c r="J1206" s="14"/>
      <c r="K1206" s="14"/>
      <c r="L1206" s="14"/>
      <c r="M1206" s="14"/>
      <c r="N1206" s="14"/>
      <c r="O1206" s="35"/>
      <c r="P1206" s="35"/>
      <c r="Q1206" s="41"/>
      <c r="R1206" s="41"/>
      <c r="S1206" s="41"/>
      <c r="T1206" s="35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F1206" s="22"/>
      <c r="AG1206" s="22"/>
      <c r="AH1206" s="22"/>
      <c r="AI1206" s="22"/>
    </row>
    <row r="1207" ht="15.75" customHeight="1">
      <c r="A1207" s="17" t="s">
        <v>1447</v>
      </c>
      <c r="B1207" s="17" t="s">
        <v>129</v>
      </c>
      <c r="C1207" s="25"/>
      <c r="D1207" s="17"/>
      <c r="E1207" s="18"/>
      <c r="F1207" s="27"/>
      <c r="G1207" s="26"/>
      <c r="H1207" s="27"/>
      <c r="I1207" s="27"/>
      <c r="J1207" s="27"/>
      <c r="K1207" s="27"/>
      <c r="L1207" s="27"/>
      <c r="M1207" s="27"/>
      <c r="N1207" s="27"/>
      <c r="O1207" s="27"/>
      <c r="P1207" s="27"/>
      <c r="Q1207" s="46">
        <v>2.0</v>
      </c>
      <c r="R1207" s="40">
        <v>1.0</v>
      </c>
      <c r="S1207" s="40"/>
      <c r="T1207" s="14">
        <f t="shared" ref="T1207:T1230" si="60">SUM(I1207:S1207)</f>
        <v>3</v>
      </c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28"/>
      <c r="AE1207" s="28"/>
      <c r="AF1207" s="28"/>
      <c r="AG1207" s="28"/>
      <c r="AH1207" s="28"/>
      <c r="AI1207" s="28"/>
    </row>
    <row r="1208" ht="15.75" customHeight="1">
      <c r="A1208" s="27" t="s">
        <v>1448</v>
      </c>
      <c r="B1208" s="27" t="s">
        <v>25</v>
      </c>
      <c r="C1208" s="25"/>
      <c r="D1208" s="17"/>
      <c r="E1208" s="18"/>
      <c r="F1208" s="27"/>
      <c r="G1208" s="26"/>
      <c r="H1208" s="27"/>
      <c r="I1208" s="27"/>
      <c r="J1208" s="27"/>
      <c r="K1208" s="27"/>
      <c r="L1208" s="27"/>
      <c r="M1208" s="27"/>
      <c r="N1208" s="27">
        <v>1.0</v>
      </c>
      <c r="O1208" s="27">
        <v>3.0</v>
      </c>
      <c r="P1208" s="27"/>
      <c r="Q1208" s="27"/>
      <c r="R1208" s="27"/>
      <c r="S1208" s="27"/>
      <c r="T1208" s="14">
        <f t="shared" si="60"/>
        <v>4</v>
      </c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28"/>
      <c r="AE1208" s="28"/>
      <c r="AF1208" s="28"/>
      <c r="AG1208" s="28"/>
      <c r="AH1208" s="28"/>
      <c r="AI1208" s="28"/>
    </row>
    <row r="1209" ht="15.75" customHeight="1">
      <c r="A1209" s="19" t="s">
        <v>1449</v>
      </c>
      <c r="B1209" s="19" t="s">
        <v>187</v>
      </c>
      <c r="C1209" s="16"/>
      <c r="D1209" s="47"/>
      <c r="E1209" s="48"/>
      <c r="F1209" s="14"/>
      <c r="G1209" s="20"/>
      <c r="H1209" s="14"/>
      <c r="I1209" s="14"/>
      <c r="J1209" s="14"/>
      <c r="K1209" s="14"/>
      <c r="L1209" s="14"/>
      <c r="M1209" s="14"/>
      <c r="N1209" s="14"/>
      <c r="O1209" s="14"/>
      <c r="P1209" s="14"/>
      <c r="Q1209" s="19">
        <v>3.0</v>
      </c>
      <c r="R1209" s="14"/>
      <c r="S1209" s="19">
        <v>3.0</v>
      </c>
      <c r="T1209" s="14">
        <f t="shared" si="60"/>
        <v>6</v>
      </c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2"/>
    </row>
    <row r="1210" ht="15.75" customHeight="1">
      <c r="A1210" s="19" t="s">
        <v>1450</v>
      </c>
      <c r="B1210" s="19" t="s">
        <v>34</v>
      </c>
      <c r="C1210" s="16"/>
      <c r="D1210" s="17"/>
      <c r="E1210" s="54"/>
      <c r="F1210" s="14"/>
      <c r="G1210" s="20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9">
        <v>4.0</v>
      </c>
      <c r="S1210" s="19"/>
      <c r="T1210" s="14">
        <f t="shared" si="60"/>
        <v>4</v>
      </c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F1210" s="22"/>
      <c r="AG1210" s="22"/>
      <c r="AH1210" s="22"/>
      <c r="AI1210" s="22"/>
    </row>
    <row r="1211" ht="15.75" customHeight="1">
      <c r="A1211" s="19" t="s">
        <v>1451</v>
      </c>
      <c r="B1211" s="19" t="s">
        <v>62</v>
      </c>
      <c r="C1211" s="16"/>
      <c r="D1211" s="17"/>
      <c r="E1211" s="18"/>
      <c r="F1211" s="14"/>
      <c r="G1211" s="20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9">
        <v>1.0</v>
      </c>
      <c r="T1211" s="14">
        <f t="shared" si="60"/>
        <v>1</v>
      </c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  <c r="AG1211" s="22"/>
      <c r="AH1211" s="22"/>
      <c r="AI1211" s="22"/>
    </row>
    <row r="1212" ht="15.75" customHeight="1">
      <c r="A1212" s="14" t="s">
        <v>1452</v>
      </c>
      <c r="B1212" s="19" t="s">
        <v>21</v>
      </c>
      <c r="C1212" s="16"/>
      <c r="D1212" s="17"/>
      <c r="E1212" s="18"/>
      <c r="F1212" s="14"/>
      <c r="G1212" s="20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>
        <f t="shared" si="60"/>
        <v>0</v>
      </c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  <c r="AF1212" s="22"/>
      <c r="AG1212" s="22"/>
      <c r="AH1212" s="22"/>
      <c r="AI1212" s="22"/>
    </row>
    <row r="1213" ht="15.75" customHeight="1">
      <c r="A1213" s="27" t="s">
        <v>1453</v>
      </c>
      <c r="B1213" s="27" t="s">
        <v>46</v>
      </c>
      <c r="C1213" s="25"/>
      <c r="D1213" s="17"/>
      <c r="E1213" s="18"/>
      <c r="F1213" s="27"/>
      <c r="G1213" s="26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14">
        <f t="shared" si="60"/>
        <v>0</v>
      </c>
      <c r="U1213" s="28"/>
      <c r="V1213" s="28"/>
      <c r="W1213" s="28"/>
      <c r="X1213" s="28"/>
      <c r="Y1213" s="28"/>
      <c r="Z1213" s="28"/>
      <c r="AA1213" s="28"/>
      <c r="AB1213" s="28"/>
      <c r="AC1213" s="28"/>
      <c r="AD1213" s="28"/>
      <c r="AE1213" s="28"/>
      <c r="AF1213" s="28"/>
      <c r="AG1213" s="28"/>
      <c r="AH1213" s="28"/>
      <c r="AI1213" s="28"/>
    </row>
    <row r="1214" ht="15.75" customHeight="1">
      <c r="A1214" s="19" t="s">
        <v>1454</v>
      </c>
      <c r="B1214" s="19" t="s">
        <v>454</v>
      </c>
      <c r="C1214" s="16"/>
      <c r="D1214" s="17"/>
      <c r="E1214" s="48"/>
      <c r="F1214" s="14"/>
      <c r="G1214" s="20"/>
      <c r="H1214" s="14"/>
      <c r="I1214" s="14"/>
      <c r="J1214" s="14"/>
      <c r="K1214" s="14"/>
      <c r="L1214" s="14">
        <v>5.0</v>
      </c>
      <c r="M1214" s="14">
        <v>4.0</v>
      </c>
      <c r="N1214" s="14">
        <v>2.0</v>
      </c>
      <c r="O1214" s="14">
        <v>2.0</v>
      </c>
      <c r="P1214" s="14">
        <v>1.0</v>
      </c>
      <c r="Q1214" s="19">
        <v>4.0</v>
      </c>
      <c r="R1214" s="19">
        <v>2.0</v>
      </c>
      <c r="S1214" s="19">
        <v>3.0</v>
      </c>
      <c r="T1214" s="14">
        <f t="shared" si="60"/>
        <v>23</v>
      </c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F1214" s="22"/>
      <c r="AG1214" s="22"/>
      <c r="AH1214" s="22"/>
      <c r="AI1214" s="22"/>
    </row>
    <row r="1215" ht="15.75" customHeight="1">
      <c r="A1215" s="27" t="s">
        <v>1455</v>
      </c>
      <c r="B1215" s="27" t="s">
        <v>38</v>
      </c>
      <c r="C1215" s="25"/>
      <c r="D1215" s="17"/>
      <c r="E1215" s="18"/>
      <c r="F1215" s="27"/>
      <c r="G1215" s="26"/>
      <c r="H1215" s="27"/>
      <c r="I1215" s="27"/>
      <c r="J1215" s="27"/>
      <c r="K1215" s="27">
        <v>2.0</v>
      </c>
      <c r="L1215" s="27">
        <v>1.0</v>
      </c>
      <c r="M1215" s="27"/>
      <c r="N1215" s="27"/>
      <c r="O1215" s="27"/>
      <c r="P1215" s="27"/>
      <c r="Q1215" s="27"/>
      <c r="R1215" s="27"/>
      <c r="S1215" s="27"/>
      <c r="T1215" s="14">
        <f t="shared" si="60"/>
        <v>3</v>
      </c>
      <c r="U1215" s="28"/>
      <c r="V1215" s="28"/>
      <c r="W1215" s="28"/>
      <c r="X1215" s="28"/>
      <c r="Y1215" s="28"/>
      <c r="Z1215" s="28"/>
      <c r="AA1215" s="28"/>
      <c r="AB1215" s="28"/>
      <c r="AC1215" s="28"/>
      <c r="AD1215" s="28"/>
      <c r="AE1215" s="28"/>
      <c r="AF1215" s="28"/>
      <c r="AG1215" s="28"/>
      <c r="AH1215" s="28"/>
      <c r="AI1215" s="28"/>
    </row>
    <row r="1216" ht="15.75" customHeight="1">
      <c r="A1216" s="14" t="s">
        <v>1456</v>
      </c>
      <c r="B1216" s="19" t="s">
        <v>51</v>
      </c>
      <c r="C1216" s="16"/>
      <c r="D1216" s="17"/>
      <c r="E1216" s="18"/>
      <c r="F1216" s="14"/>
      <c r="G1216" s="19" t="s">
        <v>40</v>
      </c>
      <c r="H1216" s="90">
        <v>45882.0</v>
      </c>
      <c r="I1216" s="14"/>
      <c r="J1216" s="34"/>
      <c r="K1216" s="14"/>
      <c r="L1216" s="14">
        <v>2.0</v>
      </c>
      <c r="M1216" s="14">
        <v>1.0</v>
      </c>
      <c r="N1216" s="14"/>
      <c r="O1216" s="14"/>
      <c r="P1216" s="14"/>
      <c r="Q1216" s="14"/>
      <c r="R1216" s="19">
        <v>2.0</v>
      </c>
      <c r="S1216" s="19">
        <v>1.0</v>
      </c>
      <c r="T1216" s="14">
        <f t="shared" si="60"/>
        <v>6</v>
      </c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F1216" s="22"/>
      <c r="AG1216" s="22"/>
      <c r="AH1216" s="22"/>
      <c r="AI1216" s="22"/>
    </row>
    <row r="1217" ht="15.75" customHeight="1">
      <c r="A1217" s="27" t="s">
        <v>1457</v>
      </c>
      <c r="B1217" s="17" t="s">
        <v>87</v>
      </c>
      <c r="C1217" s="25"/>
      <c r="D1217" s="17"/>
      <c r="E1217" s="18"/>
      <c r="F1217" s="27"/>
      <c r="G1217" s="26"/>
      <c r="H1217" s="27"/>
      <c r="I1217" s="27"/>
      <c r="J1217" s="27">
        <v>3.0</v>
      </c>
      <c r="K1217" s="27"/>
      <c r="L1217" s="27"/>
      <c r="M1217" s="27"/>
      <c r="N1217" s="27"/>
      <c r="O1217" s="27"/>
      <c r="P1217" s="27"/>
      <c r="Q1217" s="27"/>
      <c r="R1217" s="27"/>
      <c r="S1217" s="27"/>
      <c r="T1217" s="14">
        <f t="shared" si="60"/>
        <v>3</v>
      </c>
      <c r="U1217" s="28"/>
      <c r="V1217" s="28"/>
      <c r="W1217" s="28"/>
      <c r="X1217" s="28"/>
      <c r="Y1217" s="28"/>
      <c r="Z1217" s="28"/>
      <c r="AA1217" s="28"/>
      <c r="AB1217" s="28"/>
      <c r="AC1217" s="28"/>
      <c r="AD1217" s="28"/>
      <c r="AE1217" s="28"/>
      <c r="AF1217" s="28"/>
      <c r="AG1217" s="28"/>
      <c r="AH1217" s="28"/>
      <c r="AI1217" s="28"/>
    </row>
    <row r="1218" ht="15.75" customHeight="1">
      <c r="A1218" s="17" t="s">
        <v>1458</v>
      </c>
      <c r="B1218" s="17" t="s">
        <v>1013</v>
      </c>
      <c r="C1218" s="25"/>
      <c r="D1218" s="17"/>
      <c r="E1218" s="18"/>
      <c r="F1218" s="27"/>
      <c r="G1218" s="26"/>
      <c r="H1218" s="27" t="s">
        <v>621</v>
      </c>
      <c r="I1218" s="27"/>
      <c r="J1218" s="33"/>
      <c r="K1218" s="27"/>
      <c r="L1218" s="27"/>
      <c r="M1218" s="27"/>
      <c r="N1218" s="27"/>
      <c r="O1218" s="27"/>
      <c r="P1218" s="27"/>
      <c r="Q1218" s="27"/>
      <c r="R1218" s="27"/>
      <c r="S1218" s="27"/>
      <c r="T1218" s="14">
        <f t="shared" si="60"/>
        <v>0</v>
      </c>
      <c r="U1218" s="28"/>
      <c r="V1218" s="28"/>
      <c r="W1218" s="28"/>
      <c r="X1218" s="28"/>
      <c r="Y1218" s="28"/>
      <c r="Z1218" s="28"/>
      <c r="AA1218" s="28"/>
      <c r="AB1218" s="28"/>
      <c r="AC1218" s="28"/>
      <c r="AD1218" s="28"/>
      <c r="AE1218" s="28"/>
      <c r="AF1218" s="28"/>
      <c r="AG1218" s="28"/>
      <c r="AH1218" s="28"/>
      <c r="AI1218" s="28"/>
    </row>
    <row r="1219" ht="15.75" customHeight="1">
      <c r="A1219" s="14" t="s">
        <v>1459</v>
      </c>
      <c r="B1219" s="14" t="s">
        <v>107</v>
      </c>
      <c r="C1219" s="16"/>
      <c r="D1219" s="17"/>
      <c r="E1219" s="48"/>
      <c r="F1219" s="67"/>
      <c r="G1219" s="20"/>
      <c r="H1219" s="14"/>
      <c r="I1219" s="14"/>
      <c r="J1219" s="14"/>
      <c r="K1219" s="14"/>
      <c r="L1219" s="14"/>
      <c r="M1219" s="127">
        <v>2.0</v>
      </c>
      <c r="N1219" s="14"/>
      <c r="O1219" s="127"/>
      <c r="P1219" s="127">
        <v>1.0</v>
      </c>
      <c r="Q1219" s="128">
        <v>1.0</v>
      </c>
      <c r="R1219" s="127"/>
      <c r="S1219" s="127"/>
      <c r="T1219" s="14">
        <f t="shared" si="60"/>
        <v>4</v>
      </c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  <c r="AF1219" s="22"/>
      <c r="AG1219" s="22"/>
      <c r="AH1219" s="22"/>
      <c r="AI1219" s="22"/>
    </row>
    <row r="1220" ht="15.75" customHeight="1">
      <c r="A1220" s="27" t="s">
        <v>1460</v>
      </c>
      <c r="B1220" s="17" t="s">
        <v>102</v>
      </c>
      <c r="C1220" s="25"/>
      <c r="D1220" s="17"/>
      <c r="E1220" s="18"/>
      <c r="F1220" s="51"/>
      <c r="G1220" s="26"/>
      <c r="H1220" s="27"/>
      <c r="I1220" s="27"/>
      <c r="J1220" s="27"/>
      <c r="K1220" s="27"/>
      <c r="L1220" s="27">
        <v>1.0</v>
      </c>
      <c r="M1220" s="27"/>
      <c r="N1220" s="27"/>
      <c r="O1220" s="27"/>
      <c r="P1220" s="27"/>
      <c r="Q1220" s="27"/>
      <c r="R1220" s="27"/>
      <c r="S1220" s="27"/>
      <c r="T1220" s="14">
        <f t="shared" si="60"/>
        <v>1</v>
      </c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28"/>
      <c r="AE1220" s="28"/>
      <c r="AF1220" s="28"/>
      <c r="AG1220" s="28"/>
      <c r="AH1220" s="28"/>
      <c r="AI1220" s="28"/>
    </row>
    <row r="1221" ht="15.75" customHeight="1">
      <c r="A1221" s="14" t="s">
        <v>1461</v>
      </c>
      <c r="B1221" s="19" t="s">
        <v>187</v>
      </c>
      <c r="C1221" s="16"/>
      <c r="D1221" s="17"/>
      <c r="E1221" s="48"/>
      <c r="F1221" s="67"/>
      <c r="G1221" s="20"/>
      <c r="H1221" s="14"/>
      <c r="I1221" s="14"/>
      <c r="J1221" s="14"/>
      <c r="K1221" s="14">
        <v>4.0</v>
      </c>
      <c r="L1221" s="14">
        <v>3.0</v>
      </c>
      <c r="M1221" s="14">
        <v>3.0</v>
      </c>
      <c r="N1221" s="14">
        <v>4.0</v>
      </c>
      <c r="O1221" s="14">
        <v>3.0</v>
      </c>
      <c r="P1221" s="14">
        <v>3.0</v>
      </c>
      <c r="Q1221" s="19">
        <v>1.0</v>
      </c>
      <c r="R1221" s="19">
        <v>1.0</v>
      </c>
      <c r="S1221" s="19"/>
      <c r="T1221" s="14">
        <f t="shared" si="60"/>
        <v>22</v>
      </c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F1221" s="22"/>
      <c r="AG1221" s="22"/>
      <c r="AH1221" s="22"/>
      <c r="AI1221" s="22"/>
    </row>
    <row r="1222" ht="15.75" customHeight="1">
      <c r="A1222" s="17" t="s">
        <v>1462</v>
      </c>
      <c r="B1222" s="17" t="s">
        <v>107</v>
      </c>
      <c r="C1222" s="25"/>
      <c r="D1222" s="17"/>
      <c r="E1222" s="18"/>
      <c r="F1222" s="27"/>
      <c r="G1222" s="26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14"/>
      <c r="S1222" s="14"/>
      <c r="T1222" s="14">
        <f t="shared" si="60"/>
        <v>0</v>
      </c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28"/>
      <c r="AE1222" s="28"/>
      <c r="AF1222" s="28"/>
      <c r="AG1222" s="28"/>
      <c r="AH1222" s="28"/>
      <c r="AI1222" s="28"/>
    </row>
    <row r="1223" ht="15.75" customHeight="1">
      <c r="A1223" s="17" t="s">
        <v>1463</v>
      </c>
      <c r="B1223" s="17" t="s">
        <v>580</v>
      </c>
      <c r="C1223" s="25"/>
      <c r="D1223" s="50"/>
      <c r="E1223" s="48"/>
      <c r="F1223" s="27"/>
      <c r="G1223" s="26"/>
      <c r="H1223" s="27"/>
      <c r="I1223" s="27"/>
      <c r="J1223" s="27"/>
      <c r="K1223" s="27"/>
      <c r="L1223" s="27"/>
      <c r="M1223" s="27"/>
      <c r="N1223" s="27"/>
      <c r="O1223" s="27"/>
      <c r="P1223" s="27"/>
      <c r="Q1223" s="17">
        <v>1.0</v>
      </c>
      <c r="R1223" s="14"/>
      <c r="S1223" s="14"/>
      <c r="T1223" s="14">
        <f t="shared" si="60"/>
        <v>1</v>
      </c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28"/>
      <c r="AE1223" s="28"/>
      <c r="AF1223" s="28"/>
      <c r="AG1223" s="28"/>
      <c r="AH1223" s="28"/>
      <c r="AI1223" s="28"/>
    </row>
    <row r="1224" ht="15.75" customHeight="1">
      <c r="A1224" s="17" t="s">
        <v>1464</v>
      </c>
      <c r="B1224" s="17" t="s">
        <v>187</v>
      </c>
      <c r="C1224" s="25"/>
      <c r="D1224" s="47"/>
      <c r="E1224" s="48"/>
      <c r="F1224" s="27"/>
      <c r="G1224" s="26"/>
      <c r="H1224" s="27"/>
      <c r="I1224" s="27"/>
      <c r="J1224" s="27"/>
      <c r="K1224" s="27"/>
      <c r="L1224" s="27"/>
      <c r="M1224" s="27"/>
      <c r="N1224" s="27"/>
      <c r="O1224" s="27"/>
      <c r="P1224" s="27"/>
      <c r="Q1224" s="17">
        <v>1.0</v>
      </c>
      <c r="R1224" s="19">
        <v>1.0</v>
      </c>
      <c r="S1224" s="19">
        <v>2.0</v>
      </c>
      <c r="T1224" s="14">
        <f t="shared" si="60"/>
        <v>4</v>
      </c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28"/>
      <c r="AE1224" s="28"/>
      <c r="AF1224" s="28"/>
      <c r="AG1224" s="28"/>
      <c r="AH1224" s="28"/>
      <c r="AI1224" s="28"/>
    </row>
    <row r="1225" ht="15.75" customHeight="1">
      <c r="A1225" s="17" t="s">
        <v>1465</v>
      </c>
      <c r="B1225" s="17" t="s">
        <v>311</v>
      </c>
      <c r="C1225" s="25"/>
      <c r="D1225" s="17"/>
      <c r="E1225" s="48"/>
      <c r="F1225" s="27"/>
      <c r="G1225" s="26"/>
      <c r="H1225" s="27"/>
      <c r="I1225" s="27"/>
      <c r="J1225" s="27"/>
      <c r="K1225" s="27"/>
      <c r="L1225" s="27"/>
      <c r="M1225" s="27"/>
      <c r="N1225" s="27"/>
      <c r="O1225" s="27"/>
      <c r="P1225" s="27"/>
      <c r="Q1225" s="17">
        <v>1.0</v>
      </c>
      <c r="R1225" s="19">
        <v>1.0</v>
      </c>
      <c r="S1225" s="19"/>
      <c r="T1225" s="14">
        <f t="shared" si="60"/>
        <v>2</v>
      </c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28"/>
      <c r="AE1225" s="28"/>
      <c r="AF1225" s="28"/>
      <c r="AG1225" s="28"/>
      <c r="AH1225" s="28"/>
      <c r="AI1225" s="28"/>
    </row>
    <row r="1226" ht="15.75" customHeight="1">
      <c r="A1226" s="27" t="s">
        <v>1466</v>
      </c>
      <c r="B1226" s="17" t="s">
        <v>27</v>
      </c>
      <c r="C1226" s="25"/>
      <c r="D1226" s="17"/>
      <c r="E1226" s="18"/>
      <c r="F1226" s="27"/>
      <c r="G1226" s="26"/>
      <c r="H1226" s="27"/>
      <c r="I1226" s="27"/>
      <c r="J1226" s="27"/>
      <c r="K1226" s="27"/>
      <c r="L1226" s="27"/>
      <c r="M1226" s="27"/>
      <c r="N1226" s="27">
        <v>6.0</v>
      </c>
      <c r="O1226" s="27">
        <v>1.0</v>
      </c>
      <c r="P1226" s="27">
        <v>2.0</v>
      </c>
      <c r="Q1226" s="17">
        <v>2.0</v>
      </c>
      <c r="R1226" s="17">
        <v>1.0</v>
      </c>
      <c r="S1226" s="17"/>
      <c r="T1226" s="14">
        <f t="shared" si="60"/>
        <v>12</v>
      </c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28"/>
      <c r="AE1226" s="28"/>
      <c r="AF1226" s="28"/>
      <c r="AG1226" s="28"/>
      <c r="AH1226" s="28"/>
      <c r="AI1226" s="28"/>
    </row>
    <row r="1227" ht="15.75" customHeight="1">
      <c r="A1227" s="17" t="s">
        <v>1466</v>
      </c>
      <c r="B1227" s="17" t="s">
        <v>73</v>
      </c>
      <c r="C1227" s="30" t="s">
        <v>110</v>
      </c>
      <c r="D1227" s="17"/>
      <c r="E1227" s="18"/>
      <c r="F1227" s="17" t="s">
        <v>74</v>
      </c>
      <c r="G1227" s="26"/>
      <c r="H1227" s="27"/>
      <c r="I1227" s="27"/>
      <c r="J1227" s="27"/>
      <c r="K1227" s="27"/>
      <c r="L1227" s="27"/>
      <c r="M1227" s="27"/>
      <c r="N1227" s="27"/>
      <c r="O1227" s="27"/>
      <c r="P1227" s="27"/>
      <c r="Q1227" s="17"/>
      <c r="R1227" s="17"/>
      <c r="S1227" s="17"/>
      <c r="T1227" s="14">
        <f t="shared" si="60"/>
        <v>0</v>
      </c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28"/>
      <c r="AE1227" s="28"/>
      <c r="AF1227" s="28"/>
      <c r="AG1227" s="28"/>
      <c r="AH1227" s="28"/>
      <c r="AI1227" s="28"/>
    </row>
    <row r="1228" ht="15.75" customHeight="1">
      <c r="A1228" s="14" t="s">
        <v>1467</v>
      </c>
      <c r="B1228" s="19" t="s">
        <v>198</v>
      </c>
      <c r="C1228" s="16"/>
      <c r="D1228" s="17"/>
      <c r="E1228" s="18"/>
      <c r="F1228" s="14"/>
      <c r="G1228" s="20"/>
      <c r="H1228" s="14"/>
      <c r="I1228" s="14"/>
      <c r="J1228" s="14"/>
      <c r="K1228" s="14"/>
      <c r="L1228" s="14">
        <v>2.0</v>
      </c>
      <c r="M1228" s="14">
        <v>2.0</v>
      </c>
      <c r="N1228" s="14">
        <v>2.0</v>
      </c>
      <c r="O1228" s="14"/>
      <c r="P1228" s="14"/>
      <c r="Q1228" s="14"/>
      <c r="R1228" s="19">
        <v>1.0</v>
      </c>
      <c r="S1228" s="19"/>
      <c r="T1228" s="14">
        <f t="shared" si="60"/>
        <v>7</v>
      </c>
      <c r="U1228" s="22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2"/>
    </row>
    <row r="1229" ht="15.75" customHeight="1">
      <c r="A1229" s="27" t="s">
        <v>1468</v>
      </c>
      <c r="B1229" s="17" t="s">
        <v>102</v>
      </c>
      <c r="C1229" s="25"/>
      <c r="D1229" s="17"/>
      <c r="E1229" s="48"/>
      <c r="F1229" s="27"/>
      <c r="G1229" s="26"/>
      <c r="H1229" s="27"/>
      <c r="I1229" s="27"/>
      <c r="J1229" s="27"/>
      <c r="K1229" s="27"/>
      <c r="L1229" s="27"/>
      <c r="M1229" s="27"/>
      <c r="N1229" s="27">
        <v>3.0</v>
      </c>
      <c r="O1229" s="27">
        <v>5.0</v>
      </c>
      <c r="P1229" s="27">
        <v>4.0</v>
      </c>
      <c r="Q1229" s="17">
        <v>2.0</v>
      </c>
      <c r="R1229" s="27"/>
      <c r="S1229" s="27"/>
      <c r="T1229" s="14">
        <f t="shared" si="60"/>
        <v>14</v>
      </c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28"/>
      <c r="AE1229" s="28"/>
      <c r="AF1229" s="28"/>
      <c r="AG1229" s="28"/>
      <c r="AH1229" s="28"/>
      <c r="AI1229" s="28"/>
    </row>
    <row r="1230" ht="15.75" customHeight="1">
      <c r="A1230" s="19" t="s">
        <v>1469</v>
      </c>
      <c r="B1230" s="40" t="s">
        <v>265</v>
      </c>
      <c r="C1230" s="24" t="s">
        <v>645</v>
      </c>
      <c r="D1230" s="17" t="s">
        <v>1470</v>
      </c>
      <c r="E1230" s="18">
        <v>45899.0</v>
      </c>
      <c r="F1230" s="19"/>
      <c r="G1230" s="20"/>
      <c r="H1230" s="14"/>
      <c r="I1230" s="14"/>
      <c r="J1230" s="14"/>
      <c r="K1230" s="14"/>
      <c r="L1230" s="14"/>
      <c r="M1230" s="14"/>
      <c r="N1230" s="14"/>
      <c r="O1230" s="14"/>
      <c r="P1230" s="14"/>
      <c r="Q1230" s="19">
        <v>3.0</v>
      </c>
      <c r="R1230" s="40">
        <v>4.0</v>
      </c>
      <c r="S1230" s="40">
        <v>4.0</v>
      </c>
      <c r="T1230" s="34">
        <f t="shared" si="60"/>
        <v>11</v>
      </c>
      <c r="U1230" s="22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2"/>
    </row>
    <row r="1231" ht="15.75" customHeight="1">
      <c r="A1231" s="19" t="s">
        <v>1471</v>
      </c>
      <c r="B1231" s="35"/>
      <c r="C1231" s="24"/>
      <c r="D1231" s="17"/>
      <c r="E1231" s="18"/>
      <c r="F1231" s="19"/>
      <c r="G1231" s="20"/>
      <c r="H1231" s="14"/>
      <c r="I1231" s="14"/>
      <c r="J1231" s="14"/>
      <c r="K1231" s="14"/>
      <c r="L1231" s="14"/>
      <c r="M1231" s="14"/>
      <c r="N1231" s="14"/>
      <c r="O1231" s="14"/>
      <c r="P1231" s="14"/>
      <c r="Q1231" s="19"/>
      <c r="R1231" s="35"/>
      <c r="S1231" s="35"/>
      <c r="T1231" s="35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</row>
    <row r="1232" ht="15.75" customHeight="1">
      <c r="A1232" s="14" t="s">
        <v>1472</v>
      </c>
      <c r="B1232" s="14" t="s">
        <v>256</v>
      </c>
      <c r="C1232" s="16"/>
      <c r="D1232" s="17"/>
      <c r="E1232" s="18"/>
      <c r="F1232" s="67"/>
      <c r="G1232" s="20"/>
      <c r="H1232" s="14"/>
      <c r="I1232" s="14"/>
      <c r="J1232" s="14"/>
      <c r="K1232" s="14"/>
      <c r="L1232" s="14">
        <v>3.0</v>
      </c>
      <c r="M1232" s="14"/>
      <c r="N1232" s="14"/>
      <c r="O1232" s="14"/>
      <c r="P1232" s="14"/>
      <c r="Q1232" s="14"/>
      <c r="R1232" s="14"/>
      <c r="S1232" s="14"/>
      <c r="T1232" s="14">
        <f t="shared" ref="T1232:T1233" si="61">SUM(I1232:S1232)</f>
        <v>3</v>
      </c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22"/>
      <c r="AG1232" s="22"/>
      <c r="AH1232" s="22"/>
      <c r="AI1232" s="22"/>
    </row>
    <row r="1233" ht="15.75" customHeight="1">
      <c r="A1233" s="27" t="s">
        <v>1473</v>
      </c>
      <c r="B1233" s="46" t="s">
        <v>173</v>
      </c>
      <c r="C1233" s="25"/>
      <c r="D1233" s="17"/>
      <c r="E1233" s="18"/>
      <c r="F1233" s="27"/>
      <c r="G1233" s="26"/>
      <c r="H1233" s="27"/>
      <c r="I1233" s="27"/>
      <c r="J1233" s="27">
        <v>2.0</v>
      </c>
      <c r="K1233" s="27">
        <v>1.0</v>
      </c>
      <c r="L1233" s="27"/>
      <c r="M1233" s="27"/>
      <c r="N1233" s="33"/>
      <c r="O1233" s="33">
        <v>1.0</v>
      </c>
      <c r="P1233" s="33"/>
      <c r="Q1233" s="33"/>
      <c r="R1233" s="33"/>
      <c r="S1233" s="46">
        <v>1.0</v>
      </c>
      <c r="T1233" s="34">
        <f t="shared" si="61"/>
        <v>5</v>
      </c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28"/>
      <c r="AE1233" s="28"/>
      <c r="AF1233" s="28"/>
      <c r="AG1233" s="28"/>
      <c r="AH1233" s="28"/>
      <c r="AI1233" s="28"/>
    </row>
    <row r="1234" ht="15.75" customHeight="1">
      <c r="A1234" s="19" t="s">
        <v>1474</v>
      </c>
      <c r="B1234" s="35"/>
      <c r="C1234" s="16"/>
      <c r="D1234" s="17"/>
      <c r="E1234" s="18"/>
      <c r="F1234" s="14"/>
      <c r="G1234" s="14"/>
      <c r="H1234" s="14"/>
      <c r="I1234" s="14"/>
      <c r="J1234" s="14"/>
      <c r="K1234" s="14"/>
      <c r="L1234" s="14"/>
      <c r="M1234" s="14"/>
      <c r="N1234" s="35"/>
      <c r="O1234" s="35"/>
      <c r="P1234" s="35"/>
      <c r="Q1234" s="41"/>
      <c r="R1234" s="41"/>
      <c r="S1234" s="41"/>
      <c r="T1234" s="35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2"/>
    </row>
    <row r="1235" ht="15.75" customHeight="1">
      <c r="A1235" s="17" t="s">
        <v>1475</v>
      </c>
      <c r="B1235" s="17" t="s">
        <v>25</v>
      </c>
      <c r="C1235" s="25"/>
      <c r="D1235" s="17"/>
      <c r="E1235" s="18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33"/>
      <c r="R1235" s="46">
        <v>1.0</v>
      </c>
      <c r="S1235" s="46"/>
      <c r="T1235" s="14">
        <f t="shared" ref="T1235:T1251" si="62">SUM(I1235:S1235)</f>
        <v>1</v>
      </c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28"/>
      <c r="AE1235" s="28"/>
      <c r="AF1235" s="28"/>
      <c r="AG1235" s="28"/>
      <c r="AH1235" s="28"/>
      <c r="AI1235" s="28"/>
    </row>
    <row r="1236" ht="15.75" customHeight="1">
      <c r="A1236" s="27" t="s">
        <v>1476</v>
      </c>
      <c r="B1236" s="17" t="s">
        <v>572</v>
      </c>
      <c r="C1236" s="25"/>
      <c r="D1236" s="17"/>
      <c r="E1236" s="18"/>
      <c r="F1236" s="27"/>
      <c r="G1236" s="27"/>
      <c r="H1236" s="27"/>
      <c r="I1236" s="27"/>
      <c r="J1236" s="27"/>
      <c r="K1236" s="27"/>
      <c r="L1236" s="27"/>
      <c r="M1236" s="27">
        <v>2.0</v>
      </c>
      <c r="N1236" s="27"/>
      <c r="O1236" s="27"/>
      <c r="P1236" s="27">
        <v>1.0</v>
      </c>
      <c r="Q1236" s="27"/>
      <c r="R1236" s="27"/>
      <c r="S1236" s="17">
        <v>1.0</v>
      </c>
      <c r="T1236" s="14">
        <f t="shared" si="62"/>
        <v>4</v>
      </c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28"/>
      <c r="AE1236" s="28"/>
      <c r="AF1236" s="28"/>
      <c r="AG1236" s="28"/>
      <c r="AH1236" s="28"/>
      <c r="AI1236" s="28"/>
    </row>
    <row r="1237" ht="15.75" customHeight="1">
      <c r="A1237" s="14" t="s">
        <v>1477</v>
      </c>
      <c r="B1237" s="14" t="s">
        <v>46</v>
      </c>
      <c r="C1237" s="16"/>
      <c r="D1237" s="17"/>
      <c r="E1237" s="18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>
        <v>2.0</v>
      </c>
      <c r="Q1237" s="14"/>
      <c r="R1237" s="14"/>
      <c r="S1237" s="14"/>
      <c r="T1237" s="14">
        <f t="shared" si="62"/>
        <v>2</v>
      </c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  <c r="AH1237" s="22"/>
      <c r="AI1237" s="22"/>
    </row>
    <row r="1238" ht="15.75" customHeight="1">
      <c r="A1238" s="27" t="s">
        <v>1478</v>
      </c>
      <c r="B1238" s="27" t="s">
        <v>46</v>
      </c>
      <c r="C1238" s="25"/>
      <c r="D1238" s="17"/>
      <c r="E1238" s="18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>
        <v>2.0</v>
      </c>
      <c r="Q1238" s="17">
        <v>1.0</v>
      </c>
      <c r="R1238" s="27"/>
      <c r="S1238" s="27"/>
      <c r="T1238" s="14">
        <f t="shared" si="62"/>
        <v>3</v>
      </c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28"/>
      <c r="AE1238" s="28"/>
      <c r="AF1238" s="28"/>
      <c r="AG1238" s="28"/>
      <c r="AH1238" s="28"/>
      <c r="AI1238" s="28"/>
    </row>
    <row r="1239" ht="15.75" customHeight="1">
      <c r="A1239" s="19" t="s">
        <v>1479</v>
      </c>
      <c r="B1239" s="14" t="s">
        <v>46</v>
      </c>
      <c r="C1239" s="16"/>
      <c r="D1239" s="17"/>
      <c r="E1239" s="18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>
        <v>1.0</v>
      </c>
      <c r="Q1239" s="14"/>
      <c r="R1239" s="14"/>
      <c r="S1239" s="14"/>
      <c r="T1239" s="14">
        <f t="shared" si="62"/>
        <v>1</v>
      </c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</row>
    <row r="1240" ht="15.75" customHeight="1">
      <c r="A1240" s="17" t="s">
        <v>1480</v>
      </c>
      <c r="B1240" s="17" t="s">
        <v>230</v>
      </c>
      <c r="C1240" s="25"/>
      <c r="D1240" s="17"/>
      <c r="E1240" s="18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14"/>
      <c r="S1240" s="14"/>
      <c r="T1240" s="14">
        <f t="shared" si="62"/>
        <v>0</v>
      </c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28"/>
      <c r="AE1240" s="28"/>
      <c r="AF1240" s="28"/>
      <c r="AG1240" s="28"/>
      <c r="AH1240" s="28"/>
      <c r="AI1240" s="28"/>
    </row>
    <row r="1241" ht="15.75" customHeight="1">
      <c r="A1241" s="27" t="s">
        <v>1481</v>
      </c>
      <c r="B1241" s="17" t="s">
        <v>187</v>
      </c>
      <c r="C1241" s="25"/>
      <c r="D1241" s="17"/>
      <c r="E1241" s="18"/>
      <c r="F1241" s="27"/>
      <c r="G1241" s="27"/>
      <c r="H1241" s="27"/>
      <c r="I1241" s="27"/>
      <c r="J1241" s="27"/>
      <c r="K1241" s="27"/>
      <c r="L1241" s="27"/>
      <c r="M1241" s="27">
        <v>1.0</v>
      </c>
      <c r="N1241" s="27">
        <v>3.0</v>
      </c>
      <c r="O1241" s="27"/>
      <c r="P1241" s="27">
        <v>1.0</v>
      </c>
      <c r="Q1241" s="27"/>
      <c r="R1241" s="27"/>
      <c r="S1241" s="17">
        <v>1.0</v>
      </c>
      <c r="T1241" s="14">
        <f t="shared" si="62"/>
        <v>6</v>
      </c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28"/>
      <c r="AE1241" s="28"/>
      <c r="AF1241" s="28"/>
      <c r="AG1241" s="28"/>
      <c r="AH1241" s="28"/>
      <c r="AI1241" s="28"/>
    </row>
    <row r="1242" ht="15.75" customHeight="1">
      <c r="A1242" s="14" t="s">
        <v>1482</v>
      </c>
      <c r="B1242" s="14" t="s">
        <v>102</v>
      </c>
      <c r="C1242" s="16"/>
      <c r="D1242" s="17"/>
      <c r="E1242" s="18"/>
      <c r="F1242" s="14"/>
      <c r="G1242" s="20"/>
      <c r="H1242" s="14"/>
      <c r="I1242" s="14"/>
      <c r="J1242" s="14"/>
      <c r="K1242" s="14"/>
      <c r="L1242" s="14"/>
      <c r="M1242" s="14"/>
      <c r="N1242" s="14">
        <v>1.0</v>
      </c>
      <c r="O1242" s="14"/>
      <c r="P1242" s="14"/>
      <c r="Q1242" s="14"/>
      <c r="R1242" s="14"/>
      <c r="S1242" s="14"/>
      <c r="T1242" s="14">
        <f t="shared" si="62"/>
        <v>1</v>
      </c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</row>
    <row r="1243" ht="15.75" customHeight="1">
      <c r="A1243" s="17" t="s">
        <v>1483</v>
      </c>
      <c r="B1243" s="17" t="s">
        <v>265</v>
      </c>
      <c r="C1243" s="25"/>
      <c r="D1243" s="17"/>
      <c r="E1243" s="18"/>
      <c r="F1243" s="27"/>
      <c r="G1243" s="26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19">
        <v>2.0</v>
      </c>
      <c r="S1243" s="19">
        <v>1.0</v>
      </c>
      <c r="T1243" s="14">
        <f t="shared" si="62"/>
        <v>3</v>
      </c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28"/>
      <c r="AE1243" s="28"/>
      <c r="AF1243" s="28"/>
      <c r="AG1243" s="28"/>
      <c r="AH1243" s="28"/>
      <c r="AI1243" s="28"/>
    </row>
    <row r="1244" ht="15.75" customHeight="1">
      <c r="A1244" s="27" t="s">
        <v>1484</v>
      </c>
      <c r="B1244" s="27" t="s">
        <v>42</v>
      </c>
      <c r="C1244" s="25"/>
      <c r="D1244" s="17"/>
      <c r="E1244" s="18"/>
      <c r="F1244" s="27"/>
      <c r="G1244" s="26"/>
      <c r="H1244" s="27"/>
      <c r="I1244" s="27"/>
      <c r="J1244" s="27"/>
      <c r="K1244" s="27"/>
      <c r="L1244" s="27">
        <v>2.0</v>
      </c>
      <c r="M1244" s="27"/>
      <c r="N1244" s="27"/>
      <c r="O1244" s="27"/>
      <c r="P1244" s="27"/>
      <c r="Q1244" s="27"/>
      <c r="R1244" s="27"/>
      <c r="S1244" s="27"/>
      <c r="T1244" s="14">
        <f t="shared" si="62"/>
        <v>2</v>
      </c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28"/>
      <c r="AE1244" s="28"/>
      <c r="AF1244" s="28"/>
      <c r="AG1244" s="28"/>
      <c r="AH1244" s="28"/>
      <c r="AI1244" s="28"/>
    </row>
    <row r="1245" ht="15.75" customHeight="1">
      <c r="A1245" s="17" t="s">
        <v>1485</v>
      </c>
      <c r="B1245" s="17" t="s">
        <v>73</v>
      </c>
      <c r="C1245" s="30" t="s">
        <v>32</v>
      </c>
      <c r="D1245" s="17"/>
      <c r="E1245" s="18"/>
      <c r="F1245" s="17" t="s">
        <v>74</v>
      </c>
      <c r="G1245" s="26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14">
        <f t="shared" si="62"/>
        <v>0</v>
      </c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28"/>
      <c r="AE1245" s="28"/>
      <c r="AF1245" s="28"/>
      <c r="AG1245" s="28"/>
      <c r="AH1245" s="28"/>
      <c r="AI1245" s="28"/>
    </row>
    <row r="1246" ht="15.75" customHeight="1">
      <c r="A1246" s="23" t="s">
        <v>1486</v>
      </c>
      <c r="B1246" s="19" t="s">
        <v>22</v>
      </c>
      <c r="C1246" s="16"/>
      <c r="D1246" s="17"/>
      <c r="E1246" s="18"/>
      <c r="F1246" s="14"/>
      <c r="G1246" s="20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>
        <f t="shared" si="62"/>
        <v>0</v>
      </c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2"/>
    </row>
    <row r="1247" ht="15.75" customHeight="1">
      <c r="A1247" s="17" t="s">
        <v>1487</v>
      </c>
      <c r="B1247" s="108"/>
      <c r="C1247" s="25"/>
      <c r="D1247" s="17"/>
      <c r="E1247" s="18"/>
      <c r="F1247" s="27"/>
      <c r="G1247" s="26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14"/>
      <c r="S1247" s="14"/>
      <c r="T1247" s="14">
        <f t="shared" si="62"/>
        <v>0</v>
      </c>
      <c r="U1247" s="28"/>
      <c r="V1247" s="28"/>
      <c r="W1247" s="28"/>
      <c r="X1247" s="28"/>
      <c r="Y1247" s="28"/>
      <c r="Z1247" s="28"/>
      <c r="AA1247" s="28"/>
      <c r="AB1247" s="28"/>
      <c r="AC1247" s="28"/>
      <c r="AD1247" s="28"/>
      <c r="AE1247" s="28"/>
      <c r="AF1247" s="28"/>
      <c r="AG1247" s="28"/>
      <c r="AH1247" s="28"/>
      <c r="AI1247" s="28"/>
    </row>
    <row r="1248" ht="15.75" customHeight="1">
      <c r="A1248" s="27" t="s">
        <v>1488</v>
      </c>
      <c r="B1248" s="129" t="s">
        <v>107</v>
      </c>
      <c r="C1248" s="25"/>
      <c r="D1248" s="17"/>
      <c r="E1248" s="18"/>
      <c r="F1248" s="27"/>
      <c r="G1248" s="26" t="s">
        <v>1489</v>
      </c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14">
        <f t="shared" si="62"/>
        <v>0</v>
      </c>
      <c r="U1248" s="28"/>
      <c r="V1248" s="28"/>
      <c r="W1248" s="28"/>
      <c r="X1248" s="28"/>
      <c r="Y1248" s="28"/>
      <c r="Z1248" s="28"/>
      <c r="AA1248" s="28"/>
      <c r="AB1248" s="28"/>
      <c r="AC1248" s="28"/>
      <c r="AD1248" s="28"/>
      <c r="AE1248" s="28"/>
      <c r="AF1248" s="28"/>
      <c r="AG1248" s="28"/>
      <c r="AH1248" s="28"/>
      <c r="AI1248" s="28"/>
    </row>
    <row r="1249" ht="15.75" customHeight="1">
      <c r="A1249" s="14" t="s">
        <v>1490</v>
      </c>
      <c r="B1249" s="19" t="s">
        <v>471</v>
      </c>
      <c r="C1249" s="16"/>
      <c r="D1249" s="17"/>
      <c r="E1249" s="18"/>
      <c r="F1249" s="14"/>
      <c r="G1249" s="20"/>
      <c r="H1249" s="14"/>
      <c r="I1249" s="14"/>
      <c r="J1249" s="14"/>
      <c r="K1249" s="14">
        <v>5.0</v>
      </c>
      <c r="L1249" s="14">
        <v>1.0</v>
      </c>
      <c r="M1249" s="14"/>
      <c r="N1249" s="14"/>
      <c r="O1249" s="14"/>
      <c r="P1249" s="14"/>
      <c r="Q1249" s="19">
        <v>1.0</v>
      </c>
      <c r="R1249" s="19">
        <v>1.0</v>
      </c>
      <c r="S1249" s="19"/>
      <c r="T1249" s="14">
        <f t="shared" si="62"/>
        <v>8</v>
      </c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  <c r="AG1249" s="22"/>
      <c r="AH1249" s="22"/>
      <c r="AI1249" s="22"/>
    </row>
    <row r="1250" ht="15.75" customHeight="1">
      <c r="A1250" s="17" t="s">
        <v>1491</v>
      </c>
      <c r="B1250" s="37" t="s">
        <v>70</v>
      </c>
      <c r="C1250" s="59"/>
      <c r="D1250" s="17"/>
      <c r="E1250" s="18"/>
      <c r="F1250" s="49"/>
      <c r="G1250" s="26"/>
      <c r="H1250" s="27"/>
      <c r="I1250" s="27"/>
      <c r="J1250" s="27"/>
      <c r="K1250" s="27"/>
      <c r="L1250" s="27"/>
      <c r="M1250" s="27"/>
      <c r="N1250" s="27"/>
      <c r="O1250" s="27"/>
      <c r="P1250" s="27"/>
      <c r="Q1250" s="33"/>
      <c r="R1250" s="34"/>
      <c r="S1250" s="34"/>
      <c r="T1250" s="14">
        <f t="shared" si="62"/>
        <v>0</v>
      </c>
      <c r="U1250" s="28"/>
      <c r="V1250" s="28"/>
      <c r="W1250" s="28"/>
      <c r="X1250" s="28"/>
      <c r="Y1250" s="28"/>
      <c r="Z1250" s="28"/>
      <c r="AA1250" s="28"/>
      <c r="AB1250" s="28"/>
      <c r="AC1250" s="28"/>
      <c r="AD1250" s="28"/>
      <c r="AE1250" s="28"/>
      <c r="AF1250" s="28"/>
      <c r="AG1250" s="28"/>
      <c r="AH1250" s="28"/>
      <c r="AI1250" s="28"/>
    </row>
    <row r="1251" ht="15.75" customHeight="1">
      <c r="A1251" s="27" t="s">
        <v>1492</v>
      </c>
      <c r="B1251" s="32" t="s">
        <v>107</v>
      </c>
      <c r="C1251" s="59"/>
      <c r="D1251" s="17"/>
      <c r="E1251" s="18"/>
      <c r="F1251" s="49"/>
      <c r="G1251" s="26"/>
      <c r="H1251" s="27"/>
      <c r="I1251" s="27">
        <v>1.0</v>
      </c>
      <c r="J1251" s="27">
        <v>2.0</v>
      </c>
      <c r="K1251" s="27">
        <v>2.0</v>
      </c>
      <c r="L1251" s="27"/>
      <c r="M1251" s="27">
        <v>2.0</v>
      </c>
      <c r="N1251" s="27"/>
      <c r="O1251" s="33">
        <v>1.0</v>
      </c>
      <c r="P1251" s="33"/>
      <c r="Q1251" s="33"/>
      <c r="R1251" s="33"/>
      <c r="S1251" s="46">
        <v>1.0</v>
      </c>
      <c r="T1251" s="34">
        <f t="shared" si="62"/>
        <v>9</v>
      </c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28"/>
      <c r="AE1251" s="28"/>
      <c r="AF1251" s="28"/>
      <c r="AG1251" s="28"/>
      <c r="AH1251" s="28"/>
      <c r="AI1251" s="28"/>
    </row>
    <row r="1252" ht="15.75" customHeight="1">
      <c r="A1252" s="14" t="s">
        <v>1493</v>
      </c>
      <c r="B1252" s="41"/>
      <c r="C1252" s="16"/>
      <c r="D1252" s="17"/>
      <c r="E1252" s="18"/>
      <c r="F1252" s="14"/>
      <c r="G1252" s="14"/>
      <c r="H1252" s="14"/>
      <c r="I1252" s="14"/>
      <c r="J1252" s="14"/>
      <c r="K1252" s="14"/>
      <c r="L1252" s="14"/>
      <c r="M1252" s="14"/>
      <c r="N1252" s="14"/>
      <c r="O1252" s="41"/>
      <c r="P1252" s="41"/>
      <c r="Q1252" s="41"/>
      <c r="R1252" s="41"/>
      <c r="S1252" s="41"/>
      <c r="T1252" s="41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2"/>
    </row>
    <row r="1253" ht="15.75" customHeight="1">
      <c r="A1253" s="27" t="s">
        <v>1494</v>
      </c>
      <c r="B1253" s="41"/>
      <c r="C1253" s="25"/>
      <c r="D1253" s="17"/>
      <c r="E1253" s="18"/>
      <c r="F1253" s="27"/>
      <c r="G1253" s="27"/>
      <c r="H1253" s="27"/>
      <c r="I1253" s="27"/>
      <c r="J1253" s="27"/>
      <c r="K1253" s="27"/>
      <c r="L1253" s="27"/>
      <c r="M1253" s="27"/>
      <c r="N1253" s="27"/>
      <c r="O1253" s="41"/>
      <c r="P1253" s="41"/>
      <c r="Q1253" s="41"/>
      <c r="R1253" s="41"/>
      <c r="S1253" s="41"/>
      <c r="T1253" s="41"/>
      <c r="U1253" s="28"/>
      <c r="V1253" s="28"/>
      <c r="W1253" s="28"/>
      <c r="X1253" s="28"/>
      <c r="Y1253" s="28"/>
      <c r="Z1253" s="28"/>
      <c r="AA1253" s="28"/>
      <c r="AB1253" s="28"/>
      <c r="AC1253" s="28"/>
      <c r="AD1253" s="28"/>
      <c r="AE1253" s="28"/>
      <c r="AF1253" s="28"/>
      <c r="AG1253" s="28"/>
      <c r="AH1253" s="28"/>
      <c r="AI1253" s="28"/>
    </row>
    <row r="1254" ht="15.75" customHeight="1">
      <c r="A1254" s="14" t="s">
        <v>1495</v>
      </c>
      <c r="B1254" s="41"/>
      <c r="C1254" s="16"/>
      <c r="D1254" s="17"/>
      <c r="E1254" s="18"/>
      <c r="F1254" s="14"/>
      <c r="G1254" s="14"/>
      <c r="H1254" s="14"/>
      <c r="I1254" s="14"/>
      <c r="J1254" s="14"/>
      <c r="K1254" s="14"/>
      <c r="L1254" s="14"/>
      <c r="M1254" s="14"/>
      <c r="N1254" s="14"/>
      <c r="O1254" s="41"/>
      <c r="P1254" s="41"/>
      <c r="Q1254" s="41"/>
      <c r="R1254" s="41"/>
      <c r="S1254" s="41"/>
      <c r="T1254" s="41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  <c r="AG1254" s="22"/>
      <c r="AH1254" s="22"/>
      <c r="AI1254" s="22"/>
    </row>
    <row r="1255" ht="15.75" customHeight="1">
      <c r="A1255" s="27" t="s">
        <v>1496</v>
      </c>
      <c r="B1255" s="35"/>
      <c r="C1255" s="25"/>
      <c r="D1255" s="17"/>
      <c r="E1255" s="18"/>
      <c r="F1255" s="27"/>
      <c r="G1255" s="27"/>
      <c r="H1255" s="27"/>
      <c r="I1255" s="27"/>
      <c r="J1255" s="27"/>
      <c r="K1255" s="27"/>
      <c r="L1255" s="27"/>
      <c r="M1255" s="27"/>
      <c r="N1255" s="27"/>
      <c r="O1255" s="35"/>
      <c r="P1255" s="35"/>
      <c r="Q1255" s="41"/>
      <c r="R1255" s="41"/>
      <c r="S1255" s="41"/>
      <c r="T1255" s="35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28"/>
      <c r="AE1255" s="28"/>
      <c r="AF1255" s="28"/>
      <c r="AG1255" s="28"/>
      <c r="AH1255" s="28"/>
      <c r="AI1255" s="28"/>
    </row>
    <row r="1256" ht="15.75" customHeight="1">
      <c r="A1256" s="19" t="s">
        <v>1497</v>
      </c>
      <c r="B1256" s="19" t="s">
        <v>21</v>
      </c>
      <c r="C1256" s="16"/>
      <c r="D1256" s="17"/>
      <c r="E1256" s="18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34"/>
      <c r="R1256" s="34"/>
      <c r="S1256" s="40">
        <v>2.0</v>
      </c>
      <c r="T1256" s="14">
        <f t="shared" ref="T1256:T1279" si="63">SUM(I1256:S1256)</f>
        <v>2</v>
      </c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  <c r="AG1256" s="22"/>
      <c r="AH1256" s="22"/>
      <c r="AI1256" s="22"/>
    </row>
    <row r="1257" ht="15.75" customHeight="1">
      <c r="A1257" s="14" t="s">
        <v>1498</v>
      </c>
      <c r="B1257" s="14" t="s">
        <v>879</v>
      </c>
      <c r="C1257" s="16"/>
      <c r="D1257" s="47"/>
      <c r="E1257" s="48"/>
      <c r="F1257" s="14"/>
      <c r="G1257" s="14" t="s">
        <v>40</v>
      </c>
      <c r="H1257" s="14"/>
      <c r="I1257" s="14">
        <v>1.0</v>
      </c>
      <c r="J1257" s="14">
        <v>1.0</v>
      </c>
      <c r="K1257" s="14"/>
      <c r="L1257" s="14"/>
      <c r="M1257" s="14">
        <v>1.0</v>
      </c>
      <c r="N1257" s="14"/>
      <c r="O1257" s="14"/>
      <c r="P1257" s="14">
        <v>1.0</v>
      </c>
      <c r="Q1257" s="19">
        <v>1.0</v>
      </c>
      <c r="R1257" s="14"/>
      <c r="S1257" s="14"/>
      <c r="T1257" s="14">
        <f t="shared" si="63"/>
        <v>5</v>
      </c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22"/>
      <c r="AG1257" s="22"/>
      <c r="AH1257" s="22"/>
      <c r="AI1257" s="22"/>
    </row>
    <row r="1258" ht="15.75" customHeight="1">
      <c r="A1258" s="17" t="s">
        <v>1499</v>
      </c>
      <c r="B1258" s="17" t="s">
        <v>125</v>
      </c>
      <c r="C1258" s="25"/>
      <c r="D1258" s="47"/>
      <c r="E1258" s="18"/>
      <c r="F1258" s="27"/>
      <c r="G1258" s="26"/>
      <c r="H1258" s="27"/>
      <c r="I1258" s="27"/>
      <c r="J1258" s="27"/>
      <c r="K1258" s="27"/>
      <c r="L1258" s="27"/>
      <c r="M1258" s="27"/>
      <c r="N1258" s="27"/>
      <c r="O1258" s="27"/>
      <c r="P1258" s="27"/>
      <c r="Q1258" s="17">
        <v>1.0</v>
      </c>
      <c r="R1258" s="19">
        <v>1.0</v>
      </c>
      <c r="S1258" s="19">
        <v>1.0</v>
      </c>
      <c r="T1258" s="14">
        <f t="shared" si="63"/>
        <v>3</v>
      </c>
      <c r="U1258" s="28"/>
      <c r="V1258" s="28"/>
      <c r="W1258" s="28"/>
      <c r="X1258" s="28"/>
      <c r="Y1258" s="28"/>
      <c r="Z1258" s="28"/>
      <c r="AA1258" s="28"/>
      <c r="AB1258" s="28"/>
      <c r="AC1258" s="28"/>
      <c r="AD1258" s="28"/>
      <c r="AE1258" s="28"/>
      <c r="AF1258" s="28"/>
      <c r="AG1258" s="28"/>
      <c r="AH1258" s="28"/>
      <c r="AI1258" s="28"/>
    </row>
    <row r="1259" ht="15.75" customHeight="1">
      <c r="A1259" s="27" t="s">
        <v>1500</v>
      </c>
      <c r="B1259" s="17" t="s">
        <v>209</v>
      </c>
      <c r="C1259" s="25"/>
      <c r="D1259" s="17"/>
      <c r="E1259" s="18"/>
      <c r="F1259" s="27"/>
      <c r="G1259" s="26"/>
      <c r="H1259" s="27"/>
      <c r="I1259" s="27"/>
      <c r="J1259" s="27"/>
      <c r="K1259" s="27"/>
      <c r="L1259" s="27"/>
      <c r="M1259" s="27"/>
      <c r="N1259" s="27">
        <v>4.0</v>
      </c>
      <c r="O1259" s="27">
        <v>1.0</v>
      </c>
      <c r="P1259" s="27"/>
      <c r="Q1259" s="27"/>
      <c r="R1259" s="27"/>
      <c r="S1259" s="27"/>
      <c r="T1259" s="14">
        <f t="shared" si="63"/>
        <v>5</v>
      </c>
      <c r="U1259" s="28"/>
      <c r="V1259" s="28"/>
      <c r="W1259" s="28"/>
      <c r="X1259" s="28"/>
      <c r="Y1259" s="28"/>
      <c r="Z1259" s="28"/>
      <c r="AA1259" s="28"/>
      <c r="AB1259" s="28"/>
      <c r="AC1259" s="28"/>
      <c r="AD1259" s="28"/>
      <c r="AE1259" s="28"/>
      <c r="AF1259" s="28"/>
      <c r="AG1259" s="28"/>
      <c r="AH1259" s="28"/>
      <c r="AI1259" s="28"/>
    </row>
    <row r="1260" ht="15.75" customHeight="1">
      <c r="A1260" s="14" t="s">
        <v>1501</v>
      </c>
      <c r="B1260" s="19" t="s">
        <v>51</v>
      </c>
      <c r="C1260" s="16"/>
      <c r="D1260" s="17"/>
      <c r="E1260" s="18"/>
      <c r="F1260" s="14"/>
      <c r="G1260" s="20"/>
      <c r="H1260" s="14"/>
      <c r="I1260" s="14"/>
      <c r="J1260" s="14"/>
      <c r="K1260" s="14"/>
      <c r="L1260" s="14"/>
      <c r="M1260" s="14">
        <v>3.0</v>
      </c>
      <c r="N1260" s="14">
        <v>3.0</v>
      </c>
      <c r="O1260" s="14"/>
      <c r="P1260" s="14"/>
      <c r="Q1260" s="14"/>
      <c r="R1260" s="19">
        <v>1.0</v>
      </c>
      <c r="S1260" s="19"/>
      <c r="T1260" s="14">
        <f t="shared" si="63"/>
        <v>7</v>
      </c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22"/>
      <c r="AG1260" s="22"/>
      <c r="AH1260" s="22"/>
      <c r="AI1260" s="22"/>
    </row>
    <row r="1261" ht="15.75" customHeight="1">
      <c r="A1261" s="27" t="s">
        <v>1502</v>
      </c>
      <c r="B1261" s="17" t="s">
        <v>25</v>
      </c>
      <c r="C1261" s="25"/>
      <c r="D1261" s="17"/>
      <c r="E1261" s="18"/>
      <c r="F1261" s="27"/>
      <c r="G1261" s="26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14">
        <f t="shared" si="63"/>
        <v>0</v>
      </c>
      <c r="U1261" s="28"/>
      <c r="V1261" s="28"/>
      <c r="W1261" s="28"/>
      <c r="X1261" s="28"/>
      <c r="Y1261" s="28"/>
      <c r="Z1261" s="28"/>
      <c r="AA1261" s="28"/>
      <c r="AB1261" s="28"/>
      <c r="AC1261" s="28"/>
      <c r="AD1261" s="28"/>
      <c r="AE1261" s="28"/>
      <c r="AF1261" s="28"/>
      <c r="AG1261" s="28"/>
      <c r="AH1261" s="28"/>
      <c r="AI1261" s="28"/>
    </row>
    <row r="1262" ht="15.75" customHeight="1">
      <c r="A1262" s="14" t="s">
        <v>1503</v>
      </c>
      <c r="B1262" s="14" t="s">
        <v>46</v>
      </c>
      <c r="C1262" s="16"/>
      <c r="D1262" s="17"/>
      <c r="E1262" s="18"/>
      <c r="F1262" s="14"/>
      <c r="G1262" s="20"/>
      <c r="H1262" s="14"/>
      <c r="I1262" s="14"/>
      <c r="J1262" s="14"/>
      <c r="K1262" s="14"/>
      <c r="L1262" s="14">
        <v>1.0</v>
      </c>
      <c r="M1262" s="14"/>
      <c r="N1262" s="14"/>
      <c r="O1262" s="14">
        <v>1.0</v>
      </c>
      <c r="P1262" s="14"/>
      <c r="Q1262" s="14"/>
      <c r="R1262" s="14"/>
      <c r="S1262" s="14"/>
      <c r="T1262" s="14">
        <f t="shared" si="63"/>
        <v>2</v>
      </c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22"/>
      <c r="AG1262" s="22"/>
      <c r="AH1262" s="22"/>
      <c r="AI1262" s="22"/>
    </row>
    <row r="1263" ht="15.75" customHeight="1">
      <c r="A1263" s="17" t="s">
        <v>1504</v>
      </c>
      <c r="B1263" s="17" t="s">
        <v>51</v>
      </c>
      <c r="C1263" s="25"/>
      <c r="D1263" s="50"/>
      <c r="E1263" s="48"/>
      <c r="F1263" s="27"/>
      <c r="G1263" s="26"/>
      <c r="H1263" s="27"/>
      <c r="I1263" s="27"/>
      <c r="J1263" s="27"/>
      <c r="K1263" s="27"/>
      <c r="L1263" s="27"/>
      <c r="M1263" s="27"/>
      <c r="N1263" s="27"/>
      <c r="O1263" s="27"/>
      <c r="P1263" s="27"/>
      <c r="Q1263" s="17">
        <v>2.0</v>
      </c>
      <c r="R1263" s="27"/>
      <c r="S1263" s="27"/>
      <c r="T1263" s="14">
        <f t="shared" si="63"/>
        <v>2</v>
      </c>
      <c r="U1263" s="28"/>
      <c r="V1263" s="28"/>
      <c r="W1263" s="28"/>
      <c r="X1263" s="28"/>
      <c r="Y1263" s="28"/>
      <c r="Z1263" s="28"/>
      <c r="AA1263" s="28"/>
      <c r="AB1263" s="28"/>
      <c r="AC1263" s="28"/>
      <c r="AD1263" s="28"/>
      <c r="AE1263" s="28"/>
      <c r="AF1263" s="28"/>
      <c r="AG1263" s="28"/>
      <c r="AH1263" s="28"/>
      <c r="AI1263" s="28"/>
    </row>
    <row r="1264" ht="15.75" customHeight="1">
      <c r="A1264" s="19" t="s">
        <v>1505</v>
      </c>
      <c r="B1264" s="19" t="s">
        <v>49</v>
      </c>
      <c r="C1264" s="16"/>
      <c r="D1264" s="47"/>
      <c r="E1264" s="48"/>
      <c r="F1264" s="14"/>
      <c r="G1264" s="20"/>
      <c r="H1264" s="14"/>
      <c r="I1264" s="14"/>
      <c r="J1264" s="14"/>
      <c r="K1264" s="14"/>
      <c r="L1264" s="14"/>
      <c r="M1264" s="14">
        <v>11.0</v>
      </c>
      <c r="N1264" s="14">
        <v>5.0</v>
      </c>
      <c r="O1264" s="14">
        <v>1.0</v>
      </c>
      <c r="P1264" s="14">
        <v>2.0</v>
      </c>
      <c r="Q1264" s="19">
        <v>1.0</v>
      </c>
      <c r="R1264" s="14"/>
      <c r="S1264" s="19">
        <v>1.0</v>
      </c>
      <c r="T1264" s="14">
        <f t="shared" si="63"/>
        <v>21</v>
      </c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22"/>
      <c r="AG1264" s="22"/>
      <c r="AH1264" s="22"/>
      <c r="AI1264" s="22"/>
    </row>
    <row r="1265" ht="15.75" customHeight="1">
      <c r="A1265" s="17" t="s">
        <v>1506</v>
      </c>
      <c r="B1265" s="27" t="s">
        <v>25</v>
      </c>
      <c r="C1265" s="25"/>
      <c r="D1265" s="17"/>
      <c r="E1265" s="18"/>
      <c r="F1265" s="27"/>
      <c r="G1265" s="26"/>
      <c r="H1265" s="27"/>
      <c r="I1265" s="27"/>
      <c r="J1265" s="27"/>
      <c r="K1265" s="27">
        <v>1.0</v>
      </c>
      <c r="L1265" s="27"/>
      <c r="M1265" s="27"/>
      <c r="N1265" s="27"/>
      <c r="O1265" s="27"/>
      <c r="P1265" s="27">
        <v>1.0</v>
      </c>
      <c r="Q1265" s="27"/>
      <c r="R1265" s="27"/>
      <c r="S1265" s="27"/>
      <c r="T1265" s="14">
        <f t="shared" si="63"/>
        <v>2</v>
      </c>
      <c r="U1265" s="28"/>
      <c r="V1265" s="28"/>
      <c r="W1265" s="28"/>
      <c r="X1265" s="28"/>
      <c r="Y1265" s="28"/>
      <c r="Z1265" s="28"/>
      <c r="AA1265" s="28"/>
      <c r="AB1265" s="28"/>
      <c r="AC1265" s="28"/>
      <c r="AD1265" s="28"/>
      <c r="AE1265" s="28"/>
      <c r="AF1265" s="28"/>
      <c r="AG1265" s="28"/>
      <c r="AH1265" s="28"/>
      <c r="AI1265" s="28"/>
    </row>
    <row r="1266" ht="15.75" customHeight="1">
      <c r="A1266" s="14" t="s">
        <v>1507</v>
      </c>
      <c r="B1266" s="19" t="s">
        <v>34</v>
      </c>
      <c r="C1266" s="16"/>
      <c r="D1266" s="17"/>
      <c r="E1266" s="18"/>
      <c r="F1266" s="67"/>
      <c r="G1266" s="14" t="s">
        <v>40</v>
      </c>
      <c r="H1266" s="14"/>
      <c r="I1266" s="14"/>
      <c r="J1266" s="14">
        <v>2.0</v>
      </c>
      <c r="K1266" s="14">
        <v>3.0</v>
      </c>
      <c r="L1266" s="14">
        <v>2.0</v>
      </c>
      <c r="M1266" s="14">
        <v>1.0</v>
      </c>
      <c r="N1266" s="14"/>
      <c r="O1266" s="14">
        <v>1.0</v>
      </c>
      <c r="P1266" s="14">
        <v>1.0</v>
      </c>
      <c r="Q1266" s="14"/>
      <c r="R1266" s="14"/>
      <c r="S1266" s="14"/>
      <c r="T1266" s="14">
        <f t="shared" si="63"/>
        <v>10</v>
      </c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2"/>
    </row>
    <row r="1267" ht="15.75" customHeight="1">
      <c r="A1267" s="37" t="s">
        <v>1508</v>
      </c>
      <c r="B1267" s="17" t="s">
        <v>279</v>
      </c>
      <c r="C1267" s="25"/>
      <c r="D1267" s="17"/>
      <c r="E1267" s="18"/>
      <c r="F1267" s="27"/>
      <c r="G1267" s="26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14"/>
      <c r="S1267" s="14"/>
      <c r="T1267" s="14">
        <f t="shared" si="63"/>
        <v>0</v>
      </c>
      <c r="U1267" s="28"/>
      <c r="V1267" s="28"/>
      <c r="W1267" s="28"/>
      <c r="X1267" s="28"/>
      <c r="Y1267" s="28"/>
      <c r="Z1267" s="28"/>
      <c r="AA1267" s="28"/>
      <c r="AB1267" s="28"/>
      <c r="AC1267" s="28"/>
      <c r="AD1267" s="28"/>
      <c r="AE1267" s="28"/>
      <c r="AF1267" s="28"/>
      <c r="AG1267" s="28"/>
      <c r="AH1267" s="28"/>
      <c r="AI1267" s="28"/>
    </row>
    <row r="1268" ht="15.75" customHeight="1">
      <c r="A1268" s="37" t="s">
        <v>1509</v>
      </c>
      <c r="B1268" s="17" t="s">
        <v>279</v>
      </c>
      <c r="C1268" s="30" t="s">
        <v>376</v>
      </c>
      <c r="D1268" s="17"/>
      <c r="E1268" s="18"/>
      <c r="F1268" s="17"/>
      <c r="G1268" s="26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14"/>
      <c r="S1268" s="14"/>
      <c r="T1268" s="14">
        <f t="shared" si="63"/>
        <v>0</v>
      </c>
      <c r="U1268" s="28"/>
      <c r="V1268" s="28"/>
      <c r="W1268" s="28"/>
      <c r="X1268" s="28"/>
      <c r="Y1268" s="28"/>
      <c r="Z1268" s="28"/>
      <c r="AA1268" s="28"/>
      <c r="AB1268" s="28"/>
      <c r="AC1268" s="28"/>
      <c r="AD1268" s="28"/>
      <c r="AE1268" s="28"/>
      <c r="AF1268" s="28"/>
      <c r="AG1268" s="28"/>
      <c r="AH1268" s="28"/>
      <c r="AI1268" s="28"/>
    </row>
    <row r="1269" ht="15.75" customHeight="1">
      <c r="A1269" s="37" t="s">
        <v>1510</v>
      </c>
      <c r="B1269" s="17" t="s">
        <v>73</v>
      </c>
      <c r="C1269" s="30" t="s">
        <v>1260</v>
      </c>
      <c r="D1269" s="17"/>
      <c r="E1269" s="18"/>
      <c r="F1269" s="17" t="s">
        <v>74</v>
      </c>
      <c r="G1269" s="26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14"/>
      <c r="S1269" s="14"/>
      <c r="T1269" s="14">
        <f t="shared" si="63"/>
        <v>0</v>
      </c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28"/>
      <c r="AE1269" s="28"/>
      <c r="AF1269" s="28"/>
      <c r="AG1269" s="28"/>
      <c r="AH1269" s="28"/>
      <c r="AI1269" s="28"/>
    </row>
    <row r="1270" ht="15.75" customHeight="1">
      <c r="A1270" s="49" t="s">
        <v>1511</v>
      </c>
      <c r="B1270" s="17" t="s">
        <v>152</v>
      </c>
      <c r="C1270" s="25"/>
      <c r="D1270" s="17"/>
      <c r="E1270" s="18"/>
      <c r="F1270" s="27"/>
      <c r="G1270" s="26"/>
      <c r="H1270" s="27"/>
      <c r="I1270" s="27"/>
      <c r="J1270" s="27"/>
      <c r="K1270" s="27"/>
      <c r="L1270" s="27"/>
      <c r="M1270" s="27"/>
      <c r="N1270" s="27">
        <v>4.0</v>
      </c>
      <c r="O1270" s="27"/>
      <c r="P1270" s="27">
        <v>1.0</v>
      </c>
      <c r="Q1270" s="17">
        <v>1.0</v>
      </c>
      <c r="R1270" s="27"/>
      <c r="S1270" s="27"/>
      <c r="T1270" s="14">
        <f t="shared" si="63"/>
        <v>6</v>
      </c>
      <c r="U1270" s="28"/>
      <c r="V1270" s="28"/>
      <c r="W1270" s="28"/>
      <c r="X1270" s="28"/>
      <c r="Y1270" s="28"/>
      <c r="Z1270" s="28"/>
      <c r="AA1270" s="28"/>
      <c r="AB1270" s="28"/>
      <c r="AC1270" s="28"/>
      <c r="AD1270" s="28"/>
      <c r="AE1270" s="28"/>
      <c r="AF1270" s="28"/>
      <c r="AG1270" s="28"/>
      <c r="AH1270" s="28"/>
      <c r="AI1270" s="28"/>
    </row>
    <row r="1271" ht="15.75" customHeight="1">
      <c r="A1271" s="45" t="s">
        <v>1512</v>
      </c>
      <c r="B1271" s="19" t="s">
        <v>60</v>
      </c>
      <c r="C1271" s="16"/>
      <c r="D1271" s="17"/>
      <c r="E1271" s="18"/>
      <c r="F1271" s="14"/>
      <c r="G1271" s="20"/>
      <c r="H1271" s="14"/>
      <c r="I1271" s="14"/>
      <c r="J1271" s="14"/>
      <c r="K1271" s="14"/>
      <c r="L1271" s="14">
        <v>6.0</v>
      </c>
      <c r="M1271" s="14">
        <v>1.0</v>
      </c>
      <c r="N1271" s="14">
        <v>1.0</v>
      </c>
      <c r="O1271" s="14">
        <v>1.0</v>
      </c>
      <c r="P1271" s="14">
        <v>1.0</v>
      </c>
      <c r="Q1271" s="19">
        <v>1.0</v>
      </c>
      <c r="R1271" s="14"/>
      <c r="S1271" s="14"/>
      <c r="T1271" s="14">
        <f t="shared" si="63"/>
        <v>11</v>
      </c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  <c r="AF1271" s="22"/>
      <c r="AG1271" s="22"/>
      <c r="AH1271" s="22"/>
      <c r="AI1271" s="22"/>
    </row>
    <row r="1272" ht="15.75" customHeight="1">
      <c r="A1272" s="49" t="s">
        <v>1513</v>
      </c>
      <c r="B1272" s="17" t="s">
        <v>234</v>
      </c>
      <c r="C1272" s="25"/>
      <c r="D1272" s="17"/>
      <c r="E1272" s="18"/>
      <c r="F1272" s="27"/>
      <c r="G1272" s="26"/>
      <c r="H1272" s="27"/>
      <c r="I1272" s="27"/>
      <c r="J1272" s="27"/>
      <c r="K1272" s="27"/>
      <c r="L1272" s="27"/>
      <c r="M1272" s="27"/>
      <c r="N1272" s="27"/>
      <c r="O1272" s="27">
        <v>3.0</v>
      </c>
      <c r="P1272" s="27">
        <v>1.0</v>
      </c>
      <c r="Q1272" s="27"/>
      <c r="R1272" s="27"/>
      <c r="S1272" s="27"/>
      <c r="T1272" s="14">
        <f t="shared" si="63"/>
        <v>4</v>
      </c>
      <c r="U1272" s="28"/>
      <c r="V1272" s="28"/>
      <c r="W1272" s="28"/>
      <c r="X1272" s="28"/>
      <c r="Y1272" s="28"/>
      <c r="Z1272" s="28"/>
      <c r="AA1272" s="28"/>
      <c r="AB1272" s="28"/>
      <c r="AC1272" s="28"/>
      <c r="AD1272" s="28"/>
      <c r="AE1272" s="28"/>
      <c r="AF1272" s="28"/>
      <c r="AG1272" s="28"/>
      <c r="AH1272" s="28"/>
      <c r="AI1272" s="28"/>
    </row>
    <row r="1273" ht="15.75" customHeight="1">
      <c r="A1273" s="45" t="s">
        <v>1514</v>
      </c>
      <c r="B1273" s="19" t="s">
        <v>85</v>
      </c>
      <c r="C1273" s="16"/>
      <c r="D1273" s="17"/>
      <c r="E1273" s="18"/>
      <c r="F1273" s="14"/>
      <c r="G1273" s="20"/>
      <c r="H1273" s="14"/>
      <c r="I1273" s="14"/>
      <c r="J1273" s="14"/>
      <c r="K1273" s="14"/>
      <c r="L1273" s="14">
        <v>1.0</v>
      </c>
      <c r="M1273" s="14"/>
      <c r="N1273" s="14"/>
      <c r="O1273" s="14"/>
      <c r="P1273" s="14">
        <v>1.0</v>
      </c>
      <c r="Q1273" s="14"/>
      <c r="R1273" s="14"/>
      <c r="S1273" s="14"/>
      <c r="T1273" s="14">
        <f t="shared" si="63"/>
        <v>2</v>
      </c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22"/>
      <c r="AG1273" s="22"/>
      <c r="AH1273" s="22"/>
      <c r="AI1273" s="22"/>
    </row>
    <row r="1274" ht="15.75" customHeight="1">
      <c r="A1274" s="15" t="s">
        <v>1515</v>
      </c>
      <c r="B1274" s="19" t="s">
        <v>73</v>
      </c>
      <c r="C1274" s="24" t="s">
        <v>1260</v>
      </c>
      <c r="D1274" s="17"/>
      <c r="E1274" s="18"/>
      <c r="F1274" s="19" t="s">
        <v>74</v>
      </c>
      <c r="G1274" s="20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>
        <f t="shared" si="63"/>
        <v>0</v>
      </c>
      <c r="U1274" s="22"/>
      <c r="V1274" s="22"/>
      <c r="W1274" s="22"/>
      <c r="X1274" s="22"/>
      <c r="Y1274" s="22"/>
      <c r="Z1274" s="22"/>
      <c r="AA1274" s="22"/>
      <c r="AB1274" s="22"/>
      <c r="AC1274" s="22"/>
      <c r="AD1274" s="22"/>
      <c r="AE1274" s="22"/>
      <c r="AF1274" s="22"/>
      <c r="AG1274" s="22"/>
      <c r="AH1274" s="22"/>
      <c r="AI1274" s="22"/>
    </row>
    <row r="1275" ht="15.75" customHeight="1">
      <c r="A1275" s="27" t="s">
        <v>1516</v>
      </c>
      <c r="B1275" s="17" t="s">
        <v>21</v>
      </c>
      <c r="C1275" s="25"/>
      <c r="D1275" s="17"/>
      <c r="E1275" s="18"/>
      <c r="F1275" s="27"/>
      <c r="G1275" s="26"/>
      <c r="H1275" s="27"/>
      <c r="I1275" s="27"/>
      <c r="J1275" s="27"/>
      <c r="K1275" s="27"/>
      <c r="L1275" s="27">
        <v>2.0</v>
      </c>
      <c r="M1275" s="27">
        <v>2.0</v>
      </c>
      <c r="N1275" s="27"/>
      <c r="O1275" s="27"/>
      <c r="P1275" s="27">
        <v>1.0</v>
      </c>
      <c r="Q1275" s="27"/>
      <c r="R1275" s="27"/>
      <c r="S1275" s="17">
        <v>1.0</v>
      </c>
      <c r="T1275" s="14">
        <f t="shared" si="63"/>
        <v>6</v>
      </c>
      <c r="U1275" s="28"/>
      <c r="V1275" s="28"/>
      <c r="W1275" s="28"/>
      <c r="X1275" s="28"/>
      <c r="Y1275" s="28"/>
      <c r="Z1275" s="28"/>
      <c r="AA1275" s="28"/>
      <c r="AB1275" s="28"/>
      <c r="AC1275" s="28"/>
      <c r="AD1275" s="28"/>
      <c r="AE1275" s="28"/>
      <c r="AF1275" s="28"/>
      <c r="AG1275" s="28"/>
      <c r="AH1275" s="28"/>
      <c r="AI1275" s="28"/>
    </row>
    <row r="1276" ht="15.75" customHeight="1">
      <c r="A1276" s="17" t="s">
        <v>1517</v>
      </c>
      <c r="B1276" s="17" t="s">
        <v>73</v>
      </c>
      <c r="C1276" s="30" t="s">
        <v>32</v>
      </c>
      <c r="D1276" s="17"/>
      <c r="E1276" s="18"/>
      <c r="F1276" s="17" t="s">
        <v>74</v>
      </c>
      <c r="G1276" s="26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17"/>
      <c r="T1276" s="14">
        <f t="shared" si="63"/>
        <v>0</v>
      </c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28"/>
      <c r="AE1276" s="28"/>
      <c r="AF1276" s="28"/>
      <c r="AG1276" s="28"/>
      <c r="AH1276" s="28"/>
      <c r="AI1276" s="28"/>
    </row>
    <row r="1277" ht="15.75" customHeight="1">
      <c r="A1277" s="17" t="s">
        <v>1518</v>
      </c>
      <c r="B1277" s="17" t="s">
        <v>25</v>
      </c>
      <c r="C1277" s="30" t="s">
        <v>158</v>
      </c>
      <c r="D1277" s="17"/>
      <c r="E1277" s="18"/>
      <c r="F1277" s="27"/>
      <c r="G1277" s="26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17">
        <v>3.0</v>
      </c>
      <c r="S1277" s="17"/>
      <c r="T1277" s="14">
        <f t="shared" si="63"/>
        <v>3</v>
      </c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28"/>
      <c r="AE1277" s="28"/>
      <c r="AF1277" s="28"/>
      <c r="AG1277" s="28"/>
      <c r="AH1277" s="28"/>
      <c r="AI1277" s="28"/>
    </row>
    <row r="1278" ht="15.75" customHeight="1">
      <c r="A1278" s="27" t="s">
        <v>1519</v>
      </c>
      <c r="B1278" s="27" t="s">
        <v>38</v>
      </c>
      <c r="C1278" s="25"/>
      <c r="D1278" s="17" t="s">
        <v>1345</v>
      </c>
      <c r="E1278" s="18">
        <v>45948.0</v>
      </c>
      <c r="F1278" s="27"/>
      <c r="G1278" s="26"/>
      <c r="H1278" s="27"/>
      <c r="I1278" s="27"/>
      <c r="J1278" s="27"/>
      <c r="K1278" s="27"/>
      <c r="L1278" s="27"/>
      <c r="M1278" s="27"/>
      <c r="N1278" s="27"/>
      <c r="O1278" s="27">
        <v>1.0</v>
      </c>
      <c r="P1278" s="27"/>
      <c r="Q1278" s="27"/>
      <c r="R1278" s="27"/>
      <c r="S1278" s="17">
        <v>2.0</v>
      </c>
      <c r="T1278" s="14">
        <f t="shared" si="63"/>
        <v>3</v>
      </c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28"/>
      <c r="AE1278" s="28"/>
      <c r="AF1278" s="28"/>
      <c r="AG1278" s="28"/>
      <c r="AH1278" s="28"/>
      <c r="AI1278" s="28"/>
    </row>
    <row r="1279" ht="15.75" customHeight="1">
      <c r="A1279" s="14" t="s">
        <v>1520</v>
      </c>
      <c r="B1279" s="40" t="s">
        <v>265</v>
      </c>
      <c r="C1279" s="16"/>
      <c r="D1279" s="17"/>
      <c r="E1279" s="18"/>
      <c r="F1279" s="14"/>
      <c r="G1279" s="20"/>
      <c r="H1279" s="14"/>
      <c r="I1279" s="14"/>
      <c r="J1279" s="14"/>
      <c r="K1279" s="14"/>
      <c r="L1279" s="14"/>
      <c r="M1279" s="14"/>
      <c r="N1279" s="34">
        <v>10.0</v>
      </c>
      <c r="O1279" s="34">
        <v>3.0</v>
      </c>
      <c r="P1279" s="34">
        <v>2.0</v>
      </c>
      <c r="Q1279" s="34"/>
      <c r="R1279" s="34"/>
      <c r="S1279" s="34"/>
      <c r="T1279" s="34">
        <f t="shared" si="63"/>
        <v>15</v>
      </c>
      <c r="U1279" s="22"/>
      <c r="V1279" s="22"/>
      <c r="W1279" s="22"/>
      <c r="X1279" s="22"/>
      <c r="Y1279" s="22"/>
      <c r="Z1279" s="22"/>
      <c r="AA1279" s="22"/>
      <c r="AB1279" s="22"/>
      <c r="AC1279" s="22"/>
      <c r="AD1279" s="22"/>
      <c r="AE1279" s="22"/>
      <c r="AF1279" s="22"/>
      <c r="AG1279" s="22"/>
      <c r="AH1279" s="22"/>
      <c r="AI1279" s="22"/>
    </row>
    <row r="1280" ht="15.75" customHeight="1">
      <c r="A1280" s="17" t="s">
        <v>1521</v>
      </c>
      <c r="B1280" s="35"/>
      <c r="C1280" s="25"/>
      <c r="D1280" s="17"/>
      <c r="E1280" s="18"/>
      <c r="F1280" s="27"/>
      <c r="G1280" s="26"/>
      <c r="H1280" s="27"/>
      <c r="I1280" s="27"/>
      <c r="J1280" s="27"/>
      <c r="K1280" s="27"/>
      <c r="L1280" s="27"/>
      <c r="M1280" s="27"/>
      <c r="N1280" s="35"/>
      <c r="O1280" s="35"/>
      <c r="P1280" s="35"/>
      <c r="Q1280" s="41"/>
      <c r="R1280" s="41"/>
      <c r="S1280" s="41"/>
      <c r="T1280" s="35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28"/>
      <c r="AE1280" s="28"/>
      <c r="AF1280" s="28"/>
      <c r="AG1280" s="28"/>
      <c r="AH1280" s="28"/>
      <c r="AI1280" s="28"/>
    </row>
    <row r="1281" ht="15.75" customHeight="1">
      <c r="A1281" s="17" t="s">
        <v>1522</v>
      </c>
      <c r="B1281" s="17" t="s">
        <v>149</v>
      </c>
      <c r="C1281" s="25"/>
      <c r="D1281" s="17"/>
      <c r="E1281" s="18"/>
      <c r="F1281" s="27"/>
      <c r="G1281" s="26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14"/>
      <c r="S1281" s="14"/>
      <c r="T1281" s="14">
        <f t="shared" ref="T1281:T1285" si="64">SUM(I1281:S1281)</f>
        <v>0</v>
      </c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28"/>
      <c r="AE1281" s="28"/>
      <c r="AF1281" s="28"/>
      <c r="AG1281" s="28"/>
      <c r="AH1281" s="28"/>
      <c r="AI1281" s="28"/>
    </row>
    <row r="1282" ht="15.75" customHeight="1">
      <c r="A1282" s="27" t="s">
        <v>1523</v>
      </c>
      <c r="B1282" s="17" t="s">
        <v>879</v>
      </c>
      <c r="C1282" s="25"/>
      <c r="D1282" s="17"/>
      <c r="E1282" s="18"/>
      <c r="F1282" s="27"/>
      <c r="G1282" s="26"/>
      <c r="H1282" s="27"/>
      <c r="I1282" s="27"/>
      <c r="J1282" s="27"/>
      <c r="K1282" s="27"/>
      <c r="L1282" s="27"/>
      <c r="M1282" s="27"/>
      <c r="N1282" s="27"/>
      <c r="O1282" s="27">
        <v>3.0</v>
      </c>
      <c r="P1282" s="27">
        <v>2.0</v>
      </c>
      <c r="Q1282" s="27"/>
      <c r="R1282" s="27"/>
      <c r="S1282" s="27"/>
      <c r="T1282" s="14">
        <f t="shared" si="64"/>
        <v>5</v>
      </c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28"/>
      <c r="AE1282" s="28"/>
      <c r="AF1282" s="28"/>
      <c r="AG1282" s="28"/>
      <c r="AH1282" s="28"/>
      <c r="AI1282" s="28"/>
    </row>
    <row r="1283" ht="15.75" customHeight="1">
      <c r="A1283" s="19" t="s">
        <v>1524</v>
      </c>
      <c r="B1283" s="19" t="s">
        <v>42</v>
      </c>
      <c r="C1283" s="16"/>
      <c r="D1283" s="17"/>
      <c r="E1283" s="18"/>
      <c r="F1283" s="14"/>
      <c r="G1283" s="20"/>
      <c r="H1283" s="14"/>
      <c r="I1283" s="14"/>
      <c r="J1283" s="14"/>
      <c r="K1283" s="14"/>
      <c r="L1283" s="14"/>
      <c r="M1283" s="14"/>
      <c r="N1283" s="14"/>
      <c r="O1283" s="14"/>
      <c r="P1283" s="14"/>
      <c r="Q1283" s="19">
        <v>1.0</v>
      </c>
      <c r="R1283" s="14"/>
      <c r="S1283" s="19">
        <v>2.0</v>
      </c>
      <c r="T1283" s="14">
        <f t="shared" si="64"/>
        <v>3</v>
      </c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2"/>
    </row>
    <row r="1284" ht="15.75" customHeight="1">
      <c r="A1284" s="19" t="s">
        <v>1525</v>
      </c>
      <c r="B1284" s="19" t="s">
        <v>62</v>
      </c>
      <c r="C1284" s="16"/>
      <c r="D1284" s="17"/>
      <c r="E1284" s="18"/>
      <c r="F1284" s="14"/>
      <c r="G1284" s="20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>
        <f t="shared" si="64"/>
        <v>0</v>
      </c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  <c r="AH1284" s="22"/>
      <c r="AI1284" s="22"/>
    </row>
    <row r="1285" ht="15.75" customHeight="1">
      <c r="A1285" s="19" t="s">
        <v>1526</v>
      </c>
      <c r="B1285" s="40" t="s">
        <v>149</v>
      </c>
      <c r="C1285" s="130" t="s">
        <v>1120</v>
      </c>
      <c r="D1285" s="17"/>
      <c r="E1285" s="18"/>
      <c r="F1285" s="19"/>
      <c r="G1285" s="20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34"/>
      <c r="T1285" s="34">
        <f t="shared" si="64"/>
        <v>0</v>
      </c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  <c r="AG1285" s="22"/>
      <c r="AH1285" s="22"/>
      <c r="AI1285" s="22"/>
    </row>
    <row r="1286" ht="15.75" customHeight="1">
      <c r="A1286" s="19" t="s">
        <v>1527</v>
      </c>
      <c r="B1286" s="41"/>
      <c r="C1286" s="41"/>
      <c r="D1286" s="17"/>
      <c r="E1286" s="18"/>
      <c r="F1286" s="19"/>
      <c r="G1286" s="20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41"/>
      <c r="T1286" s="41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2"/>
    </row>
    <row r="1287" ht="15.75" customHeight="1">
      <c r="A1287" s="19" t="s">
        <v>1528</v>
      </c>
      <c r="B1287" s="35"/>
      <c r="C1287" s="35"/>
      <c r="D1287" s="17"/>
      <c r="E1287" s="18"/>
      <c r="F1287" s="19"/>
      <c r="G1287" s="20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35"/>
      <c r="T1287" s="35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2"/>
    </row>
    <row r="1288" ht="15.75" customHeight="1">
      <c r="A1288" s="19" t="s">
        <v>1529</v>
      </c>
      <c r="B1288" s="19" t="s">
        <v>189</v>
      </c>
      <c r="C1288" s="24" t="s">
        <v>141</v>
      </c>
      <c r="D1288" s="17"/>
      <c r="E1288" s="18"/>
      <c r="F1288" s="14"/>
      <c r="G1288" s="20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9">
        <v>4.0</v>
      </c>
      <c r="S1288" s="19">
        <v>1.0</v>
      </c>
      <c r="T1288" s="14">
        <f t="shared" ref="T1288:T1312" si="65">SUM(I1288:S1288)</f>
        <v>5</v>
      </c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  <c r="AH1288" s="22"/>
      <c r="AI1288" s="22"/>
    </row>
    <row r="1289" ht="15.75" customHeight="1">
      <c r="A1289" s="14" t="s">
        <v>1530</v>
      </c>
      <c r="B1289" s="19" t="s">
        <v>65</v>
      </c>
      <c r="C1289" s="16"/>
      <c r="D1289" s="17"/>
      <c r="E1289" s="18"/>
      <c r="F1289" s="14"/>
      <c r="G1289" s="20"/>
      <c r="H1289" s="14"/>
      <c r="I1289" s="14"/>
      <c r="J1289" s="14"/>
      <c r="K1289" s="14"/>
      <c r="L1289" s="14"/>
      <c r="M1289" s="14"/>
      <c r="N1289" s="14"/>
      <c r="O1289" s="14"/>
      <c r="P1289" s="14">
        <v>1.0</v>
      </c>
      <c r="Q1289" s="14"/>
      <c r="R1289" s="14"/>
      <c r="S1289" s="14"/>
      <c r="T1289" s="14">
        <f t="shared" si="65"/>
        <v>1</v>
      </c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  <c r="AG1289" s="22"/>
      <c r="AH1289" s="22"/>
      <c r="AI1289" s="22"/>
    </row>
    <row r="1290" ht="15.75" customHeight="1">
      <c r="A1290" s="17" t="s">
        <v>1531</v>
      </c>
      <c r="B1290" s="17" t="s">
        <v>585</v>
      </c>
      <c r="C1290" s="25"/>
      <c r="D1290" s="17"/>
      <c r="E1290" s="18"/>
      <c r="F1290" s="51"/>
      <c r="G1290" s="26"/>
      <c r="H1290" s="27"/>
      <c r="I1290" s="27"/>
      <c r="J1290" s="27"/>
      <c r="K1290" s="27"/>
      <c r="L1290" s="27">
        <v>1.0</v>
      </c>
      <c r="M1290" s="27"/>
      <c r="N1290" s="27">
        <v>1.0</v>
      </c>
      <c r="O1290" s="27"/>
      <c r="P1290" s="27"/>
      <c r="Q1290" s="17">
        <v>1.0</v>
      </c>
      <c r="R1290" s="27"/>
      <c r="S1290" s="27"/>
      <c r="T1290" s="14">
        <f t="shared" si="65"/>
        <v>3</v>
      </c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28"/>
      <c r="AE1290" s="28"/>
      <c r="AF1290" s="28"/>
      <c r="AG1290" s="28"/>
      <c r="AH1290" s="28"/>
      <c r="AI1290" s="28"/>
    </row>
    <row r="1291" ht="15.75" customHeight="1">
      <c r="A1291" s="14" t="s">
        <v>1532</v>
      </c>
      <c r="B1291" s="19" t="s">
        <v>51</v>
      </c>
      <c r="C1291" s="16"/>
      <c r="D1291" s="47"/>
      <c r="E1291" s="18"/>
      <c r="F1291" s="14"/>
      <c r="G1291" s="20"/>
      <c r="H1291" s="14"/>
      <c r="I1291" s="14"/>
      <c r="J1291" s="14"/>
      <c r="K1291" s="14"/>
      <c r="L1291" s="14"/>
      <c r="M1291" s="14">
        <v>7.0</v>
      </c>
      <c r="N1291" s="14">
        <v>2.0</v>
      </c>
      <c r="O1291" s="14">
        <v>2.0</v>
      </c>
      <c r="P1291" s="14">
        <v>1.0</v>
      </c>
      <c r="Q1291" s="14"/>
      <c r="R1291" s="14"/>
      <c r="S1291" s="14"/>
      <c r="T1291" s="14">
        <f t="shared" si="65"/>
        <v>12</v>
      </c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  <c r="AH1291" s="22"/>
      <c r="AI1291" s="22"/>
    </row>
    <row r="1292" ht="15.75" customHeight="1">
      <c r="A1292" s="27" t="s">
        <v>1533</v>
      </c>
      <c r="B1292" s="17" t="s">
        <v>27</v>
      </c>
      <c r="C1292" s="25"/>
      <c r="D1292" s="17"/>
      <c r="E1292" s="48"/>
      <c r="F1292" s="27"/>
      <c r="G1292" s="26"/>
      <c r="H1292" s="27"/>
      <c r="I1292" s="27"/>
      <c r="J1292" s="27"/>
      <c r="K1292" s="27"/>
      <c r="L1292" s="27"/>
      <c r="M1292" s="27"/>
      <c r="N1292" s="27"/>
      <c r="O1292" s="27"/>
      <c r="P1292" s="27">
        <v>1.0</v>
      </c>
      <c r="Q1292" s="17">
        <v>1.0</v>
      </c>
      <c r="R1292" s="17">
        <v>2.0</v>
      </c>
      <c r="S1292" s="17">
        <v>1.0</v>
      </c>
      <c r="T1292" s="14">
        <f t="shared" si="65"/>
        <v>5</v>
      </c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28"/>
      <c r="AE1292" s="28"/>
      <c r="AF1292" s="28"/>
      <c r="AG1292" s="28"/>
      <c r="AH1292" s="28"/>
      <c r="AI1292" s="28"/>
    </row>
    <row r="1293" ht="15.75" customHeight="1">
      <c r="A1293" s="19" t="s">
        <v>1534</v>
      </c>
      <c r="B1293" s="19" t="s">
        <v>51</v>
      </c>
      <c r="C1293" s="16"/>
      <c r="D1293" s="17"/>
      <c r="E1293" s="18"/>
      <c r="F1293" s="14"/>
      <c r="G1293" s="20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>
        <f t="shared" si="65"/>
        <v>0</v>
      </c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22"/>
      <c r="AI1293" s="22"/>
    </row>
    <row r="1294" ht="15.75" customHeight="1">
      <c r="A1294" s="14" t="s">
        <v>1535</v>
      </c>
      <c r="B1294" s="19" t="s">
        <v>454</v>
      </c>
      <c r="C1294" s="16"/>
      <c r="D1294" s="17"/>
      <c r="E1294" s="18"/>
      <c r="F1294" s="14"/>
      <c r="G1294" s="20"/>
      <c r="H1294" s="14"/>
      <c r="I1294" s="14"/>
      <c r="J1294" s="14"/>
      <c r="K1294" s="14"/>
      <c r="L1294" s="14"/>
      <c r="M1294" s="14"/>
      <c r="N1294" s="14">
        <v>2.0</v>
      </c>
      <c r="O1294" s="14">
        <v>1.0</v>
      </c>
      <c r="P1294" s="14"/>
      <c r="Q1294" s="14"/>
      <c r="R1294" s="14"/>
      <c r="S1294" s="14"/>
      <c r="T1294" s="14">
        <f t="shared" si="65"/>
        <v>3</v>
      </c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  <c r="AG1294" s="22"/>
      <c r="AH1294" s="22"/>
      <c r="AI1294" s="22"/>
    </row>
    <row r="1295" ht="15.75" customHeight="1">
      <c r="A1295" s="27" t="s">
        <v>1536</v>
      </c>
      <c r="B1295" s="17" t="s">
        <v>225</v>
      </c>
      <c r="C1295" s="25"/>
      <c r="D1295" s="17"/>
      <c r="E1295" s="18"/>
      <c r="F1295" s="27"/>
      <c r="G1295" s="26"/>
      <c r="H1295" s="27"/>
      <c r="I1295" s="27"/>
      <c r="J1295" s="27">
        <v>1.0</v>
      </c>
      <c r="K1295" s="27"/>
      <c r="L1295" s="27"/>
      <c r="M1295" s="27"/>
      <c r="N1295" s="27"/>
      <c r="O1295" s="27">
        <v>1.0</v>
      </c>
      <c r="P1295" s="27"/>
      <c r="Q1295" s="27"/>
      <c r="R1295" s="27"/>
      <c r="S1295" s="27"/>
      <c r="T1295" s="14">
        <f t="shared" si="65"/>
        <v>2</v>
      </c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28"/>
      <c r="AE1295" s="28"/>
      <c r="AF1295" s="28"/>
      <c r="AG1295" s="28"/>
      <c r="AH1295" s="28"/>
      <c r="AI1295" s="28"/>
    </row>
    <row r="1296" ht="15.75" customHeight="1">
      <c r="A1296" s="19" t="s">
        <v>1537</v>
      </c>
      <c r="B1296" s="19" t="s">
        <v>62</v>
      </c>
      <c r="C1296" s="16"/>
      <c r="D1296" s="17"/>
      <c r="E1296" s="18"/>
      <c r="F1296" s="14"/>
      <c r="G1296" s="20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>
        <f t="shared" si="65"/>
        <v>0</v>
      </c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2"/>
    </row>
    <row r="1297" ht="15.75" customHeight="1">
      <c r="A1297" s="27" t="s">
        <v>1538</v>
      </c>
      <c r="B1297" s="17" t="s">
        <v>361</v>
      </c>
      <c r="C1297" s="25"/>
      <c r="D1297" s="17"/>
      <c r="E1297" s="18"/>
      <c r="F1297" s="27"/>
      <c r="G1297" s="26"/>
      <c r="H1297" s="27"/>
      <c r="I1297" s="27">
        <v>1.0</v>
      </c>
      <c r="J1297" s="27">
        <v>2.0</v>
      </c>
      <c r="K1297" s="27"/>
      <c r="L1297" s="27"/>
      <c r="M1297" s="27"/>
      <c r="N1297" s="27"/>
      <c r="O1297" s="27"/>
      <c r="P1297" s="27">
        <v>1.0</v>
      </c>
      <c r="Q1297" s="27"/>
      <c r="R1297" s="27"/>
      <c r="S1297" s="27"/>
      <c r="T1297" s="14">
        <f t="shared" si="65"/>
        <v>4</v>
      </c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28"/>
      <c r="AE1297" s="28"/>
      <c r="AF1297" s="28"/>
      <c r="AG1297" s="28"/>
      <c r="AH1297" s="28"/>
      <c r="AI1297" s="28"/>
    </row>
    <row r="1298" ht="15.75" customHeight="1">
      <c r="A1298" s="14" t="s">
        <v>1539</v>
      </c>
      <c r="B1298" s="19" t="s">
        <v>125</v>
      </c>
      <c r="C1298" s="16"/>
      <c r="D1298" s="17"/>
      <c r="E1298" s="18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>
        <v>1.0</v>
      </c>
      <c r="Q1298" s="19">
        <v>1.0</v>
      </c>
      <c r="R1298" s="19">
        <v>2.0</v>
      </c>
      <c r="S1298" s="19"/>
      <c r="T1298" s="14">
        <f t="shared" si="65"/>
        <v>4</v>
      </c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F1298" s="22"/>
      <c r="AG1298" s="22"/>
      <c r="AH1298" s="22"/>
      <c r="AI1298" s="22"/>
    </row>
    <row r="1299" ht="15.75" customHeight="1">
      <c r="A1299" s="27" t="s">
        <v>1540</v>
      </c>
      <c r="B1299" s="17" t="s">
        <v>1271</v>
      </c>
      <c r="C1299" s="25"/>
      <c r="D1299" s="17"/>
      <c r="E1299" s="18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14">
        <f t="shared" si="65"/>
        <v>0</v>
      </c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28"/>
      <c r="AE1299" s="28"/>
      <c r="AF1299" s="28"/>
      <c r="AG1299" s="28"/>
      <c r="AH1299" s="28"/>
      <c r="AI1299" s="28"/>
    </row>
    <row r="1300" ht="15.75" customHeight="1">
      <c r="A1300" s="19" t="s">
        <v>1541</v>
      </c>
      <c r="B1300" s="19" t="s">
        <v>49</v>
      </c>
      <c r="C1300" s="16"/>
      <c r="D1300" s="17"/>
      <c r="E1300" s="18"/>
      <c r="F1300" s="14"/>
      <c r="G1300" s="20"/>
      <c r="H1300" s="14"/>
      <c r="I1300" s="14"/>
      <c r="J1300" s="14"/>
      <c r="K1300" s="14"/>
      <c r="L1300" s="14"/>
      <c r="M1300" s="14"/>
      <c r="N1300" s="14"/>
      <c r="O1300" s="14"/>
      <c r="P1300" s="14"/>
      <c r="Q1300" s="19">
        <v>1.0</v>
      </c>
      <c r="R1300" s="14"/>
      <c r="S1300" s="14"/>
      <c r="T1300" s="14">
        <f t="shared" si="65"/>
        <v>1</v>
      </c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2"/>
    </row>
    <row r="1301" ht="15.75" customHeight="1">
      <c r="A1301" s="14" t="s">
        <v>1542</v>
      </c>
      <c r="B1301" s="19" t="s">
        <v>70</v>
      </c>
      <c r="C1301" s="16"/>
      <c r="D1301" s="17"/>
      <c r="E1301" s="18"/>
      <c r="F1301" s="14"/>
      <c r="G1301" s="20"/>
      <c r="H1301" s="14"/>
      <c r="I1301" s="14"/>
      <c r="J1301" s="14"/>
      <c r="K1301" s="14"/>
      <c r="L1301" s="14">
        <v>1.0</v>
      </c>
      <c r="M1301" s="14">
        <v>1.0</v>
      </c>
      <c r="N1301" s="14"/>
      <c r="O1301" s="14"/>
      <c r="P1301" s="14"/>
      <c r="Q1301" s="14"/>
      <c r="R1301" s="14"/>
      <c r="S1301" s="14"/>
      <c r="T1301" s="14">
        <f t="shared" si="65"/>
        <v>2</v>
      </c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  <c r="AF1301" s="22"/>
      <c r="AG1301" s="22"/>
      <c r="AH1301" s="22"/>
      <c r="AI1301" s="22"/>
    </row>
    <row r="1302" ht="15.75" customHeight="1">
      <c r="A1302" s="17" t="s">
        <v>1543</v>
      </c>
      <c r="B1302" s="27" t="s">
        <v>323</v>
      </c>
      <c r="C1302" s="25"/>
      <c r="D1302" s="17"/>
      <c r="E1302" s="18"/>
      <c r="F1302" s="27"/>
      <c r="G1302" s="26"/>
      <c r="H1302" s="27"/>
      <c r="I1302" s="27"/>
      <c r="J1302" s="27">
        <v>5.0</v>
      </c>
      <c r="K1302" s="27">
        <v>1.0</v>
      </c>
      <c r="L1302" s="27">
        <v>1.0</v>
      </c>
      <c r="M1302" s="27"/>
      <c r="N1302" s="27"/>
      <c r="O1302" s="27"/>
      <c r="P1302" s="27"/>
      <c r="Q1302" s="27"/>
      <c r="R1302" s="27"/>
      <c r="S1302" s="27"/>
      <c r="T1302" s="14">
        <f t="shared" si="65"/>
        <v>7</v>
      </c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28"/>
      <c r="AE1302" s="28"/>
      <c r="AF1302" s="28"/>
      <c r="AG1302" s="28"/>
      <c r="AH1302" s="28"/>
      <c r="AI1302" s="28"/>
    </row>
    <row r="1303" ht="15.75" customHeight="1">
      <c r="A1303" s="19" t="s">
        <v>1544</v>
      </c>
      <c r="B1303" s="19" t="s">
        <v>125</v>
      </c>
      <c r="C1303" s="16"/>
      <c r="D1303" s="17"/>
      <c r="E1303" s="18"/>
      <c r="F1303" s="67"/>
      <c r="G1303" s="14"/>
      <c r="H1303" s="14"/>
      <c r="I1303" s="14"/>
      <c r="J1303" s="14"/>
      <c r="K1303" s="14"/>
      <c r="L1303" s="45"/>
      <c r="M1303" s="45"/>
      <c r="N1303" s="45"/>
      <c r="O1303" s="45"/>
      <c r="P1303" s="45"/>
      <c r="Q1303" s="45"/>
      <c r="R1303" s="19">
        <v>1.0</v>
      </c>
      <c r="S1303" s="19"/>
      <c r="T1303" s="14">
        <f t="shared" si="65"/>
        <v>1</v>
      </c>
      <c r="U1303" s="131"/>
      <c r="V1303" s="131"/>
      <c r="W1303" s="131"/>
      <c r="X1303" s="131"/>
      <c r="Y1303" s="131"/>
      <c r="Z1303" s="131"/>
      <c r="AA1303" s="131"/>
      <c r="AB1303" s="131"/>
      <c r="AC1303" s="131"/>
      <c r="AD1303" s="131"/>
      <c r="AE1303" s="131"/>
      <c r="AF1303" s="131"/>
      <c r="AG1303" s="131"/>
      <c r="AH1303" s="131"/>
      <c r="AI1303" s="131"/>
    </row>
    <row r="1304" ht="15.75" customHeight="1">
      <c r="A1304" s="19" t="s">
        <v>1545</v>
      </c>
      <c r="B1304" s="19" t="s">
        <v>192</v>
      </c>
      <c r="C1304" s="16"/>
      <c r="D1304" s="17"/>
      <c r="E1304" s="18"/>
      <c r="F1304" s="67"/>
      <c r="G1304" s="14" t="s">
        <v>40</v>
      </c>
      <c r="H1304" s="14" t="s">
        <v>1153</v>
      </c>
      <c r="I1304" s="14"/>
      <c r="J1304" s="14"/>
      <c r="K1304" s="14">
        <v>8.0</v>
      </c>
      <c r="L1304" s="45">
        <v>4.0</v>
      </c>
      <c r="M1304" s="45">
        <v>2.0</v>
      </c>
      <c r="N1304" s="45">
        <v>7.0</v>
      </c>
      <c r="O1304" s="45">
        <v>3.0</v>
      </c>
      <c r="P1304" s="45">
        <v>1.0</v>
      </c>
      <c r="Q1304" s="15">
        <v>2.0</v>
      </c>
      <c r="R1304" s="15">
        <v>4.0</v>
      </c>
      <c r="S1304" s="15">
        <v>2.0</v>
      </c>
      <c r="T1304" s="14">
        <f t="shared" si="65"/>
        <v>33</v>
      </c>
      <c r="U1304" s="131"/>
      <c r="V1304" s="131"/>
      <c r="W1304" s="131"/>
      <c r="X1304" s="131"/>
      <c r="Y1304" s="131"/>
      <c r="Z1304" s="131"/>
      <c r="AA1304" s="131"/>
      <c r="AB1304" s="131"/>
      <c r="AC1304" s="131"/>
      <c r="AD1304" s="131"/>
      <c r="AE1304" s="131"/>
      <c r="AF1304" s="131"/>
      <c r="AG1304" s="131"/>
      <c r="AH1304" s="131"/>
      <c r="AI1304" s="131"/>
    </row>
    <row r="1305" ht="15.75" customHeight="1">
      <c r="A1305" s="19" t="s">
        <v>1546</v>
      </c>
      <c r="B1305" s="19" t="s">
        <v>25</v>
      </c>
      <c r="C1305" s="16"/>
      <c r="D1305" s="17"/>
      <c r="E1305" s="18"/>
      <c r="F1305" s="67"/>
      <c r="G1305" s="14"/>
      <c r="H1305" s="14"/>
      <c r="I1305" s="14"/>
      <c r="J1305" s="14"/>
      <c r="K1305" s="14"/>
      <c r="L1305" s="45"/>
      <c r="M1305" s="45"/>
      <c r="N1305" s="45"/>
      <c r="O1305" s="45"/>
      <c r="P1305" s="15">
        <v>1.0</v>
      </c>
      <c r="Q1305" s="15"/>
      <c r="R1305" s="15"/>
      <c r="S1305" s="15"/>
      <c r="T1305" s="14">
        <f t="shared" si="65"/>
        <v>1</v>
      </c>
      <c r="U1305" s="131"/>
      <c r="V1305" s="131"/>
      <c r="W1305" s="131"/>
      <c r="X1305" s="131"/>
      <c r="Y1305" s="131"/>
      <c r="Z1305" s="131"/>
      <c r="AA1305" s="131"/>
      <c r="AB1305" s="131"/>
      <c r="AC1305" s="131"/>
      <c r="AD1305" s="131"/>
      <c r="AE1305" s="131"/>
      <c r="AF1305" s="131"/>
      <c r="AG1305" s="131"/>
      <c r="AH1305" s="131"/>
      <c r="AI1305" s="131"/>
    </row>
    <row r="1306" ht="15.75" customHeight="1">
      <c r="A1306" s="14" t="s">
        <v>1547</v>
      </c>
      <c r="B1306" s="19" t="s">
        <v>1074</v>
      </c>
      <c r="C1306" s="16"/>
      <c r="D1306" s="17"/>
      <c r="E1306" s="18"/>
      <c r="F1306" s="14"/>
      <c r="G1306" s="14"/>
      <c r="H1306" s="14"/>
      <c r="I1306" s="14"/>
      <c r="J1306" s="14"/>
      <c r="K1306" s="14"/>
      <c r="L1306" s="14"/>
      <c r="M1306" s="14"/>
      <c r="N1306" s="14">
        <v>2.0</v>
      </c>
      <c r="O1306" s="14"/>
      <c r="P1306" s="14">
        <v>1.0</v>
      </c>
      <c r="Q1306" s="14"/>
      <c r="R1306" s="14"/>
      <c r="S1306" s="14"/>
      <c r="T1306" s="14">
        <f t="shared" si="65"/>
        <v>3</v>
      </c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F1306" s="22"/>
      <c r="AG1306" s="22"/>
      <c r="AH1306" s="22"/>
      <c r="AI1306" s="22"/>
    </row>
    <row r="1307" ht="15.75" customHeight="1">
      <c r="A1307" s="27" t="s">
        <v>1548</v>
      </c>
      <c r="B1307" s="17" t="s">
        <v>107</v>
      </c>
      <c r="C1307" s="25"/>
      <c r="D1307" s="17"/>
      <c r="E1307" s="18"/>
      <c r="F1307" s="27"/>
      <c r="G1307" s="26"/>
      <c r="H1307" s="27"/>
      <c r="I1307" s="27"/>
      <c r="J1307" s="27"/>
      <c r="K1307" s="27"/>
      <c r="L1307" s="27"/>
      <c r="M1307" s="27"/>
      <c r="N1307" s="27"/>
      <c r="O1307" s="27">
        <v>2.0</v>
      </c>
      <c r="P1307" s="27">
        <v>3.0</v>
      </c>
      <c r="Q1307" s="27"/>
      <c r="R1307" s="27"/>
      <c r="S1307" s="17">
        <v>1.0</v>
      </c>
      <c r="T1307" s="14">
        <f t="shared" si="65"/>
        <v>6</v>
      </c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28"/>
      <c r="AE1307" s="28"/>
      <c r="AF1307" s="28"/>
      <c r="AG1307" s="28"/>
      <c r="AH1307" s="28"/>
      <c r="AI1307" s="28"/>
    </row>
    <row r="1308" ht="15.75" customHeight="1">
      <c r="A1308" s="14" t="s">
        <v>1549</v>
      </c>
      <c r="B1308" s="19" t="s">
        <v>21</v>
      </c>
      <c r="C1308" s="16"/>
      <c r="D1308" s="17"/>
      <c r="E1308" s="18"/>
      <c r="F1308" s="14"/>
      <c r="G1308" s="20"/>
      <c r="H1308" s="14"/>
      <c r="I1308" s="14"/>
      <c r="J1308" s="14"/>
      <c r="K1308" s="14"/>
      <c r="L1308" s="14"/>
      <c r="M1308" s="14"/>
      <c r="N1308" s="14">
        <v>3.0</v>
      </c>
      <c r="O1308" s="14">
        <v>2.0</v>
      </c>
      <c r="P1308" s="14">
        <v>2.0</v>
      </c>
      <c r="Q1308" s="14"/>
      <c r="R1308" s="14"/>
      <c r="S1308" s="14"/>
      <c r="T1308" s="14">
        <f t="shared" si="65"/>
        <v>7</v>
      </c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F1308" s="22"/>
      <c r="AG1308" s="22"/>
      <c r="AH1308" s="22"/>
      <c r="AI1308" s="22"/>
    </row>
    <row r="1309" ht="15.75" customHeight="1">
      <c r="A1309" s="19" t="s">
        <v>1550</v>
      </c>
      <c r="B1309" s="19" t="s">
        <v>202</v>
      </c>
      <c r="C1309" s="16"/>
      <c r="D1309" s="17"/>
      <c r="E1309" s="18"/>
      <c r="F1309" s="14"/>
      <c r="G1309" s="20"/>
      <c r="H1309" s="14"/>
      <c r="I1309" s="14"/>
      <c r="J1309" s="14"/>
      <c r="K1309" s="14"/>
      <c r="L1309" s="14"/>
      <c r="M1309" s="14"/>
      <c r="N1309" s="14"/>
      <c r="O1309" s="14"/>
      <c r="P1309" s="14"/>
      <c r="Q1309" s="19">
        <v>1.0</v>
      </c>
      <c r="R1309" s="19">
        <v>1.0</v>
      </c>
      <c r="S1309" s="19"/>
      <c r="T1309" s="14">
        <f t="shared" si="65"/>
        <v>2</v>
      </c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F1309" s="22"/>
      <c r="AG1309" s="22"/>
      <c r="AH1309" s="22"/>
      <c r="AI1309" s="22"/>
    </row>
    <row r="1310" ht="15.75" customHeight="1">
      <c r="A1310" s="17" t="s">
        <v>1551</v>
      </c>
      <c r="B1310" s="17" t="s">
        <v>68</v>
      </c>
      <c r="C1310" s="25"/>
      <c r="D1310" s="17"/>
      <c r="E1310" s="18"/>
      <c r="F1310" s="27"/>
      <c r="G1310" s="26"/>
      <c r="H1310" s="27"/>
      <c r="I1310" s="27"/>
      <c r="J1310" s="27"/>
      <c r="K1310" s="27"/>
      <c r="L1310" s="27"/>
      <c r="M1310" s="27"/>
      <c r="N1310" s="27">
        <v>1.0</v>
      </c>
      <c r="O1310" s="27"/>
      <c r="P1310" s="27"/>
      <c r="Q1310" s="27"/>
      <c r="R1310" s="27"/>
      <c r="S1310" s="27"/>
      <c r="T1310" s="14">
        <f t="shared" si="65"/>
        <v>1</v>
      </c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28"/>
      <c r="AE1310" s="28"/>
      <c r="AF1310" s="28"/>
      <c r="AG1310" s="28"/>
      <c r="AH1310" s="28"/>
      <c r="AI1310" s="28"/>
    </row>
    <row r="1311" ht="15.75" customHeight="1">
      <c r="A1311" s="14" t="s">
        <v>1552</v>
      </c>
      <c r="B1311" s="14" t="s">
        <v>51</v>
      </c>
      <c r="C1311" s="16"/>
      <c r="D1311" s="17"/>
      <c r="E1311" s="18"/>
      <c r="F1311" s="14"/>
      <c r="G1311" s="20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>
        <f t="shared" si="65"/>
        <v>0</v>
      </c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F1311" s="22"/>
      <c r="AG1311" s="22"/>
      <c r="AH1311" s="22"/>
      <c r="AI1311" s="22"/>
    </row>
    <row r="1312" ht="15.75" customHeight="1">
      <c r="A1312" s="27" t="s">
        <v>1553</v>
      </c>
      <c r="B1312" s="46" t="s">
        <v>900</v>
      </c>
      <c r="C1312" s="25"/>
      <c r="D1312" s="17"/>
      <c r="E1312" s="48"/>
      <c r="F1312" s="27"/>
      <c r="G1312" s="26"/>
      <c r="H1312" s="27"/>
      <c r="I1312" s="27"/>
      <c r="J1312" s="27"/>
      <c r="K1312" s="27"/>
      <c r="L1312" s="27"/>
      <c r="M1312" s="27"/>
      <c r="N1312" s="27"/>
      <c r="O1312" s="33">
        <v>2.0</v>
      </c>
      <c r="P1312" s="33">
        <v>2.0</v>
      </c>
      <c r="Q1312" s="46">
        <v>1.0</v>
      </c>
      <c r="R1312" s="46">
        <v>4.0</v>
      </c>
      <c r="S1312" s="46">
        <v>2.0</v>
      </c>
      <c r="T1312" s="34">
        <f t="shared" si="65"/>
        <v>11</v>
      </c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28"/>
      <c r="AE1312" s="28"/>
      <c r="AF1312" s="28"/>
      <c r="AG1312" s="28"/>
      <c r="AH1312" s="28"/>
      <c r="AI1312" s="28"/>
    </row>
    <row r="1313" ht="15.75" customHeight="1">
      <c r="A1313" s="19" t="s">
        <v>1554</v>
      </c>
      <c r="B1313" s="35"/>
      <c r="C1313" s="16"/>
      <c r="D1313" s="17"/>
      <c r="E1313" s="18"/>
      <c r="F1313" s="14"/>
      <c r="G1313" s="20"/>
      <c r="H1313" s="14"/>
      <c r="I1313" s="14"/>
      <c r="J1313" s="14"/>
      <c r="K1313" s="14"/>
      <c r="L1313" s="14"/>
      <c r="M1313" s="14"/>
      <c r="N1313" s="14"/>
      <c r="O1313" s="35"/>
      <c r="P1313" s="35"/>
      <c r="Q1313" s="41"/>
      <c r="R1313" s="41"/>
      <c r="S1313" s="41"/>
      <c r="T1313" s="35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</row>
    <row r="1314" ht="15.75" customHeight="1">
      <c r="A1314" s="27" t="s">
        <v>1555</v>
      </c>
      <c r="B1314" s="17" t="s">
        <v>51</v>
      </c>
      <c r="C1314" s="25"/>
      <c r="D1314" s="17"/>
      <c r="E1314" s="18"/>
      <c r="F1314" s="27"/>
      <c r="G1314" s="26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14">
        <f t="shared" ref="T1314:T1338" si="66">SUM(I1314:S1314)</f>
        <v>0</v>
      </c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28"/>
      <c r="AE1314" s="28"/>
      <c r="AF1314" s="28"/>
      <c r="AG1314" s="28"/>
      <c r="AH1314" s="28"/>
      <c r="AI1314" s="28"/>
    </row>
    <row r="1315" ht="15.75" customHeight="1">
      <c r="A1315" s="14" t="s">
        <v>1556</v>
      </c>
      <c r="B1315" s="19" t="s">
        <v>214</v>
      </c>
      <c r="C1315" s="16"/>
      <c r="D1315" s="47"/>
      <c r="E1315" s="48"/>
      <c r="F1315" s="14"/>
      <c r="G1315" s="20"/>
      <c r="H1315" s="14"/>
      <c r="I1315" s="14"/>
      <c r="J1315" s="14"/>
      <c r="K1315" s="14"/>
      <c r="L1315" s="14"/>
      <c r="M1315" s="14"/>
      <c r="N1315" s="14"/>
      <c r="O1315" s="14"/>
      <c r="P1315" s="14">
        <v>1.0</v>
      </c>
      <c r="Q1315" s="19">
        <v>1.0</v>
      </c>
      <c r="R1315" s="19">
        <v>1.0</v>
      </c>
      <c r="S1315" s="19"/>
      <c r="T1315" s="14">
        <f t="shared" si="66"/>
        <v>3</v>
      </c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</row>
    <row r="1316" ht="15.75" customHeight="1">
      <c r="A1316" s="27" t="s">
        <v>1557</v>
      </c>
      <c r="B1316" s="17" t="s">
        <v>51</v>
      </c>
      <c r="C1316" s="25"/>
      <c r="D1316" s="17"/>
      <c r="E1316" s="18"/>
      <c r="F1316" s="27"/>
      <c r="G1316" s="26"/>
      <c r="H1316" s="27"/>
      <c r="I1316" s="27"/>
      <c r="J1316" s="27"/>
      <c r="K1316" s="27"/>
      <c r="L1316" s="27"/>
      <c r="M1316" s="27"/>
      <c r="N1316" s="27">
        <v>1.0</v>
      </c>
      <c r="O1316" s="27"/>
      <c r="P1316" s="27"/>
      <c r="Q1316" s="27"/>
      <c r="R1316" s="27"/>
      <c r="S1316" s="27"/>
      <c r="T1316" s="14">
        <f t="shared" si="66"/>
        <v>1</v>
      </c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28"/>
      <c r="AE1316" s="28"/>
      <c r="AF1316" s="28"/>
      <c r="AG1316" s="28"/>
      <c r="AH1316" s="28"/>
      <c r="AI1316" s="28"/>
    </row>
    <row r="1317" ht="15.75" customHeight="1">
      <c r="A1317" s="27" t="s">
        <v>1558</v>
      </c>
      <c r="B1317" s="17" t="s">
        <v>62</v>
      </c>
      <c r="C1317" s="24" t="s">
        <v>222</v>
      </c>
      <c r="D1317" s="17"/>
      <c r="E1317" s="18"/>
      <c r="F1317" s="14"/>
      <c r="G1317" s="20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>
        <f t="shared" si="66"/>
        <v>0</v>
      </c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  <c r="AF1317" s="22"/>
      <c r="AG1317" s="22"/>
      <c r="AH1317" s="22"/>
      <c r="AI1317" s="22"/>
    </row>
    <row r="1318" ht="15.75" customHeight="1">
      <c r="A1318" s="14" t="s">
        <v>1559</v>
      </c>
      <c r="B1318" s="19" t="s">
        <v>62</v>
      </c>
      <c r="C1318" s="16"/>
      <c r="D1318" s="17"/>
      <c r="E1318" s="18"/>
      <c r="F1318" s="14"/>
      <c r="G1318" s="20"/>
      <c r="H1318" s="14"/>
      <c r="I1318" s="14"/>
      <c r="J1318" s="14"/>
      <c r="K1318" s="14">
        <v>5.0</v>
      </c>
      <c r="L1318" s="14"/>
      <c r="M1318" s="14"/>
      <c r="N1318" s="14"/>
      <c r="O1318" s="14"/>
      <c r="P1318" s="14"/>
      <c r="Q1318" s="14"/>
      <c r="R1318" s="14"/>
      <c r="S1318" s="14"/>
      <c r="T1318" s="14">
        <f t="shared" si="66"/>
        <v>5</v>
      </c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F1318" s="22"/>
      <c r="AG1318" s="22"/>
      <c r="AH1318" s="22"/>
      <c r="AI1318" s="22"/>
    </row>
    <row r="1319" ht="15.75" customHeight="1">
      <c r="A1319" s="27" t="s">
        <v>1560</v>
      </c>
      <c r="B1319" s="17" t="s">
        <v>145</v>
      </c>
      <c r="C1319" s="25"/>
      <c r="D1319" s="17"/>
      <c r="E1319" s="18"/>
      <c r="F1319" s="27"/>
      <c r="G1319" s="26"/>
      <c r="H1319" s="27"/>
      <c r="I1319" s="27">
        <v>1.0</v>
      </c>
      <c r="J1319" s="27">
        <v>2.0</v>
      </c>
      <c r="K1319" s="27">
        <v>1.0</v>
      </c>
      <c r="L1319" s="27"/>
      <c r="M1319" s="27"/>
      <c r="N1319" s="27"/>
      <c r="O1319" s="27"/>
      <c r="P1319" s="27"/>
      <c r="Q1319" s="27"/>
      <c r="R1319" s="17">
        <v>1.0</v>
      </c>
      <c r="S1319" s="17"/>
      <c r="T1319" s="14">
        <f t="shared" si="66"/>
        <v>5</v>
      </c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28"/>
      <c r="AE1319" s="28"/>
      <c r="AF1319" s="28"/>
      <c r="AG1319" s="28"/>
      <c r="AH1319" s="28"/>
      <c r="AI1319" s="28"/>
    </row>
    <row r="1320" ht="15.75" customHeight="1">
      <c r="A1320" s="19" t="s">
        <v>1561</v>
      </c>
      <c r="B1320" s="19" t="s">
        <v>145</v>
      </c>
      <c r="C1320" s="16"/>
      <c r="D1320" s="17"/>
      <c r="E1320" s="18"/>
      <c r="F1320" s="14"/>
      <c r="G1320" s="20"/>
      <c r="H1320" s="14">
        <v>1.0</v>
      </c>
      <c r="I1320" s="14">
        <v>1.0</v>
      </c>
      <c r="J1320" s="14">
        <v>1.0</v>
      </c>
      <c r="K1320" s="14"/>
      <c r="L1320" s="14"/>
      <c r="M1320" s="14"/>
      <c r="N1320" s="14"/>
      <c r="O1320" s="14"/>
      <c r="P1320" s="14"/>
      <c r="Q1320" s="14"/>
      <c r="R1320" s="14"/>
      <c r="S1320" s="14"/>
      <c r="T1320" s="14">
        <f t="shared" si="66"/>
        <v>2</v>
      </c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2"/>
    </row>
    <row r="1321" ht="15.75" customHeight="1">
      <c r="A1321" s="27" t="s">
        <v>1562</v>
      </c>
      <c r="B1321" s="27" t="s">
        <v>295</v>
      </c>
      <c r="C1321" s="25"/>
      <c r="D1321" s="17"/>
      <c r="E1321" s="18"/>
      <c r="F1321" s="51"/>
      <c r="G1321" s="26"/>
      <c r="H1321" s="27"/>
      <c r="I1321" s="27"/>
      <c r="J1321" s="27"/>
      <c r="K1321" s="27">
        <v>4.0</v>
      </c>
      <c r="L1321" s="27">
        <v>1.0</v>
      </c>
      <c r="M1321" s="27">
        <v>1.0</v>
      </c>
      <c r="N1321" s="27"/>
      <c r="O1321" s="27"/>
      <c r="P1321" s="27"/>
      <c r="Q1321" s="27"/>
      <c r="R1321" s="27"/>
      <c r="S1321" s="27"/>
      <c r="T1321" s="14">
        <f t="shared" si="66"/>
        <v>6</v>
      </c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28"/>
      <c r="AE1321" s="28"/>
      <c r="AF1321" s="28"/>
      <c r="AG1321" s="28"/>
      <c r="AH1321" s="28"/>
      <c r="AI1321" s="28"/>
    </row>
    <row r="1322" ht="15.75" customHeight="1">
      <c r="A1322" s="19" t="s">
        <v>1563</v>
      </c>
      <c r="B1322" s="19" t="s">
        <v>60</v>
      </c>
      <c r="C1322" s="16"/>
      <c r="D1322" s="47"/>
      <c r="E1322" s="18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9">
        <v>1.0</v>
      </c>
      <c r="R1322" s="14"/>
      <c r="S1322" s="19">
        <v>1.0</v>
      </c>
      <c r="T1322" s="14">
        <f t="shared" si="66"/>
        <v>2</v>
      </c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2"/>
    </row>
    <row r="1323" ht="15.75" customHeight="1">
      <c r="A1323" s="14" t="s">
        <v>1564</v>
      </c>
      <c r="B1323" s="19" t="s">
        <v>198</v>
      </c>
      <c r="C1323" s="16"/>
      <c r="D1323" s="17"/>
      <c r="E1323" s="18"/>
      <c r="F1323" s="14"/>
      <c r="G1323" s="14" t="s">
        <v>40</v>
      </c>
      <c r="H1323" s="14" t="s">
        <v>1437</v>
      </c>
      <c r="I1323" s="14"/>
      <c r="J1323" s="14">
        <v>2.0</v>
      </c>
      <c r="K1323" s="14">
        <v>3.0</v>
      </c>
      <c r="L1323" s="14"/>
      <c r="M1323" s="14"/>
      <c r="N1323" s="14"/>
      <c r="O1323" s="14">
        <v>1.0</v>
      </c>
      <c r="P1323" s="14">
        <v>1.0</v>
      </c>
      <c r="Q1323" s="14"/>
      <c r="R1323" s="14"/>
      <c r="S1323" s="14"/>
      <c r="T1323" s="14">
        <f t="shared" si="66"/>
        <v>7</v>
      </c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F1323" s="22"/>
      <c r="AG1323" s="22"/>
      <c r="AH1323" s="22"/>
      <c r="AI1323" s="22"/>
    </row>
    <row r="1324" ht="15.75" customHeight="1">
      <c r="A1324" s="17" t="s">
        <v>1565</v>
      </c>
      <c r="B1324" s="17" t="s">
        <v>311</v>
      </c>
      <c r="C1324" s="25"/>
      <c r="D1324" s="17"/>
      <c r="E1324" s="48"/>
      <c r="F1324" s="27"/>
      <c r="G1324" s="26"/>
      <c r="H1324" s="27"/>
      <c r="I1324" s="27"/>
      <c r="J1324" s="27"/>
      <c r="K1324" s="27"/>
      <c r="L1324" s="27"/>
      <c r="M1324" s="27"/>
      <c r="N1324" s="27"/>
      <c r="O1324" s="27"/>
      <c r="P1324" s="27"/>
      <c r="Q1324" s="17">
        <v>2.0</v>
      </c>
      <c r="R1324" s="19">
        <v>1.0</v>
      </c>
      <c r="S1324" s="19">
        <v>2.0</v>
      </c>
      <c r="T1324" s="14">
        <f t="shared" si="66"/>
        <v>5</v>
      </c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28"/>
      <c r="AE1324" s="28"/>
      <c r="AF1324" s="28"/>
      <c r="AG1324" s="28"/>
      <c r="AH1324" s="28"/>
      <c r="AI1324" s="28"/>
    </row>
    <row r="1325" ht="15.75" customHeight="1">
      <c r="A1325" s="27" t="s">
        <v>1566</v>
      </c>
      <c r="B1325" s="27" t="s">
        <v>46</v>
      </c>
      <c r="C1325" s="25"/>
      <c r="D1325" s="17"/>
      <c r="E1325" s="18"/>
      <c r="F1325" s="27"/>
      <c r="G1325" s="26"/>
      <c r="H1325" s="27"/>
      <c r="I1325" s="27"/>
      <c r="J1325" s="27"/>
      <c r="K1325" s="27"/>
      <c r="L1325" s="27"/>
      <c r="M1325" s="27">
        <v>4.0</v>
      </c>
      <c r="N1325" s="27"/>
      <c r="O1325" s="27"/>
      <c r="P1325" s="27"/>
      <c r="Q1325" s="27"/>
      <c r="R1325" s="27"/>
      <c r="S1325" s="27"/>
      <c r="T1325" s="14">
        <f t="shared" si="66"/>
        <v>4</v>
      </c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28"/>
      <c r="AE1325" s="28"/>
      <c r="AF1325" s="28"/>
      <c r="AG1325" s="28"/>
      <c r="AH1325" s="28"/>
      <c r="AI1325" s="28"/>
    </row>
    <row r="1326" ht="15.75" customHeight="1">
      <c r="A1326" s="14" t="s">
        <v>1567</v>
      </c>
      <c r="B1326" s="19" t="s">
        <v>68</v>
      </c>
      <c r="C1326" s="16"/>
      <c r="D1326" s="17"/>
      <c r="E1326" s="18"/>
      <c r="F1326" s="14"/>
      <c r="G1326" s="20"/>
      <c r="H1326" s="14"/>
      <c r="I1326" s="14"/>
      <c r="J1326" s="14"/>
      <c r="K1326" s="14">
        <v>2.0</v>
      </c>
      <c r="L1326" s="14">
        <v>1.0</v>
      </c>
      <c r="M1326" s="14"/>
      <c r="N1326" s="14"/>
      <c r="O1326" s="14"/>
      <c r="P1326" s="14"/>
      <c r="Q1326" s="14"/>
      <c r="R1326" s="14"/>
      <c r="S1326" s="14"/>
      <c r="T1326" s="14">
        <f t="shared" si="66"/>
        <v>3</v>
      </c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2"/>
    </row>
    <row r="1327" ht="15.75" customHeight="1">
      <c r="A1327" s="27" t="s">
        <v>1568</v>
      </c>
      <c r="B1327" s="27" t="s">
        <v>51</v>
      </c>
      <c r="C1327" s="25"/>
      <c r="D1327" s="17"/>
      <c r="E1327" s="18"/>
      <c r="F1327" s="27"/>
      <c r="G1327" s="26"/>
      <c r="H1327" s="27"/>
      <c r="I1327" s="27"/>
      <c r="J1327" s="27"/>
      <c r="K1327" s="27"/>
      <c r="L1327" s="27"/>
      <c r="M1327" s="27"/>
      <c r="N1327" s="27"/>
      <c r="O1327" s="27"/>
      <c r="P1327" s="27">
        <v>1.0</v>
      </c>
      <c r="Q1327" s="27"/>
      <c r="R1327" s="27"/>
      <c r="S1327" s="27"/>
      <c r="T1327" s="14">
        <f t="shared" si="66"/>
        <v>1</v>
      </c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28"/>
      <c r="AE1327" s="28"/>
      <c r="AF1327" s="28"/>
      <c r="AG1327" s="28"/>
      <c r="AH1327" s="28"/>
      <c r="AI1327" s="28"/>
    </row>
    <row r="1328" ht="15.75" customHeight="1">
      <c r="A1328" s="14" t="s">
        <v>1569</v>
      </c>
      <c r="B1328" s="19" t="s">
        <v>678</v>
      </c>
      <c r="C1328" s="16"/>
      <c r="D1328" s="17"/>
      <c r="E1328" s="18"/>
      <c r="F1328" s="14"/>
      <c r="G1328" s="23" t="s">
        <v>1570</v>
      </c>
      <c r="H1328" s="14" t="s">
        <v>1571</v>
      </c>
      <c r="I1328" s="14"/>
      <c r="J1328" s="14">
        <v>2.0</v>
      </c>
      <c r="K1328" s="14">
        <v>6.0</v>
      </c>
      <c r="L1328" s="14"/>
      <c r="M1328" s="14"/>
      <c r="N1328" s="14">
        <v>2.0</v>
      </c>
      <c r="O1328" s="14">
        <v>1.0</v>
      </c>
      <c r="P1328" s="14">
        <v>2.0</v>
      </c>
      <c r="Q1328" s="14"/>
      <c r="R1328" s="19">
        <v>2.0</v>
      </c>
      <c r="S1328" s="19"/>
      <c r="T1328" s="14">
        <f t="shared" si="66"/>
        <v>15</v>
      </c>
      <c r="U1328" s="22"/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  <c r="AF1328" s="22"/>
      <c r="AG1328" s="22"/>
      <c r="AH1328" s="22"/>
      <c r="AI1328" s="22"/>
    </row>
    <row r="1329" ht="15.75" customHeight="1">
      <c r="A1329" s="27" t="s">
        <v>1572</v>
      </c>
      <c r="B1329" s="27" t="s">
        <v>157</v>
      </c>
      <c r="C1329" s="25"/>
      <c r="D1329" s="17"/>
      <c r="E1329" s="48"/>
      <c r="F1329" s="27"/>
      <c r="G1329" s="26"/>
      <c r="H1329" s="27"/>
      <c r="I1329" s="27"/>
      <c r="J1329" s="27"/>
      <c r="K1329" s="27"/>
      <c r="L1329" s="27"/>
      <c r="M1329" s="27"/>
      <c r="N1329" s="27"/>
      <c r="O1329" s="27">
        <v>3.0</v>
      </c>
      <c r="P1329" s="27"/>
      <c r="Q1329" s="17">
        <v>3.0</v>
      </c>
      <c r="R1329" s="17">
        <v>3.0</v>
      </c>
      <c r="S1329" s="17"/>
      <c r="T1329" s="14">
        <f t="shared" si="66"/>
        <v>9</v>
      </c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28"/>
      <c r="AE1329" s="28"/>
      <c r="AF1329" s="28"/>
      <c r="AG1329" s="28"/>
      <c r="AH1329" s="28"/>
      <c r="AI1329" s="28"/>
    </row>
    <row r="1330" ht="15.75" customHeight="1">
      <c r="A1330" s="19" t="s">
        <v>1573</v>
      </c>
      <c r="B1330" s="14" t="s">
        <v>619</v>
      </c>
      <c r="C1330" s="16"/>
      <c r="D1330" s="17" t="s">
        <v>180</v>
      </c>
      <c r="E1330" s="18">
        <v>45933.0</v>
      </c>
      <c r="F1330" s="14"/>
      <c r="G1330" s="20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9">
        <v>1.0</v>
      </c>
      <c r="T1330" s="14">
        <f t="shared" si="66"/>
        <v>1</v>
      </c>
      <c r="U1330" s="22"/>
      <c r="V1330" s="22"/>
      <c r="W1330" s="22"/>
      <c r="X1330" s="22"/>
      <c r="Y1330" s="22"/>
      <c r="Z1330" s="22"/>
      <c r="AA1330" s="22"/>
      <c r="AB1330" s="22"/>
      <c r="AC1330" s="22"/>
      <c r="AD1330" s="22"/>
      <c r="AE1330" s="22"/>
      <c r="AF1330" s="22"/>
      <c r="AG1330" s="22"/>
      <c r="AH1330" s="22"/>
      <c r="AI1330" s="22"/>
    </row>
    <row r="1331" ht="15.75" customHeight="1">
      <c r="A1331" s="17" t="s">
        <v>1574</v>
      </c>
      <c r="B1331" s="27" t="s">
        <v>879</v>
      </c>
      <c r="C1331" s="25"/>
      <c r="D1331" s="17"/>
      <c r="E1331" s="18"/>
      <c r="F1331" s="27"/>
      <c r="G1331" s="27" t="s">
        <v>40</v>
      </c>
      <c r="H1331" s="27"/>
      <c r="I1331" s="27"/>
      <c r="J1331" s="27"/>
      <c r="K1331" s="27">
        <v>1.0</v>
      </c>
      <c r="L1331" s="27"/>
      <c r="M1331" s="27"/>
      <c r="N1331" s="27">
        <v>2.0</v>
      </c>
      <c r="O1331" s="27">
        <v>4.0</v>
      </c>
      <c r="P1331" s="27"/>
      <c r="Q1331" s="27"/>
      <c r="R1331" s="27"/>
      <c r="S1331" s="27"/>
      <c r="T1331" s="14">
        <f t="shared" si="66"/>
        <v>7</v>
      </c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28"/>
      <c r="AE1331" s="28"/>
      <c r="AF1331" s="28"/>
      <c r="AG1331" s="28"/>
      <c r="AH1331" s="28"/>
      <c r="AI1331" s="28"/>
    </row>
    <row r="1332" ht="15.75" customHeight="1">
      <c r="A1332" s="14" t="s">
        <v>1575</v>
      </c>
      <c r="B1332" s="19" t="s">
        <v>38</v>
      </c>
      <c r="C1332" s="16"/>
      <c r="D1332" s="17"/>
      <c r="E1332" s="18"/>
      <c r="F1332" s="14"/>
      <c r="G1332" s="20"/>
      <c r="H1332" s="14"/>
      <c r="I1332" s="14"/>
      <c r="J1332" s="14"/>
      <c r="K1332" s="14"/>
      <c r="L1332" s="14"/>
      <c r="M1332" s="14"/>
      <c r="N1332" s="14">
        <v>4.0</v>
      </c>
      <c r="O1332" s="14">
        <v>3.0</v>
      </c>
      <c r="P1332" s="14">
        <v>2.0</v>
      </c>
      <c r="Q1332" s="14"/>
      <c r="R1332" s="14"/>
      <c r="S1332" s="14"/>
      <c r="T1332" s="14">
        <f t="shared" si="66"/>
        <v>9</v>
      </c>
      <c r="U1332" s="22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  <c r="AF1332" s="22"/>
      <c r="AG1332" s="22"/>
      <c r="AH1332" s="22"/>
      <c r="AI1332" s="22"/>
    </row>
    <row r="1333" ht="15.75" customHeight="1">
      <c r="A1333" s="27" t="s">
        <v>1576</v>
      </c>
      <c r="B1333" s="17" t="s">
        <v>60</v>
      </c>
      <c r="C1333" s="25"/>
      <c r="D1333" s="17"/>
      <c r="E1333" s="18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17">
        <v>1.0</v>
      </c>
      <c r="S1333" s="17"/>
      <c r="T1333" s="14">
        <f t="shared" si="66"/>
        <v>1</v>
      </c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28"/>
      <c r="AE1333" s="28"/>
      <c r="AF1333" s="28"/>
      <c r="AG1333" s="28"/>
      <c r="AH1333" s="28"/>
      <c r="AI1333" s="28"/>
    </row>
    <row r="1334" ht="15.75" customHeight="1">
      <c r="A1334" s="14" t="s">
        <v>1577</v>
      </c>
      <c r="B1334" s="19" t="s">
        <v>279</v>
      </c>
      <c r="C1334" s="16"/>
      <c r="D1334" s="17"/>
      <c r="E1334" s="18"/>
      <c r="F1334" s="14"/>
      <c r="G1334" s="20"/>
      <c r="H1334" s="14"/>
      <c r="I1334" s="14">
        <v>1.0</v>
      </c>
      <c r="J1334" s="14">
        <v>1.0</v>
      </c>
      <c r="K1334" s="14"/>
      <c r="L1334" s="14"/>
      <c r="M1334" s="14"/>
      <c r="N1334" s="14"/>
      <c r="O1334" s="14"/>
      <c r="P1334" s="14"/>
      <c r="Q1334" s="14"/>
      <c r="R1334" s="14"/>
      <c r="S1334" s="14"/>
      <c r="T1334" s="14">
        <f t="shared" si="66"/>
        <v>2</v>
      </c>
      <c r="U1334" s="22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  <c r="AF1334" s="22"/>
      <c r="AG1334" s="22"/>
      <c r="AH1334" s="22"/>
      <c r="AI1334" s="22"/>
    </row>
    <row r="1335" ht="15.75" customHeight="1">
      <c r="A1335" s="27" t="s">
        <v>1578</v>
      </c>
      <c r="B1335" s="17" t="s">
        <v>234</v>
      </c>
      <c r="C1335" s="25"/>
      <c r="D1335" s="17"/>
      <c r="E1335" s="18"/>
      <c r="F1335" s="27"/>
      <c r="G1335" s="26"/>
      <c r="H1335" s="27"/>
      <c r="I1335" s="27">
        <v>1.0</v>
      </c>
      <c r="J1335" s="27">
        <v>2.0</v>
      </c>
      <c r="K1335" s="27"/>
      <c r="L1335" s="27"/>
      <c r="M1335" s="27"/>
      <c r="N1335" s="27">
        <v>1.0</v>
      </c>
      <c r="O1335" s="27"/>
      <c r="P1335" s="27"/>
      <c r="Q1335" s="27"/>
      <c r="R1335" s="17">
        <v>1.0</v>
      </c>
      <c r="S1335" s="17"/>
      <c r="T1335" s="14">
        <f t="shared" si="66"/>
        <v>5</v>
      </c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28"/>
      <c r="AE1335" s="28"/>
      <c r="AF1335" s="28"/>
      <c r="AG1335" s="28"/>
      <c r="AH1335" s="28"/>
      <c r="AI1335" s="28"/>
    </row>
    <row r="1336" ht="15.75" customHeight="1">
      <c r="A1336" s="14" t="s">
        <v>1579</v>
      </c>
      <c r="B1336" s="19" t="s">
        <v>145</v>
      </c>
      <c r="C1336" s="16"/>
      <c r="D1336" s="17"/>
      <c r="E1336" s="18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>
        <v>2.0</v>
      </c>
      <c r="P1336" s="14">
        <v>2.0</v>
      </c>
      <c r="Q1336" s="14"/>
      <c r="R1336" s="19">
        <v>1.0</v>
      </c>
      <c r="S1336" s="19"/>
      <c r="T1336" s="14">
        <f t="shared" si="66"/>
        <v>5</v>
      </c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2"/>
    </row>
    <row r="1337" ht="15.75" customHeight="1">
      <c r="A1337" s="17" t="s">
        <v>1580</v>
      </c>
      <c r="B1337" s="17" t="s">
        <v>879</v>
      </c>
      <c r="C1337" s="25"/>
      <c r="D1337" s="17"/>
      <c r="E1337" s="18"/>
      <c r="F1337" s="27"/>
      <c r="G1337" s="26"/>
      <c r="H1337" s="27"/>
      <c r="I1337" s="27"/>
      <c r="J1337" s="27"/>
      <c r="K1337" s="27"/>
      <c r="L1337" s="27"/>
      <c r="M1337" s="27"/>
      <c r="N1337" s="27"/>
      <c r="O1337" s="27"/>
      <c r="P1337" s="27"/>
      <c r="Q1337" s="33"/>
      <c r="R1337" s="34"/>
      <c r="S1337" s="34"/>
      <c r="T1337" s="14">
        <f t="shared" si="66"/>
        <v>0</v>
      </c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28"/>
      <c r="AE1337" s="28"/>
      <c r="AF1337" s="28"/>
      <c r="AG1337" s="28"/>
      <c r="AH1337" s="28"/>
      <c r="AI1337" s="28"/>
    </row>
    <row r="1338" ht="15.75" customHeight="1">
      <c r="A1338" s="27" t="s">
        <v>1581</v>
      </c>
      <c r="B1338" s="46" t="s">
        <v>189</v>
      </c>
      <c r="C1338" s="25"/>
      <c r="D1338" s="50"/>
      <c r="E1338" s="48"/>
      <c r="F1338" s="27"/>
      <c r="G1338" s="26"/>
      <c r="H1338" s="27"/>
      <c r="I1338" s="27"/>
      <c r="J1338" s="27"/>
      <c r="K1338" s="27"/>
      <c r="L1338" s="27"/>
      <c r="M1338" s="27"/>
      <c r="N1338" s="27">
        <v>3.0</v>
      </c>
      <c r="O1338" s="33">
        <v>3.0</v>
      </c>
      <c r="P1338" s="33"/>
      <c r="Q1338" s="46">
        <v>2.0</v>
      </c>
      <c r="R1338" s="33"/>
      <c r="S1338" s="33"/>
      <c r="T1338" s="34">
        <f t="shared" si="66"/>
        <v>8</v>
      </c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28"/>
      <c r="AE1338" s="28"/>
      <c r="AF1338" s="28"/>
      <c r="AG1338" s="28"/>
      <c r="AH1338" s="28"/>
      <c r="AI1338" s="28"/>
    </row>
    <row r="1339" ht="15.75" customHeight="1">
      <c r="A1339" s="19" t="s">
        <v>1582</v>
      </c>
      <c r="B1339" s="35"/>
      <c r="C1339" s="16"/>
      <c r="D1339" s="17"/>
      <c r="E1339" s="18"/>
      <c r="F1339" s="14"/>
      <c r="G1339" s="20"/>
      <c r="H1339" s="14"/>
      <c r="I1339" s="14"/>
      <c r="J1339" s="14"/>
      <c r="K1339" s="14"/>
      <c r="L1339" s="14"/>
      <c r="M1339" s="14"/>
      <c r="N1339" s="14"/>
      <c r="O1339" s="35"/>
      <c r="P1339" s="35"/>
      <c r="Q1339" s="41"/>
      <c r="R1339" s="41"/>
      <c r="S1339" s="41"/>
      <c r="T1339" s="35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  <c r="AF1339" s="22"/>
      <c r="AG1339" s="22"/>
      <c r="AH1339" s="22"/>
      <c r="AI1339" s="22"/>
    </row>
    <row r="1340" ht="15.75" customHeight="1">
      <c r="A1340" s="17" t="s">
        <v>1583</v>
      </c>
      <c r="B1340" s="17" t="s">
        <v>230</v>
      </c>
      <c r="C1340" s="25"/>
      <c r="D1340" s="17"/>
      <c r="E1340" s="18"/>
      <c r="F1340" s="17"/>
      <c r="G1340" s="26"/>
      <c r="H1340" s="27"/>
      <c r="I1340" s="27"/>
      <c r="J1340" s="27"/>
      <c r="K1340" s="27"/>
      <c r="L1340" s="27"/>
      <c r="M1340" s="27"/>
      <c r="N1340" s="27"/>
      <c r="O1340" s="27"/>
      <c r="P1340" s="27"/>
      <c r="Q1340" s="33"/>
      <c r="R1340" s="33"/>
      <c r="S1340" s="46">
        <v>1.0</v>
      </c>
      <c r="T1340" s="14">
        <f t="shared" ref="T1340:T1343" si="67">SUM(I1340:S1340)</f>
        <v>1</v>
      </c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28"/>
      <c r="AE1340" s="28"/>
      <c r="AF1340" s="28"/>
      <c r="AG1340" s="28"/>
      <c r="AH1340" s="28"/>
      <c r="AI1340" s="28"/>
    </row>
    <row r="1341" ht="15.75" customHeight="1">
      <c r="A1341" s="27" t="s">
        <v>1584</v>
      </c>
      <c r="B1341" s="17" t="s">
        <v>392</v>
      </c>
      <c r="C1341" s="25"/>
      <c r="D1341" s="17"/>
      <c r="E1341" s="18"/>
      <c r="F1341" s="27"/>
      <c r="G1341" s="23" t="s">
        <v>1585</v>
      </c>
      <c r="H1341" s="27"/>
      <c r="I1341" s="27"/>
      <c r="J1341" s="27">
        <v>1.0</v>
      </c>
      <c r="K1341" s="27"/>
      <c r="L1341" s="27"/>
      <c r="M1341" s="27">
        <v>2.0</v>
      </c>
      <c r="N1341" s="27">
        <v>1.0</v>
      </c>
      <c r="O1341" s="27">
        <v>1.0</v>
      </c>
      <c r="P1341" s="27">
        <v>1.0</v>
      </c>
      <c r="Q1341" s="27"/>
      <c r="R1341" s="27"/>
      <c r="S1341" s="27"/>
      <c r="T1341" s="14">
        <f t="shared" si="67"/>
        <v>6</v>
      </c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28"/>
      <c r="AE1341" s="28"/>
      <c r="AF1341" s="28"/>
      <c r="AG1341" s="28"/>
      <c r="AH1341" s="28"/>
      <c r="AI1341" s="28"/>
    </row>
    <row r="1342" ht="15.75" customHeight="1">
      <c r="A1342" s="14" t="s">
        <v>1586</v>
      </c>
      <c r="B1342" s="19" t="s">
        <v>68</v>
      </c>
      <c r="C1342" s="16"/>
      <c r="D1342" s="17"/>
      <c r="E1342" s="18"/>
      <c r="F1342" s="14"/>
      <c r="G1342" s="20"/>
      <c r="H1342" s="14"/>
      <c r="I1342" s="14"/>
      <c r="J1342" s="14"/>
      <c r="K1342" s="14"/>
      <c r="L1342" s="14"/>
      <c r="M1342" s="14">
        <v>2.0</v>
      </c>
      <c r="N1342" s="14"/>
      <c r="O1342" s="14">
        <v>1.0</v>
      </c>
      <c r="P1342" s="14"/>
      <c r="Q1342" s="14"/>
      <c r="R1342" s="14"/>
      <c r="S1342" s="14"/>
      <c r="T1342" s="14">
        <f t="shared" si="67"/>
        <v>3</v>
      </c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F1342" s="22"/>
      <c r="AG1342" s="22"/>
      <c r="AH1342" s="22"/>
      <c r="AI1342" s="22"/>
    </row>
    <row r="1343" ht="15.75" customHeight="1">
      <c r="A1343" s="17" t="s">
        <v>1587</v>
      </c>
      <c r="B1343" s="46" t="s">
        <v>230</v>
      </c>
      <c r="C1343" s="25"/>
      <c r="D1343" s="17"/>
      <c r="E1343" s="18"/>
      <c r="F1343" s="27"/>
      <c r="G1343" s="26"/>
      <c r="H1343" s="27"/>
      <c r="I1343" s="27"/>
      <c r="J1343" s="27"/>
      <c r="K1343" s="27"/>
      <c r="L1343" s="27"/>
      <c r="M1343" s="27"/>
      <c r="N1343" s="27"/>
      <c r="O1343" s="27"/>
      <c r="P1343" s="97"/>
      <c r="Q1343" s="93"/>
      <c r="R1343" s="132">
        <v>1.0</v>
      </c>
      <c r="S1343" s="132">
        <v>2.0</v>
      </c>
      <c r="T1343" s="34">
        <f t="shared" si="67"/>
        <v>3</v>
      </c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28"/>
      <c r="AE1343" s="28"/>
      <c r="AF1343" s="28"/>
      <c r="AG1343" s="28"/>
      <c r="AH1343" s="28"/>
      <c r="AI1343" s="28"/>
    </row>
    <row r="1344" ht="15.75" customHeight="1">
      <c r="A1344" s="14" t="s">
        <v>1588</v>
      </c>
      <c r="B1344" s="35"/>
      <c r="C1344" s="16"/>
      <c r="D1344" s="17"/>
      <c r="E1344" s="18"/>
      <c r="F1344" s="14"/>
      <c r="G1344" s="20"/>
      <c r="H1344" s="14"/>
      <c r="I1344" s="14"/>
      <c r="J1344" s="14"/>
      <c r="K1344" s="14"/>
      <c r="L1344" s="14"/>
      <c r="M1344" s="14"/>
      <c r="N1344" s="14"/>
      <c r="O1344" s="14"/>
      <c r="P1344" s="127"/>
      <c r="Q1344" s="35"/>
      <c r="R1344" s="35"/>
      <c r="S1344" s="35"/>
      <c r="T1344" s="35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  <c r="AG1344" s="22"/>
      <c r="AH1344" s="22"/>
      <c r="AI1344" s="22"/>
    </row>
    <row r="1345" ht="15.75" customHeight="1">
      <c r="A1345" s="27" t="s">
        <v>1589</v>
      </c>
      <c r="B1345" s="17" t="s">
        <v>204</v>
      </c>
      <c r="C1345" s="25"/>
      <c r="D1345" s="17"/>
      <c r="E1345" s="18"/>
      <c r="F1345" s="27"/>
      <c r="G1345" s="26"/>
      <c r="H1345" s="27"/>
      <c r="I1345" s="27"/>
      <c r="J1345" s="27"/>
      <c r="K1345" s="27"/>
      <c r="L1345" s="27"/>
      <c r="M1345" s="27"/>
      <c r="N1345" s="27"/>
      <c r="O1345" s="27">
        <v>3.0</v>
      </c>
      <c r="P1345" s="27"/>
      <c r="Q1345" s="27"/>
      <c r="R1345" s="17">
        <v>1.0</v>
      </c>
      <c r="S1345" s="17"/>
      <c r="T1345" s="14">
        <f t="shared" ref="T1345:T1353" si="68">SUM(I1345:S1345)</f>
        <v>4</v>
      </c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28"/>
      <c r="AE1345" s="28"/>
      <c r="AF1345" s="28"/>
      <c r="AG1345" s="28"/>
      <c r="AH1345" s="28"/>
      <c r="AI1345" s="28"/>
    </row>
    <row r="1346" ht="15.75" customHeight="1">
      <c r="A1346" s="14" t="s">
        <v>1590</v>
      </c>
      <c r="B1346" s="19" t="s">
        <v>182</v>
      </c>
      <c r="C1346" s="16"/>
      <c r="D1346" s="17"/>
      <c r="E1346" s="18"/>
      <c r="F1346" s="14"/>
      <c r="G1346" s="20"/>
      <c r="H1346" s="14"/>
      <c r="I1346" s="14"/>
      <c r="J1346" s="14"/>
      <c r="K1346" s="14"/>
      <c r="L1346" s="14">
        <v>1.0</v>
      </c>
      <c r="M1346" s="14"/>
      <c r="N1346" s="14"/>
      <c r="O1346" s="14"/>
      <c r="P1346" s="14"/>
      <c r="Q1346" s="14"/>
      <c r="R1346" s="14"/>
      <c r="S1346" s="14"/>
      <c r="T1346" s="14">
        <f t="shared" si="68"/>
        <v>1</v>
      </c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F1346" s="22"/>
      <c r="AG1346" s="22"/>
      <c r="AH1346" s="22"/>
      <c r="AI1346" s="22"/>
    </row>
    <row r="1347" ht="15.75" customHeight="1">
      <c r="A1347" s="27" t="s">
        <v>1591</v>
      </c>
      <c r="B1347" s="17" t="s">
        <v>532</v>
      </c>
      <c r="C1347" s="25"/>
      <c r="D1347" s="17"/>
      <c r="E1347" s="18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>
        <v>1.0</v>
      </c>
      <c r="Q1347" s="27"/>
      <c r="R1347" s="27"/>
      <c r="S1347" s="17">
        <v>1.0</v>
      </c>
      <c r="T1347" s="14">
        <f t="shared" si="68"/>
        <v>2</v>
      </c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28"/>
      <c r="AE1347" s="28"/>
      <c r="AF1347" s="28"/>
      <c r="AG1347" s="28"/>
      <c r="AH1347" s="28"/>
      <c r="AI1347" s="28"/>
    </row>
    <row r="1348" ht="15.75" customHeight="1">
      <c r="A1348" s="19" t="s">
        <v>1592</v>
      </c>
      <c r="B1348" s="19" t="s">
        <v>62</v>
      </c>
      <c r="C1348" s="16"/>
      <c r="D1348" s="17"/>
      <c r="E1348" s="18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>
        <f t="shared" si="68"/>
        <v>0</v>
      </c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  <c r="AG1348" s="22"/>
      <c r="AH1348" s="22"/>
      <c r="AI1348" s="22"/>
    </row>
    <row r="1349" ht="15.75" customHeight="1">
      <c r="A1349" s="14" t="s">
        <v>1593</v>
      </c>
      <c r="B1349" s="14" t="s">
        <v>21</v>
      </c>
      <c r="C1349" s="16"/>
      <c r="D1349" s="17"/>
      <c r="E1349" s="18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9">
        <v>1.0</v>
      </c>
      <c r="S1349" s="19"/>
      <c r="T1349" s="14">
        <f t="shared" si="68"/>
        <v>1</v>
      </c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  <c r="AG1349" s="22"/>
      <c r="AH1349" s="22"/>
      <c r="AI1349" s="22"/>
    </row>
    <row r="1350" ht="15.75" customHeight="1">
      <c r="A1350" s="27" t="s">
        <v>1594</v>
      </c>
      <c r="B1350" s="17" t="s">
        <v>21</v>
      </c>
      <c r="C1350" s="25"/>
      <c r="D1350" s="17"/>
      <c r="E1350" s="18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14">
        <f t="shared" si="68"/>
        <v>0</v>
      </c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28"/>
      <c r="AE1350" s="28"/>
      <c r="AF1350" s="28"/>
      <c r="AG1350" s="28"/>
      <c r="AH1350" s="28"/>
      <c r="AI1350" s="28"/>
    </row>
    <row r="1351" ht="15.75" customHeight="1">
      <c r="A1351" s="85" t="s">
        <v>1595</v>
      </c>
      <c r="B1351" s="19" t="s">
        <v>62</v>
      </c>
      <c r="C1351" s="16"/>
      <c r="D1351" s="17"/>
      <c r="E1351" s="18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>
        <f t="shared" si="68"/>
        <v>0</v>
      </c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  <c r="AG1351" s="22"/>
      <c r="AH1351" s="22"/>
      <c r="AI1351" s="22"/>
    </row>
    <row r="1352" ht="15.75" customHeight="1">
      <c r="A1352" s="31" t="s">
        <v>1596</v>
      </c>
      <c r="B1352" s="17" t="s">
        <v>22</v>
      </c>
      <c r="C1352" s="25"/>
      <c r="D1352" s="17"/>
      <c r="E1352" s="18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14">
        <f t="shared" si="68"/>
        <v>0</v>
      </c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28"/>
      <c r="AE1352" s="28"/>
      <c r="AF1352" s="28"/>
      <c r="AG1352" s="28"/>
      <c r="AH1352" s="28"/>
      <c r="AI1352" s="28"/>
    </row>
    <row r="1353" ht="15.75" customHeight="1">
      <c r="A1353" s="14" t="s">
        <v>1597</v>
      </c>
      <c r="B1353" s="40" t="s">
        <v>169</v>
      </c>
      <c r="C1353" s="16"/>
      <c r="D1353" s="17"/>
      <c r="E1353" s="18"/>
      <c r="F1353" s="14"/>
      <c r="G1353" s="23" t="s">
        <v>1598</v>
      </c>
      <c r="H1353" s="14"/>
      <c r="I1353" s="14"/>
      <c r="J1353" s="14"/>
      <c r="K1353" s="14"/>
      <c r="L1353" s="34">
        <v>7.0</v>
      </c>
      <c r="M1353" s="34">
        <v>3.0</v>
      </c>
      <c r="N1353" s="34">
        <v>3.0</v>
      </c>
      <c r="O1353" s="34"/>
      <c r="P1353" s="34">
        <v>2.0</v>
      </c>
      <c r="Q1353" s="34"/>
      <c r="R1353" s="40">
        <v>1.0</v>
      </c>
      <c r="S1353" s="40">
        <v>3.0</v>
      </c>
      <c r="T1353" s="34">
        <f t="shared" si="68"/>
        <v>19</v>
      </c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  <c r="AF1353" s="22"/>
      <c r="AG1353" s="22"/>
      <c r="AH1353" s="22"/>
      <c r="AI1353" s="22"/>
    </row>
    <row r="1354" ht="15.75" customHeight="1">
      <c r="A1354" s="27" t="s">
        <v>1599</v>
      </c>
      <c r="B1354" s="35"/>
      <c r="C1354" s="25"/>
      <c r="D1354" s="17"/>
      <c r="E1354" s="18"/>
      <c r="F1354" s="27"/>
      <c r="G1354" s="26"/>
      <c r="H1354" s="27"/>
      <c r="I1354" s="27"/>
      <c r="J1354" s="27"/>
      <c r="K1354" s="27"/>
      <c r="L1354" s="35"/>
      <c r="M1354" s="35"/>
      <c r="N1354" s="35"/>
      <c r="O1354" s="35"/>
      <c r="P1354" s="35"/>
      <c r="Q1354" s="41"/>
      <c r="R1354" s="41"/>
      <c r="S1354" s="41"/>
      <c r="T1354" s="35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28"/>
      <c r="AE1354" s="28"/>
      <c r="AF1354" s="28"/>
      <c r="AG1354" s="28"/>
      <c r="AH1354" s="28"/>
      <c r="AI1354" s="28"/>
    </row>
    <row r="1355" ht="15.75" customHeight="1">
      <c r="A1355" s="14" t="s">
        <v>1600</v>
      </c>
      <c r="B1355" s="19" t="s">
        <v>85</v>
      </c>
      <c r="C1355" s="16"/>
      <c r="D1355" s="17"/>
      <c r="E1355" s="18"/>
      <c r="F1355" s="14"/>
      <c r="G1355" s="20"/>
      <c r="H1355" s="14"/>
      <c r="I1355" s="14"/>
      <c r="J1355" s="14"/>
      <c r="K1355" s="14"/>
      <c r="L1355" s="14"/>
      <c r="M1355" s="14"/>
      <c r="N1355" s="14">
        <v>2.0</v>
      </c>
      <c r="O1355" s="14">
        <v>2.0</v>
      </c>
      <c r="P1355" s="14"/>
      <c r="Q1355" s="14"/>
      <c r="R1355" s="14"/>
      <c r="S1355" s="19">
        <v>1.0</v>
      </c>
      <c r="T1355" s="14">
        <f t="shared" ref="T1355:T1396" si="69">SUM(I1355:S1355)</f>
        <v>5</v>
      </c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  <c r="AG1355" s="22"/>
      <c r="AH1355" s="22"/>
      <c r="AI1355" s="22"/>
    </row>
    <row r="1356" ht="15.75" customHeight="1">
      <c r="A1356" s="14" t="s">
        <v>1601</v>
      </c>
      <c r="B1356" s="17" t="s">
        <v>230</v>
      </c>
      <c r="C1356" s="25"/>
      <c r="D1356" s="17"/>
      <c r="E1356" s="18"/>
      <c r="F1356" s="27"/>
      <c r="G1356" s="26"/>
      <c r="H1356" s="27"/>
      <c r="I1356" s="27"/>
      <c r="J1356" s="27"/>
      <c r="K1356" s="27"/>
      <c r="L1356" s="27"/>
      <c r="M1356" s="27"/>
      <c r="N1356" s="27"/>
      <c r="O1356" s="27"/>
      <c r="P1356" s="27"/>
      <c r="Q1356" s="17">
        <v>1.0</v>
      </c>
      <c r="R1356" s="19">
        <v>2.0</v>
      </c>
      <c r="S1356" s="19"/>
      <c r="T1356" s="14">
        <f t="shared" si="69"/>
        <v>3</v>
      </c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28"/>
      <c r="AE1356" s="28"/>
      <c r="AF1356" s="28"/>
      <c r="AG1356" s="28"/>
      <c r="AH1356" s="28"/>
      <c r="AI1356" s="28"/>
    </row>
    <row r="1357" ht="15.75" customHeight="1">
      <c r="A1357" s="27" t="s">
        <v>1602</v>
      </c>
      <c r="B1357" s="17" t="s">
        <v>192</v>
      </c>
      <c r="C1357" s="25"/>
      <c r="D1357" s="47"/>
      <c r="E1357" s="48"/>
      <c r="F1357" s="27"/>
      <c r="G1357" s="26"/>
      <c r="H1357" s="27"/>
      <c r="I1357" s="27"/>
      <c r="J1357" s="27">
        <v>2.0</v>
      </c>
      <c r="K1357" s="27">
        <v>1.0</v>
      </c>
      <c r="L1357" s="27">
        <v>1.0</v>
      </c>
      <c r="M1357" s="27">
        <v>2.0</v>
      </c>
      <c r="N1357" s="27">
        <v>2.0</v>
      </c>
      <c r="O1357" s="27">
        <v>1.0</v>
      </c>
      <c r="P1357" s="27">
        <v>1.0</v>
      </c>
      <c r="Q1357" s="17">
        <v>2.0</v>
      </c>
      <c r="R1357" s="17">
        <v>4.0</v>
      </c>
      <c r="S1357" s="17">
        <v>2.0</v>
      </c>
      <c r="T1357" s="14">
        <f t="shared" si="69"/>
        <v>18</v>
      </c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28"/>
      <c r="AE1357" s="28"/>
      <c r="AF1357" s="28"/>
      <c r="AG1357" s="28"/>
      <c r="AH1357" s="28"/>
      <c r="AI1357" s="28"/>
    </row>
    <row r="1358" ht="15.75" customHeight="1">
      <c r="A1358" s="45" t="s">
        <v>1603</v>
      </c>
      <c r="B1358" s="19" t="s">
        <v>100</v>
      </c>
      <c r="C1358" s="16"/>
      <c r="D1358" s="17"/>
      <c r="E1358" s="18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>
        <f t="shared" si="69"/>
        <v>0</v>
      </c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F1358" s="22"/>
      <c r="AG1358" s="22"/>
      <c r="AH1358" s="22"/>
      <c r="AI1358" s="22"/>
    </row>
    <row r="1359" ht="15.75" customHeight="1">
      <c r="A1359" s="37" t="s">
        <v>1604</v>
      </c>
      <c r="B1359" s="17" t="s">
        <v>100</v>
      </c>
      <c r="C1359" s="25"/>
      <c r="D1359" s="17"/>
      <c r="E1359" s="18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14">
        <f t="shared" si="69"/>
        <v>0</v>
      </c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28"/>
      <c r="AE1359" s="28"/>
      <c r="AF1359" s="28"/>
      <c r="AG1359" s="28"/>
      <c r="AH1359" s="28"/>
      <c r="AI1359" s="28"/>
    </row>
    <row r="1360" ht="15.75" customHeight="1">
      <c r="A1360" s="14" t="s">
        <v>1605</v>
      </c>
      <c r="B1360" s="15" t="s">
        <v>386</v>
      </c>
      <c r="C1360" s="60"/>
      <c r="D1360" s="17"/>
      <c r="E1360" s="48"/>
      <c r="F1360" s="45"/>
      <c r="G1360" s="20"/>
      <c r="H1360" s="14"/>
      <c r="I1360" s="14"/>
      <c r="J1360" s="14"/>
      <c r="K1360" s="14"/>
      <c r="L1360" s="14"/>
      <c r="M1360" s="14"/>
      <c r="N1360" s="14"/>
      <c r="O1360" s="14">
        <v>2.0</v>
      </c>
      <c r="P1360" s="14">
        <v>4.0</v>
      </c>
      <c r="Q1360" s="19">
        <v>1.0</v>
      </c>
      <c r="R1360" s="19">
        <v>4.0</v>
      </c>
      <c r="S1360" s="19">
        <v>2.0</v>
      </c>
      <c r="T1360" s="14">
        <f t="shared" si="69"/>
        <v>13</v>
      </c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F1360" s="22"/>
      <c r="AG1360" s="22"/>
      <c r="AH1360" s="22"/>
      <c r="AI1360" s="22"/>
    </row>
    <row r="1361" ht="15.75" customHeight="1">
      <c r="A1361" s="27" t="s">
        <v>1606</v>
      </c>
      <c r="B1361" s="49" t="s">
        <v>62</v>
      </c>
      <c r="C1361" s="59"/>
      <c r="D1361" s="17"/>
      <c r="E1361" s="18"/>
      <c r="F1361" s="49"/>
      <c r="G1361" s="26"/>
      <c r="H1361" s="27"/>
      <c r="I1361" s="27"/>
      <c r="J1361" s="27"/>
      <c r="K1361" s="27"/>
      <c r="L1361" s="27"/>
      <c r="M1361" s="27"/>
      <c r="N1361" s="27">
        <v>1.0</v>
      </c>
      <c r="O1361" s="27"/>
      <c r="P1361" s="27"/>
      <c r="Q1361" s="27"/>
      <c r="R1361" s="27"/>
      <c r="S1361" s="27"/>
      <c r="T1361" s="14">
        <f t="shared" si="69"/>
        <v>1</v>
      </c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28"/>
      <c r="AE1361" s="28"/>
      <c r="AF1361" s="28"/>
      <c r="AG1361" s="28"/>
      <c r="AH1361" s="28"/>
      <c r="AI1361" s="28"/>
    </row>
    <row r="1362" ht="15.75" customHeight="1">
      <c r="A1362" s="14" t="s">
        <v>1607</v>
      </c>
      <c r="B1362" s="45" t="s">
        <v>25</v>
      </c>
      <c r="C1362" s="60"/>
      <c r="D1362" s="17"/>
      <c r="E1362" s="18"/>
      <c r="F1362" s="45"/>
      <c r="G1362" s="20"/>
      <c r="H1362" s="14"/>
      <c r="I1362" s="14">
        <v>1.0</v>
      </c>
      <c r="J1362" s="14"/>
      <c r="K1362" s="14">
        <v>2.0</v>
      </c>
      <c r="L1362" s="14">
        <v>1.0</v>
      </c>
      <c r="M1362" s="14"/>
      <c r="N1362" s="14"/>
      <c r="O1362" s="14"/>
      <c r="P1362" s="14"/>
      <c r="Q1362" s="14"/>
      <c r="R1362" s="14"/>
      <c r="S1362" s="14"/>
      <c r="T1362" s="14">
        <f t="shared" si="69"/>
        <v>4</v>
      </c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F1362" s="22"/>
      <c r="AG1362" s="22"/>
      <c r="AH1362" s="22"/>
      <c r="AI1362" s="22"/>
    </row>
    <row r="1363" ht="15.75" customHeight="1">
      <c r="A1363" s="27" t="s">
        <v>1608</v>
      </c>
      <c r="B1363" s="17" t="s">
        <v>87</v>
      </c>
      <c r="C1363" s="25"/>
      <c r="D1363" s="47"/>
      <c r="E1363" s="48"/>
      <c r="F1363" s="27"/>
      <c r="G1363" s="27"/>
      <c r="H1363" s="27"/>
      <c r="I1363" s="27"/>
      <c r="J1363" s="27"/>
      <c r="K1363" s="27"/>
      <c r="L1363" s="27">
        <v>3.0</v>
      </c>
      <c r="M1363" s="27">
        <v>1.0</v>
      </c>
      <c r="N1363" s="27">
        <v>2.0</v>
      </c>
      <c r="O1363" s="27"/>
      <c r="P1363" s="27">
        <v>1.0</v>
      </c>
      <c r="Q1363" s="17">
        <v>2.0</v>
      </c>
      <c r="R1363" s="27"/>
      <c r="S1363" s="17">
        <v>1.0</v>
      </c>
      <c r="T1363" s="14">
        <f t="shared" si="69"/>
        <v>10</v>
      </c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28"/>
      <c r="AE1363" s="28"/>
      <c r="AF1363" s="28"/>
      <c r="AG1363" s="28"/>
      <c r="AH1363" s="28"/>
      <c r="AI1363" s="28"/>
    </row>
    <row r="1364" ht="15.75" customHeight="1">
      <c r="A1364" s="14" t="s">
        <v>1609</v>
      </c>
      <c r="B1364" s="19" t="s">
        <v>46</v>
      </c>
      <c r="C1364" s="16"/>
      <c r="D1364" s="17"/>
      <c r="E1364" s="18"/>
      <c r="F1364" s="14"/>
      <c r="G1364" s="20"/>
      <c r="H1364" s="14"/>
      <c r="I1364" s="14"/>
      <c r="J1364" s="14">
        <v>2.0</v>
      </c>
      <c r="K1364" s="14">
        <v>1.0</v>
      </c>
      <c r="L1364" s="14"/>
      <c r="M1364" s="14"/>
      <c r="N1364" s="14"/>
      <c r="O1364" s="14"/>
      <c r="P1364" s="14"/>
      <c r="Q1364" s="14"/>
      <c r="R1364" s="14"/>
      <c r="S1364" s="14"/>
      <c r="T1364" s="14">
        <f t="shared" si="69"/>
        <v>3</v>
      </c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  <c r="AG1364" s="22"/>
      <c r="AH1364" s="22"/>
      <c r="AI1364" s="22"/>
    </row>
    <row r="1365" ht="15.75" customHeight="1">
      <c r="A1365" s="17" t="s">
        <v>1610</v>
      </c>
      <c r="B1365" s="17" t="s">
        <v>218</v>
      </c>
      <c r="C1365" s="25"/>
      <c r="D1365" s="17"/>
      <c r="E1365" s="18"/>
      <c r="F1365" s="27"/>
      <c r="G1365" s="26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14"/>
      <c r="S1365" s="14"/>
      <c r="T1365" s="14">
        <f t="shared" si="69"/>
        <v>0</v>
      </c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28"/>
      <c r="AE1365" s="28"/>
      <c r="AF1365" s="28"/>
      <c r="AG1365" s="28"/>
      <c r="AH1365" s="28"/>
      <c r="AI1365" s="28"/>
    </row>
    <row r="1366" ht="15.75" customHeight="1">
      <c r="A1366" s="14" t="s">
        <v>1611</v>
      </c>
      <c r="B1366" s="14" t="s">
        <v>62</v>
      </c>
      <c r="C1366" s="16"/>
      <c r="D1366" s="17"/>
      <c r="E1366" s="18"/>
      <c r="F1366" s="14"/>
      <c r="G1366" s="20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>
        <f t="shared" si="69"/>
        <v>0</v>
      </c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F1366" s="22"/>
      <c r="AG1366" s="22"/>
      <c r="AH1366" s="22"/>
      <c r="AI1366" s="22"/>
    </row>
    <row r="1367" ht="15.75" customHeight="1">
      <c r="A1367" s="27" t="s">
        <v>1612</v>
      </c>
      <c r="B1367" s="17" t="s">
        <v>62</v>
      </c>
      <c r="C1367" s="25"/>
      <c r="D1367" s="17"/>
      <c r="E1367" s="18"/>
      <c r="F1367" s="27"/>
      <c r="G1367" s="26"/>
      <c r="H1367" s="27"/>
      <c r="I1367" s="27"/>
      <c r="J1367" s="27"/>
      <c r="K1367" s="27"/>
      <c r="L1367" s="27"/>
      <c r="M1367" s="27">
        <v>2.0</v>
      </c>
      <c r="N1367" s="27">
        <v>5.0</v>
      </c>
      <c r="O1367" s="27">
        <v>1.0</v>
      </c>
      <c r="P1367" s="27"/>
      <c r="Q1367" s="27"/>
      <c r="R1367" s="27"/>
      <c r="S1367" s="27"/>
      <c r="T1367" s="14">
        <f t="shared" si="69"/>
        <v>8</v>
      </c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28"/>
      <c r="AE1367" s="28"/>
      <c r="AF1367" s="28"/>
      <c r="AG1367" s="28"/>
      <c r="AH1367" s="28"/>
      <c r="AI1367" s="28"/>
    </row>
    <row r="1368" ht="15.75" customHeight="1">
      <c r="A1368" s="14" t="s">
        <v>1613</v>
      </c>
      <c r="B1368" s="19" t="s">
        <v>38</v>
      </c>
      <c r="C1368" s="16"/>
      <c r="D1368" s="17"/>
      <c r="E1368" s="18"/>
      <c r="F1368" s="14"/>
      <c r="G1368" s="20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>
        <f t="shared" si="69"/>
        <v>0</v>
      </c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2"/>
    </row>
    <row r="1369" ht="15.75" customHeight="1">
      <c r="A1369" s="27" t="s">
        <v>1614</v>
      </c>
      <c r="B1369" s="17" t="s">
        <v>370</v>
      </c>
      <c r="C1369" s="25"/>
      <c r="D1369" s="17"/>
      <c r="E1369" s="18"/>
      <c r="F1369" s="27"/>
      <c r="G1369" s="26"/>
      <c r="H1369" s="27"/>
      <c r="I1369" s="27"/>
      <c r="J1369" s="27"/>
      <c r="K1369" s="27"/>
      <c r="L1369" s="27"/>
      <c r="M1369" s="27"/>
      <c r="N1369" s="27"/>
      <c r="O1369" s="27"/>
      <c r="P1369" s="27">
        <v>3.0</v>
      </c>
      <c r="Q1369" s="27"/>
      <c r="R1369" s="27"/>
      <c r="S1369" s="27"/>
      <c r="T1369" s="14">
        <f t="shared" si="69"/>
        <v>3</v>
      </c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28"/>
      <c r="AE1369" s="28"/>
      <c r="AF1369" s="28"/>
      <c r="AG1369" s="28"/>
      <c r="AH1369" s="28"/>
      <c r="AI1369" s="28"/>
    </row>
    <row r="1370" ht="15.75" customHeight="1">
      <c r="A1370" s="17" t="s">
        <v>1615</v>
      </c>
      <c r="B1370" s="17" t="s">
        <v>21</v>
      </c>
      <c r="C1370" s="25"/>
      <c r="D1370" s="17"/>
      <c r="E1370" s="18"/>
      <c r="F1370" s="27"/>
      <c r="G1370" s="26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19">
        <v>3.0</v>
      </c>
      <c r="S1370" s="19">
        <v>1.0</v>
      </c>
      <c r="T1370" s="14">
        <f t="shared" si="69"/>
        <v>4</v>
      </c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28"/>
      <c r="AE1370" s="28"/>
      <c r="AF1370" s="28"/>
      <c r="AG1370" s="28"/>
      <c r="AH1370" s="28"/>
      <c r="AI1370" s="28"/>
    </row>
    <row r="1371" ht="15.75" customHeight="1">
      <c r="A1371" s="17" t="s">
        <v>1616</v>
      </c>
      <c r="B1371" s="17" t="s">
        <v>370</v>
      </c>
      <c r="C1371" s="25"/>
      <c r="D1371" s="17"/>
      <c r="E1371" s="18"/>
      <c r="F1371" s="17"/>
      <c r="G1371" s="26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19"/>
      <c r="S1371" s="19">
        <v>2.0</v>
      </c>
      <c r="T1371" s="14">
        <f t="shared" si="69"/>
        <v>2</v>
      </c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28"/>
      <c r="AE1371" s="28"/>
      <c r="AF1371" s="28"/>
      <c r="AG1371" s="28"/>
      <c r="AH1371" s="28"/>
      <c r="AI1371" s="28"/>
    </row>
    <row r="1372" ht="15.75" customHeight="1">
      <c r="A1372" s="17" t="s">
        <v>1617</v>
      </c>
      <c r="B1372" s="17" t="s">
        <v>65</v>
      </c>
      <c r="C1372" s="25"/>
      <c r="D1372" s="17"/>
      <c r="E1372" s="18"/>
      <c r="F1372" s="17"/>
      <c r="G1372" s="26"/>
      <c r="H1372" s="27"/>
      <c r="I1372" s="27"/>
      <c r="J1372" s="27"/>
      <c r="K1372" s="27"/>
      <c r="L1372" s="17">
        <v>1.0</v>
      </c>
      <c r="M1372" s="27"/>
      <c r="N1372" s="17">
        <v>1.0</v>
      </c>
      <c r="O1372" s="27"/>
      <c r="P1372" s="27"/>
      <c r="Q1372" s="27"/>
      <c r="R1372" s="19"/>
      <c r="S1372" s="19"/>
      <c r="T1372" s="14">
        <f t="shared" si="69"/>
        <v>2</v>
      </c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28"/>
      <c r="AE1372" s="28"/>
      <c r="AF1372" s="28"/>
      <c r="AG1372" s="28"/>
      <c r="AH1372" s="28"/>
      <c r="AI1372" s="28"/>
    </row>
    <row r="1373" ht="15.75" customHeight="1">
      <c r="A1373" s="27" t="s">
        <v>1618</v>
      </c>
      <c r="B1373" s="17" t="s">
        <v>234</v>
      </c>
      <c r="C1373" s="25"/>
      <c r="D1373" s="17"/>
      <c r="E1373" s="18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14">
        <f t="shared" si="69"/>
        <v>0</v>
      </c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28"/>
      <c r="AE1373" s="28"/>
      <c r="AF1373" s="28"/>
      <c r="AG1373" s="28"/>
      <c r="AH1373" s="28"/>
      <c r="AI1373" s="28"/>
    </row>
    <row r="1374" ht="15.75" customHeight="1">
      <c r="A1374" s="14" t="s">
        <v>1619</v>
      </c>
      <c r="B1374" s="19" t="s">
        <v>585</v>
      </c>
      <c r="C1374" s="16"/>
      <c r="D1374" s="17"/>
      <c r="E1374" s="18"/>
      <c r="F1374" s="67"/>
      <c r="G1374" s="14" t="s">
        <v>40</v>
      </c>
      <c r="H1374" s="14" t="s">
        <v>1620</v>
      </c>
      <c r="I1374" s="14"/>
      <c r="J1374" s="14">
        <v>2.0</v>
      </c>
      <c r="K1374" s="14">
        <v>1.0</v>
      </c>
      <c r="L1374" s="14"/>
      <c r="M1374" s="14">
        <v>1.0</v>
      </c>
      <c r="N1374" s="14">
        <v>1.0</v>
      </c>
      <c r="O1374" s="14"/>
      <c r="P1374" s="14"/>
      <c r="Q1374" s="14"/>
      <c r="R1374" s="14"/>
      <c r="S1374" s="14"/>
      <c r="T1374" s="14">
        <f t="shared" si="69"/>
        <v>5</v>
      </c>
      <c r="U1374" s="22"/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  <c r="AF1374" s="22"/>
      <c r="AG1374" s="22"/>
      <c r="AH1374" s="22"/>
      <c r="AI1374" s="22"/>
    </row>
    <row r="1375" ht="15.75" customHeight="1">
      <c r="A1375" s="17" t="s">
        <v>1621</v>
      </c>
      <c r="B1375" s="17" t="s">
        <v>250</v>
      </c>
      <c r="C1375" s="25"/>
      <c r="D1375" s="17"/>
      <c r="E1375" s="18"/>
      <c r="F1375" s="27"/>
      <c r="G1375" s="26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14"/>
      <c r="S1375" s="14"/>
      <c r="T1375" s="14">
        <f t="shared" si="69"/>
        <v>0</v>
      </c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28"/>
      <c r="AE1375" s="28"/>
      <c r="AF1375" s="28"/>
      <c r="AG1375" s="28"/>
      <c r="AH1375" s="28"/>
      <c r="AI1375" s="28"/>
    </row>
    <row r="1376" ht="15.75" customHeight="1">
      <c r="A1376" s="17" t="s">
        <v>1622</v>
      </c>
      <c r="B1376" s="17" t="s">
        <v>85</v>
      </c>
      <c r="C1376" s="25"/>
      <c r="D1376" s="50"/>
      <c r="E1376" s="48"/>
      <c r="F1376" s="27"/>
      <c r="G1376" s="26"/>
      <c r="H1376" s="27"/>
      <c r="I1376" s="27"/>
      <c r="J1376" s="27"/>
      <c r="K1376" s="27"/>
      <c r="L1376" s="27"/>
      <c r="M1376" s="27"/>
      <c r="N1376" s="27"/>
      <c r="O1376" s="27"/>
      <c r="P1376" s="27"/>
      <c r="Q1376" s="17">
        <v>1.0</v>
      </c>
      <c r="R1376" s="14"/>
      <c r="S1376" s="14"/>
      <c r="T1376" s="14">
        <f t="shared" si="69"/>
        <v>1</v>
      </c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28"/>
      <c r="AE1376" s="28"/>
      <c r="AF1376" s="28"/>
      <c r="AG1376" s="28"/>
      <c r="AH1376" s="28"/>
      <c r="AI1376" s="28"/>
    </row>
    <row r="1377" ht="15.75" customHeight="1">
      <c r="A1377" s="17" t="s">
        <v>1623</v>
      </c>
      <c r="B1377" s="27" t="s">
        <v>46</v>
      </c>
      <c r="C1377" s="25"/>
      <c r="D1377" s="17"/>
      <c r="E1377" s="133"/>
      <c r="F1377" s="27"/>
      <c r="G1377" s="26"/>
      <c r="H1377" s="27"/>
      <c r="I1377" s="27"/>
      <c r="J1377" s="27"/>
      <c r="K1377" s="27"/>
      <c r="L1377" s="27"/>
      <c r="M1377" s="27"/>
      <c r="N1377" s="27">
        <v>6.0</v>
      </c>
      <c r="O1377" s="27"/>
      <c r="P1377" s="27">
        <v>1.0</v>
      </c>
      <c r="Q1377" s="17">
        <v>1.0</v>
      </c>
      <c r="R1377" s="27"/>
      <c r="S1377" s="27"/>
      <c r="T1377" s="14">
        <f t="shared" si="69"/>
        <v>8</v>
      </c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28"/>
      <c r="AE1377" s="28"/>
      <c r="AF1377" s="28"/>
      <c r="AG1377" s="28"/>
      <c r="AH1377" s="28"/>
      <c r="AI1377" s="28"/>
    </row>
    <row r="1378" ht="15.75" customHeight="1">
      <c r="A1378" s="19" t="s">
        <v>1624</v>
      </c>
      <c r="B1378" s="19" t="s">
        <v>46</v>
      </c>
      <c r="C1378" s="24" t="s">
        <v>1625</v>
      </c>
      <c r="D1378" s="17"/>
      <c r="E1378" s="18"/>
      <c r="F1378" s="19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>
        <f t="shared" si="69"/>
        <v>0</v>
      </c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2"/>
    </row>
    <row r="1379" ht="15.75" customHeight="1">
      <c r="A1379" s="14" t="s">
        <v>1626</v>
      </c>
      <c r="B1379" s="14" t="s">
        <v>46</v>
      </c>
      <c r="C1379" s="16"/>
      <c r="D1379" s="17" t="s">
        <v>1345</v>
      </c>
      <c r="E1379" s="18">
        <v>45948.0</v>
      </c>
      <c r="F1379" s="14"/>
      <c r="G1379" s="14"/>
      <c r="H1379" s="14"/>
      <c r="I1379" s="14"/>
      <c r="J1379" s="14"/>
      <c r="K1379" s="14"/>
      <c r="L1379" s="14"/>
      <c r="M1379" s="14"/>
      <c r="N1379" s="14"/>
      <c r="O1379" s="14">
        <v>2.0</v>
      </c>
      <c r="P1379" s="14"/>
      <c r="Q1379" s="14"/>
      <c r="R1379" s="14"/>
      <c r="S1379" s="19">
        <v>1.0</v>
      </c>
      <c r="T1379" s="14">
        <f t="shared" si="69"/>
        <v>3</v>
      </c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</row>
    <row r="1380" ht="15.75" customHeight="1">
      <c r="A1380" s="14" t="s">
        <v>1627</v>
      </c>
      <c r="B1380" s="14" t="s">
        <v>46</v>
      </c>
      <c r="C1380" s="16"/>
      <c r="D1380" s="50"/>
      <c r="E1380" s="48"/>
      <c r="F1380" s="14"/>
      <c r="G1380" s="20"/>
      <c r="H1380" s="14"/>
      <c r="I1380" s="14"/>
      <c r="J1380" s="14"/>
      <c r="K1380" s="14"/>
      <c r="L1380" s="14"/>
      <c r="M1380" s="14"/>
      <c r="N1380" s="14">
        <v>5.0</v>
      </c>
      <c r="O1380" s="14">
        <v>2.0</v>
      </c>
      <c r="P1380" s="14">
        <v>1.0</v>
      </c>
      <c r="Q1380" s="19">
        <v>1.0</v>
      </c>
      <c r="R1380" s="14"/>
      <c r="S1380" s="14"/>
      <c r="T1380" s="14">
        <f t="shared" si="69"/>
        <v>9</v>
      </c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</row>
    <row r="1381" ht="15.75" customHeight="1">
      <c r="A1381" s="27" t="s">
        <v>1628</v>
      </c>
      <c r="B1381" s="27" t="s">
        <v>46</v>
      </c>
      <c r="C1381" s="25"/>
      <c r="D1381" s="17" t="s">
        <v>1345</v>
      </c>
      <c r="E1381" s="18">
        <v>45948.0</v>
      </c>
      <c r="F1381" s="27"/>
      <c r="G1381" s="26"/>
      <c r="H1381" s="27"/>
      <c r="I1381" s="27"/>
      <c r="J1381" s="27"/>
      <c r="K1381" s="27"/>
      <c r="L1381" s="27"/>
      <c r="M1381" s="27"/>
      <c r="N1381" s="27">
        <v>6.0</v>
      </c>
      <c r="O1381" s="27"/>
      <c r="P1381" s="27">
        <v>2.0</v>
      </c>
      <c r="Q1381" s="27"/>
      <c r="R1381" s="27"/>
      <c r="S1381" s="17">
        <v>1.0</v>
      </c>
      <c r="T1381" s="14">
        <f t="shared" si="69"/>
        <v>9</v>
      </c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28"/>
      <c r="AE1381" s="28"/>
      <c r="AF1381" s="28"/>
      <c r="AG1381" s="28"/>
      <c r="AH1381" s="28"/>
      <c r="AI1381" s="28"/>
    </row>
    <row r="1382" ht="15.75" customHeight="1">
      <c r="A1382" s="14" t="s">
        <v>1629</v>
      </c>
      <c r="B1382" s="14" t="s">
        <v>46</v>
      </c>
      <c r="C1382" s="16"/>
      <c r="D1382" s="17"/>
      <c r="E1382" s="18"/>
      <c r="F1382" s="14"/>
      <c r="G1382" s="20"/>
      <c r="H1382" s="14"/>
      <c r="I1382" s="14"/>
      <c r="J1382" s="14"/>
      <c r="K1382" s="14"/>
      <c r="L1382" s="14"/>
      <c r="M1382" s="14"/>
      <c r="N1382" s="14">
        <v>1.0</v>
      </c>
      <c r="O1382" s="14">
        <v>1.0</v>
      </c>
      <c r="P1382" s="14">
        <v>1.0</v>
      </c>
      <c r="Q1382" s="14"/>
      <c r="R1382" s="14"/>
      <c r="S1382" s="14"/>
      <c r="T1382" s="14">
        <f t="shared" si="69"/>
        <v>3</v>
      </c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</row>
    <row r="1383" ht="15.75" customHeight="1">
      <c r="A1383" s="19" t="s">
        <v>1630</v>
      </c>
      <c r="B1383" s="19" t="s">
        <v>46</v>
      </c>
      <c r="C1383" s="24" t="s">
        <v>269</v>
      </c>
      <c r="D1383" s="17"/>
      <c r="E1383" s="18"/>
      <c r="F1383" s="19"/>
      <c r="G1383" s="20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>
        <f t="shared" si="69"/>
        <v>0</v>
      </c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</row>
    <row r="1384" ht="15.75" customHeight="1">
      <c r="A1384" s="27" t="s">
        <v>1631</v>
      </c>
      <c r="B1384" s="17" t="s">
        <v>68</v>
      </c>
      <c r="C1384" s="25"/>
      <c r="D1384" s="17"/>
      <c r="E1384" s="18"/>
      <c r="F1384" s="27"/>
      <c r="G1384" s="26"/>
      <c r="H1384" s="27"/>
      <c r="I1384" s="27"/>
      <c r="J1384" s="27"/>
      <c r="K1384" s="27"/>
      <c r="L1384" s="27"/>
      <c r="M1384" s="27"/>
      <c r="N1384" s="27">
        <v>2.0</v>
      </c>
      <c r="O1384" s="27">
        <v>1.0</v>
      </c>
      <c r="P1384" s="27"/>
      <c r="Q1384" s="27"/>
      <c r="R1384" s="27"/>
      <c r="S1384" s="27"/>
      <c r="T1384" s="14">
        <f t="shared" si="69"/>
        <v>3</v>
      </c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28"/>
      <c r="AE1384" s="28"/>
      <c r="AF1384" s="28"/>
      <c r="AG1384" s="28"/>
      <c r="AH1384" s="28"/>
      <c r="AI1384" s="28"/>
    </row>
    <row r="1385" ht="15.75" customHeight="1">
      <c r="A1385" s="27" t="s">
        <v>1632</v>
      </c>
      <c r="B1385" s="17" t="s">
        <v>778</v>
      </c>
      <c r="C1385" s="25"/>
      <c r="D1385" s="17"/>
      <c r="E1385" s="18"/>
      <c r="F1385" s="51"/>
      <c r="G1385" s="26"/>
      <c r="H1385" s="27"/>
      <c r="I1385" s="27">
        <v>4.0</v>
      </c>
      <c r="J1385" s="27">
        <v>6.0</v>
      </c>
      <c r="K1385" s="27">
        <v>7.0</v>
      </c>
      <c r="L1385" s="27">
        <v>3.0</v>
      </c>
      <c r="M1385" s="27">
        <v>3.0</v>
      </c>
      <c r="N1385" s="27">
        <v>6.0</v>
      </c>
      <c r="O1385" s="27">
        <v>6.0</v>
      </c>
      <c r="P1385" s="27">
        <v>2.0</v>
      </c>
      <c r="Q1385" s="17">
        <v>1.0</v>
      </c>
      <c r="R1385" s="17">
        <v>1.0</v>
      </c>
      <c r="S1385" s="17">
        <v>2.0</v>
      </c>
      <c r="T1385" s="14">
        <f t="shared" si="69"/>
        <v>41</v>
      </c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28"/>
      <c r="AE1385" s="28"/>
      <c r="AF1385" s="28"/>
      <c r="AG1385" s="28"/>
      <c r="AH1385" s="28"/>
      <c r="AI1385" s="28"/>
    </row>
    <row r="1386" ht="15.75" customHeight="1">
      <c r="A1386" s="14" t="s">
        <v>1633</v>
      </c>
      <c r="B1386" s="19" t="s">
        <v>778</v>
      </c>
      <c r="C1386" s="16"/>
      <c r="D1386" s="17"/>
      <c r="E1386" s="18"/>
      <c r="F1386" s="67"/>
      <c r="G1386" s="20"/>
      <c r="H1386" s="14"/>
      <c r="I1386" s="14"/>
      <c r="J1386" s="14">
        <v>2.0</v>
      </c>
      <c r="K1386" s="14">
        <v>2.0</v>
      </c>
      <c r="L1386" s="14"/>
      <c r="M1386" s="14"/>
      <c r="N1386" s="14"/>
      <c r="O1386" s="14">
        <v>2.0</v>
      </c>
      <c r="P1386" s="14"/>
      <c r="Q1386" s="14"/>
      <c r="R1386" s="14"/>
      <c r="S1386" s="19">
        <v>1.0</v>
      </c>
      <c r="T1386" s="14">
        <f t="shared" si="69"/>
        <v>7</v>
      </c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  <c r="AF1386" s="22"/>
      <c r="AG1386" s="22"/>
      <c r="AH1386" s="22"/>
      <c r="AI1386" s="22"/>
    </row>
    <row r="1387" ht="15.75" customHeight="1">
      <c r="A1387" s="17" t="s">
        <v>1634</v>
      </c>
      <c r="B1387" s="17" t="s">
        <v>778</v>
      </c>
      <c r="C1387" s="25"/>
      <c r="D1387" s="17"/>
      <c r="E1387" s="18"/>
      <c r="F1387" s="27"/>
      <c r="G1387" s="27"/>
      <c r="H1387" s="27"/>
      <c r="I1387" s="27"/>
      <c r="J1387" s="27"/>
      <c r="K1387" s="27"/>
      <c r="L1387" s="27"/>
      <c r="M1387" s="27">
        <v>1.0</v>
      </c>
      <c r="N1387" s="27">
        <v>4.0</v>
      </c>
      <c r="O1387" s="27">
        <v>3.0</v>
      </c>
      <c r="P1387" s="27">
        <v>2.0</v>
      </c>
      <c r="Q1387" s="27"/>
      <c r="R1387" s="27"/>
      <c r="S1387" s="27"/>
      <c r="T1387" s="14">
        <f t="shared" si="69"/>
        <v>10</v>
      </c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28"/>
      <c r="AE1387" s="28"/>
      <c r="AF1387" s="28"/>
      <c r="AG1387" s="28"/>
      <c r="AH1387" s="28"/>
      <c r="AI1387" s="28"/>
    </row>
    <row r="1388" ht="15.75" customHeight="1">
      <c r="A1388" s="19" t="s">
        <v>1635</v>
      </c>
      <c r="B1388" s="19" t="s">
        <v>778</v>
      </c>
      <c r="C1388" s="16"/>
      <c r="D1388" s="17"/>
      <c r="E1388" s="18"/>
      <c r="F1388" s="14"/>
      <c r="G1388" s="14"/>
      <c r="H1388" s="14"/>
      <c r="I1388" s="14"/>
      <c r="J1388" s="14"/>
      <c r="K1388" s="14">
        <v>1.0</v>
      </c>
      <c r="L1388" s="14">
        <v>1.0</v>
      </c>
      <c r="M1388" s="14"/>
      <c r="N1388" s="14"/>
      <c r="O1388" s="14">
        <v>1.0</v>
      </c>
      <c r="P1388" s="14"/>
      <c r="Q1388" s="14"/>
      <c r="R1388" s="14"/>
      <c r="S1388" s="14"/>
      <c r="T1388" s="14">
        <f t="shared" si="69"/>
        <v>3</v>
      </c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  <c r="AG1388" s="22"/>
      <c r="AH1388" s="22"/>
      <c r="AI1388" s="22"/>
    </row>
    <row r="1389" ht="15.75" customHeight="1">
      <c r="A1389" s="27" t="s">
        <v>1636</v>
      </c>
      <c r="B1389" s="27" t="s">
        <v>46</v>
      </c>
      <c r="C1389" s="25"/>
      <c r="D1389" s="17"/>
      <c r="E1389" s="18"/>
      <c r="F1389" s="27"/>
      <c r="G1389" s="27"/>
      <c r="H1389" s="27"/>
      <c r="I1389" s="27"/>
      <c r="J1389" s="27"/>
      <c r="K1389" s="27"/>
      <c r="L1389" s="27">
        <v>1.0</v>
      </c>
      <c r="M1389" s="27"/>
      <c r="N1389" s="27"/>
      <c r="O1389" s="27"/>
      <c r="P1389" s="27"/>
      <c r="Q1389" s="27"/>
      <c r="R1389" s="27"/>
      <c r="S1389" s="27"/>
      <c r="T1389" s="14">
        <f t="shared" si="69"/>
        <v>1</v>
      </c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28"/>
      <c r="AE1389" s="28"/>
      <c r="AF1389" s="28"/>
      <c r="AG1389" s="28"/>
      <c r="AH1389" s="28"/>
      <c r="AI1389" s="28"/>
    </row>
    <row r="1390" ht="15.75" customHeight="1">
      <c r="A1390" s="14" t="s">
        <v>1637</v>
      </c>
      <c r="B1390" s="19" t="s">
        <v>1013</v>
      </c>
      <c r="C1390" s="16"/>
      <c r="D1390" s="17"/>
      <c r="E1390" s="18"/>
      <c r="F1390" s="14"/>
      <c r="G1390" s="20"/>
      <c r="H1390" s="14"/>
      <c r="I1390" s="14"/>
      <c r="J1390" s="14">
        <v>1.0</v>
      </c>
      <c r="K1390" s="14"/>
      <c r="L1390" s="14">
        <v>2.0</v>
      </c>
      <c r="M1390" s="14"/>
      <c r="N1390" s="14"/>
      <c r="O1390" s="14"/>
      <c r="P1390" s="14"/>
      <c r="Q1390" s="14"/>
      <c r="R1390" s="14"/>
      <c r="S1390" s="14"/>
      <c r="T1390" s="14">
        <f t="shared" si="69"/>
        <v>3</v>
      </c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2"/>
    </row>
    <row r="1391" ht="15.75" customHeight="1">
      <c r="A1391" s="27" t="s">
        <v>1638</v>
      </c>
      <c r="B1391" s="17" t="s">
        <v>55</v>
      </c>
      <c r="C1391" s="25"/>
      <c r="D1391" s="17"/>
      <c r="E1391" s="18"/>
      <c r="F1391" s="27"/>
      <c r="G1391" s="27"/>
      <c r="H1391" s="27"/>
      <c r="I1391" s="27"/>
      <c r="J1391" s="27"/>
      <c r="K1391" s="27"/>
      <c r="L1391" s="27"/>
      <c r="M1391" s="27"/>
      <c r="N1391" s="27">
        <v>2.0</v>
      </c>
      <c r="O1391" s="27"/>
      <c r="P1391" s="27"/>
      <c r="Q1391" s="27"/>
      <c r="R1391" s="27"/>
      <c r="S1391" s="27"/>
      <c r="T1391" s="14">
        <f t="shared" si="69"/>
        <v>2</v>
      </c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28"/>
      <c r="AE1391" s="28"/>
      <c r="AF1391" s="28"/>
      <c r="AG1391" s="28"/>
      <c r="AH1391" s="28"/>
      <c r="AI1391" s="28"/>
    </row>
    <row r="1392" ht="15.75" customHeight="1">
      <c r="A1392" s="14" t="s">
        <v>1639</v>
      </c>
      <c r="B1392" s="14" t="s">
        <v>263</v>
      </c>
      <c r="C1392" s="16"/>
      <c r="D1392" s="17"/>
      <c r="E1392" s="18"/>
      <c r="F1392" s="67"/>
      <c r="G1392" s="14"/>
      <c r="H1392" s="14"/>
      <c r="I1392" s="14"/>
      <c r="J1392" s="14"/>
      <c r="K1392" s="14"/>
      <c r="L1392" s="14">
        <v>1.0</v>
      </c>
      <c r="M1392" s="14"/>
      <c r="N1392" s="14">
        <v>1.0</v>
      </c>
      <c r="O1392" s="14"/>
      <c r="P1392" s="14"/>
      <c r="Q1392" s="14"/>
      <c r="R1392" s="14"/>
      <c r="S1392" s="14"/>
      <c r="T1392" s="14">
        <f t="shared" si="69"/>
        <v>2</v>
      </c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  <c r="AF1392" s="22"/>
      <c r="AG1392" s="22"/>
      <c r="AH1392" s="22"/>
      <c r="AI1392" s="22"/>
    </row>
    <row r="1393" ht="15.75" customHeight="1">
      <c r="A1393" s="19" t="s">
        <v>1640</v>
      </c>
      <c r="B1393" s="19" t="s">
        <v>107</v>
      </c>
      <c r="C1393" s="16"/>
      <c r="D1393" s="17"/>
      <c r="E1393" s="18"/>
      <c r="F1393" s="19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>
        <f t="shared" si="69"/>
        <v>0</v>
      </c>
      <c r="U1393" s="22"/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  <c r="AF1393" s="22"/>
      <c r="AG1393" s="22"/>
      <c r="AH1393" s="22"/>
      <c r="AI1393" s="22"/>
    </row>
    <row r="1394" ht="15.75" customHeight="1">
      <c r="A1394" s="27" t="s">
        <v>1641</v>
      </c>
      <c r="B1394" s="27" t="s">
        <v>338</v>
      </c>
      <c r="C1394" s="25"/>
      <c r="D1394" s="17"/>
      <c r="E1394" s="18"/>
      <c r="F1394" s="51"/>
      <c r="G1394" s="27"/>
      <c r="H1394" s="27"/>
      <c r="I1394" s="27"/>
      <c r="J1394" s="27"/>
      <c r="K1394" s="27"/>
      <c r="L1394" s="27">
        <v>3.0</v>
      </c>
      <c r="M1394" s="27">
        <v>1.0</v>
      </c>
      <c r="N1394" s="27">
        <v>2.0</v>
      </c>
      <c r="O1394" s="27">
        <v>1.0</v>
      </c>
      <c r="P1394" s="27">
        <v>1.0</v>
      </c>
      <c r="Q1394" s="27"/>
      <c r="R1394" s="17">
        <v>1.0</v>
      </c>
      <c r="S1394" s="17"/>
      <c r="T1394" s="14">
        <f t="shared" si="69"/>
        <v>9</v>
      </c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28"/>
      <c r="AE1394" s="28"/>
      <c r="AF1394" s="28"/>
      <c r="AG1394" s="28"/>
      <c r="AH1394" s="28"/>
      <c r="AI1394" s="28"/>
    </row>
    <row r="1395" ht="15.75" customHeight="1">
      <c r="A1395" s="14" t="s">
        <v>1642</v>
      </c>
      <c r="B1395" s="19" t="s">
        <v>107</v>
      </c>
      <c r="C1395" s="16"/>
      <c r="D1395" s="17"/>
      <c r="E1395" s="18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>
        <v>1.0</v>
      </c>
      <c r="Q1395" s="14"/>
      <c r="R1395" s="14"/>
      <c r="S1395" s="14"/>
      <c r="T1395" s="14">
        <f t="shared" si="69"/>
        <v>1</v>
      </c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F1395" s="22"/>
      <c r="AG1395" s="22"/>
      <c r="AH1395" s="22"/>
      <c r="AI1395" s="22"/>
    </row>
    <row r="1396" ht="15.75" customHeight="1">
      <c r="A1396" s="27" t="s">
        <v>1643</v>
      </c>
      <c r="B1396" s="46" t="s">
        <v>234</v>
      </c>
      <c r="C1396" s="25"/>
      <c r="D1396" s="17"/>
      <c r="E1396" s="18"/>
      <c r="F1396" s="27"/>
      <c r="G1396" s="27"/>
      <c r="H1396" s="27"/>
      <c r="I1396" s="27"/>
      <c r="J1396" s="27"/>
      <c r="K1396" s="27"/>
      <c r="L1396" s="27"/>
      <c r="M1396" s="27"/>
      <c r="N1396" s="27">
        <v>8.0</v>
      </c>
      <c r="O1396" s="27"/>
      <c r="P1396" s="27"/>
      <c r="Q1396" s="33"/>
      <c r="R1396" s="33"/>
      <c r="S1396" s="33"/>
      <c r="T1396" s="34">
        <f t="shared" si="69"/>
        <v>8</v>
      </c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28"/>
      <c r="AE1396" s="28"/>
      <c r="AF1396" s="28"/>
      <c r="AG1396" s="28"/>
      <c r="AH1396" s="28"/>
      <c r="AI1396" s="28"/>
    </row>
    <row r="1397" ht="15.75" customHeight="1">
      <c r="A1397" s="19" t="s">
        <v>1644</v>
      </c>
      <c r="B1397" s="35"/>
      <c r="C1397" s="16"/>
      <c r="D1397" s="17"/>
      <c r="E1397" s="18"/>
      <c r="F1397" s="67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35"/>
      <c r="R1397" s="35"/>
      <c r="S1397" s="35"/>
      <c r="T1397" s="35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F1397" s="22"/>
      <c r="AG1397" s="22"/>
      <c r="AH1397" s="22"/>
      <c r="AI1397" s="22"/>
    </row>
    <row r="1398" ht="15.75" customHeight="1">
      <c r="A1398" s="19" t="s">
        <v>1645</v>
      </c>
      <c r="B1398" s="19" t="s">
        <v>73</v>
      </c>
      <c r="C1398" s="24" t="s">
        <v>32</v>
      </c>
      <c r="D1398" s="17"/>
      <c r="E1398" s="18"/>
      <c r="F1398" s="19" t="s">
        <v>74</v>
      </c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27"/>
      <c r="R1398" s="27"/>
      <c r="S1398" s="27"/>
      <c r="T1398" s="14">
        <f t="shared" ref="T1398:T1474" si="70">SUM(I1398:S1398)</f>
        <v>0</v>
      </c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F1398" s="22"/>
      <c r="AG1398" s="22"/>
      <c r="AH1398" s="22"/>
      <c r="AI1398" s="22"/>
    </row>
    <row r="1399" ht="15.75" customHeight="1">
      <c r="A1399" s="14" t="s">
        <v>1646</v>
      </c>
      <c r="B1399" s="19" t="s">
        <v>107</v>
      </c>
      <c r="C1399" s="16"/>
      <c r="D1399" s="17"/>
      <c r="E1399" s="18"/>
      <c r="F1399" s="67"/>
      <c r="G1399" s="14"/>
      <c r="H1399" s="14"/>
      <c r="I1399" s="14"/>
      <c r="J1399" s="14"/>
      <c r="K1399" s="14"/>
      <c r="L1399" s="14">
        <v>3.0</v>
      </c>
      <c r="M1399" s="14"/>
      <c r="N1399" s="14"/>
      <c r="O1399" s="14">
        <v>1.0</v>
      </c>
      <c r="P1399" s="14">
        <v>1.0</v>
      </c>
      <c r="Q1399" s="14"/>
      <c r="R1399" s="14"/>
      <c r="S1399" s="19">
        <v>2.0</v>
      </c>
      <c r="T1399" s="14">
        <f t="shared" si="70"/>
        <v>7</v>
      </c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F1399" s="22"/>
      <c r="AG1399" s="22"/>
      <c r="AH1399" s="22"/>
      <c r="AI1399" s="22"/>
    </row>
    <row r="1400" ht="15.75" customHeight="1">
      <c r="A1400" s="17" t="s">
        <v>1647</v>
      </c>
      <c r="B1400" s="17" t="s">
        <v>107</v>
      </c>
      <c r="C1400" s="63" t="s">
        <v>645</v>
      </c>
      <c r="D1400" s="47"/>
      <c r="E1400" s="48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17">
        <v>1.0</v>
      </c>
      <c r="R1400" s="19">
        <v>2.0</v>
      </c>
      <c r="S1400" s="19">
        <v>3.0</v>
      </c>
      <c r="T1400" s="14">
        <f t="shared" si="70"/>
        <v>6</v>
      </c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28"/>
      <c r="AE1400" s="28"/>
      <c r="AF1400" s="28"/>
      <c r="AG1400" s="28"/>
      <c r="AH1400" s="28"/>
      <c r="AI1400" s="28"/>
    </row>
    <row r="1401" ht="15.75" customHeight="1">
      <c r="A1401" s="17" t="s">
        <v>1648</v>
      </c>
      <c r="B1401" s="17" t="s">
        <v>392</v>
      </c>
      <c r="C1401" s="63" t="s">
        <v>810</v>
      </c>
      <c r="D1401" s="17" t="s">
        <v>691</v>
      </c>
      <c r="E1401" s="18">
        <v>45933.0</v>
      </c>
      <c r="F1401" s="1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17"/>
      <c r="R1401" s="19"/>
      <c r="S1401" s="19">
        <v>7.0</v>
      </c>
      <c r="T1401" s="14">
        <f t="shared" si="70"/>
        <v>7</v>
      </c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28"/>
      <c r="AE1401" s="28"/>
      <c r="AF1401" s="28"/>
      <c r="AG1401" s="28"/>
      <c r="AH1401" s="28"/>
      <c r="AI1401" s="28"/>
    </row>
    <row r="1402" ht="15.75" customHeight="1">
      <c r="A1402" s="14" t="s">
        <v>1649</v>
      </c>
      <c r="B1402" s="14" t="s">
        <v>263</v>
      </c>
      <c r="C1402" s="16"/>
      <c r="D1402" s="17"/>
      <c r="E1402" s="18"/>
      <c r="F1402" s="67"/>
      <c r="G1402" s="14" t="s">
        <v>40</v>
      </c>
      <c r="H1402" s="14" t="s">
        <v>1650</v>
      </c>
      <c r="I1402" s="14"/>
      <c r="J1402" s="14"/>
      <c r="K1402" s="14"/>
      <c r="L1402" s="14">
        <v>1.0</v>
      </c>
      <c r="M1402" s="14"/>
      <c r="N1402" s="14"/>
      <c r="O1402" s="14"/>
      <c r="P1402" s="14"/>
      <c r="Q1402" s="14"/>
      <c r="R1402" s="14"/>
      <c r="S1402" s="14"/>
      <c r="T1402" s="14">
        <f t="shared" si="70"/>
        <v>1</v>
      </c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2"/>
    </row>
    <row r="1403" ht="15.75" customHeight="1">
      <c r="A1403" s="27" t="s">
        <v>1651</v>
      </c>
      <c r="B1403" s="27" t="s">
        <v>42</v>
      </c>
      <c r="C1403" s="25"/>
      <c r="D1403" s="17"/>
      <c r="E1403" s="18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>
        <v>2.0</v>
      </c>
      <c r="Q1403" s="27"/>
      <c r="R1403" s="17">
        <v>1.0</v>
      </c>
      <c r="S1403" s="17"/>
      <c r="T1403" s="14">
        <f t="shared" si="70"/>
        <v>3</v>
      </c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28"/>
      <c r="AE1403" s="28"/>
      <c r="AF1403" s="28"/>
      <c r="AG1403" s="28"/>
      <c r="AH1403" s="28"/>
      <c r="AI1403" s="28"/>
    </row>
    <row r="1404" ht="15.75" customHeight="1">
      <c r="A1404" s="27" t="s">
        <v>1652</v>
      </c>
      <c r="B1404" s="17" t="s">
        <v>68</v>
      </c>
      <c r="C1404" s="25"/>
      <c r="D1404" s="17"/>
      <c r="E1404" s="18"/>
      <c r="F1404" s="27"/>
      <c r="G1404" s="26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14">
        <f t="shared" si="70"/>
        <v>0</v>
      </c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28"/>
      <c r="AE1404" s="28"/>
      <c r="AF1404" s="28"/>
      <c r="AG1404" s="28"/>
      <c r="AH1404" s="28"/>
      <c r="AI1404" s="28"/>
    </row>
    <row r="1405" ht="15.75" customHeight="1">
      <c r="A1405" s="19" t="s">
        <v>1653</v>
      </c>
      <c r="B1405" s="19" t="s">
        <v>211</v>
      </c>
      <c r="C1405" s="24" t="s">
        <v>1654</v>
      </c>
      <c r="D1405" s="17"/>
      <c r="E1405" s="18"/>
      <c r="F1405" s="19"/>
      <c r="G1405" s="42" t="s">
        <v>1655</v>
      </c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9">
        <v>6.0</v>
      </c>
      <c r="T1405" s="14">
        <f t="shared" si="70"/>
        <v>6</v>
      </c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  <c r="AF1405" s="22"/>
      <c r="AG1405" s="22"/>
      <c r="AH1405" s="22"/>
      <c r="AI1405" s="22"/>
    </row>
    <row r="1406" ht="15.75" customHeight="1">
      <c r="A1406" s="19" t="s">
        <v>1656</v>
      </c>
      <c r="B1406" s="19" t="s">
        <v>252</v>
      </c>
      <c r="C1406" s="24" t="s">
        <v>150</v>
      </c>
      <c r="D1406" s="17" t="s">
        <v>441</v>
      </c>
      <c r="E1406" s="18">
        <v>45943.0</v>
      </c>
      <c r="F1406" s="19"/>
      <c r="G1406" s="42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9">
        <v>4.0</v>
      </c>
      <c r="T1406" s="14">
        <f t="shared" si="70"/>
        <v>4</v>
      </c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  <c r="AF1406" s="22"/>
      <c r="AG1406" s="22"/>
      <c r="AH1406" s="22"/>
      <c r="AI1406" s="22"/>
    </row>
    <row r="1407" ht="15.75" customHeight="1">
      <c r="A1407" s="14" t="s">
        <v>1657</v>
      </c>
      <c r="B1407" s="19" t="s">
        <v>532</v>
      </c>
      <c r="C1407" s="16"/>
      <c r="D1407" s="17"/>
      <c r="E1407" s="18"/>
      <c r="F1407" s="14"/>
      <c r="G1407" s="20"/>
      <c r="H1407" s="14"/>
      <c r="I1407" s="14"/>
      <c r="J1407" s="14"/>
      <c r="K1407" s="14"/>
      <c r="L1407" s="14"/>
      <c r="M1407" s="14"/>
      <c r="N1407" s="14">
        <v>5.0</v>
      </c>
      <c r="O1407" s="14">
        <v>2.0</v>
      </c>
      <c r="P1407" s="14"/>
      <c r="Q1407" s="14"/>
      <c r="R1407" s="14"/>
      <c r="S1407" s="14"/>
      <c r="T1407" s="14">
        <f t="shared" si="70"/>
        <v>7</v>
      </c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  <c r="AF1407" s="22"/>
      <c r="AG1407" s="22"/>
      <c r="AH1407" s="22"/>
      <c r="AI1407" s="22"/>
    </row>
    <row r="1408" ht="15.75" customHeight="1">
      <c r="A1408" s="23" t="s">
        <v>1658</v>
      </c>
      <c r="B1408" s="17" t="s">
        <v>22</v>
      </c>
      <c r="C1408" s="25"/>
      <c r="D1408" s="17"/>
      <c r="E1408" s="18"/>
      <c r="F1408" s="27"/>
      <c r="G1408" s="26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14">
        <f t="shared" si="70"/>
        <v>0</v>
      </c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28"/>
      <c r="AE1408" s="28"/>
      <c r="AF1408" s="28"/>
      <c r="AG1408" s="28"/>
      <c r="AH1408" s="28"/>
      <c r="AI1408" s="28"/>
    </row>
    <row r="1409" ht="15.75" customHeight="1">
      <c r="A1409" s="14" t="s">
        <v>1659</v>
      </c>
      <c r="B1409" s="19" t="s">
        <v>488</v>
      </c>
      <c r="C1409" s="16"/>
      <c r="D1409" s="17"/>
      <c r="E1409" s="18"/>
      <c r="F1409" s="14"/>
      <c r="G1409" s="20"/>
      <c r="H1409" s="14"/>
      <c r="I1409" s="14"/>
      <c r="J1409" s="14"/>
      <c r="K1409" s="14"/>
      <c r="L1409" s="14"/>
      <c r="M1409" s="14">
        <v>1.0</v>
      </c>
      <c r="N1409" s="14">
        <v>2.0</v>
      </c>
      <c r="O1409" s="14">
        <v>1.0</v>
      </c>
      <c r="P1409" s="14">
        <v>1.0</v>
      </c>
      <c r="Q1409" s="14"/>
      <c r="R1409" s="14"/>
      <c r="S1409" s="19">
        <v>1.0</v>
      </c>
      <c r="T1409" s="14">
        <f t="shared" si="70"/>
        <v>6</v>
      </c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F1409" s="22"/>
      <c r="AG1409" s="22"/>
      <c r="AH1409" s="22"/>
      <c r="AI1409" s="22"/>
    </row>
    <row r="1410" ht="15.75" customHeight="1">
      <c r="A1410" s="19" t="s">
        <v>1660</v>
      </c>
      <c r="B1410" s="19" t="s">
        <v>386</v>
      </c>
      <c r="C1410" s="24" t="s">
        <v>150</v>
      </c>
      <c r="D1410" s="17"/>
      <c r="E1410" s="18"/>
      <c r="F1410" s="19"/>
      <c r="G1410" s="20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9">
        <v>3.0</v>
      </c>
      <c r="T1410" s="14">
        <f t="shared" si="70"/>
        <v>3</v>
      </c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F1410" s="22"/>
      <c r="AG1410" s="22"/>
      <c r="AH1410" s="22"/>
      <c r="AI1410" s="22"/>
    </row>
    <row r="1411" ht="15.75" customHeight="1">
      <c r="A1411" s="27" t="s">
        <v>1661</v>
      </c>
      <c r="B1411" s="17" t="s">
        <v>62</v>
      </c>
      <c r="C1411" s="25"/>
      <c r="D1411" s="17"/>
      <c r="E1411" s="18"/>
      <c r="F1411" s="27"/>
      <c r="G1411" s="26"/>
      <c r="H1411" s="27"/>
      <c r="I1411" s="27"/>
      <c r="J1411" s="27">
        <v>4.0</v>
      </c>
      <c r="K1411" s="27"/>
      <c r="L1411" s="27"/>
      <c r="M1411" s="27"/>
      <c r="N1411" s="27"/>
      <c r="O1411" s="27"/>
      <c r="P1411" s="27"/>
      <c r="Q1411" s="27"/>
      <c r="R1411" s="27"/>
      <c r="S1411" s="27"/>
      <c r="T1411" s="14">
        <f t="shared" si="70"/>
        <v>4</v>
      </c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28"/>
      <c r="AE1411" s="28"/>
      <c r="AF1411" s="28"/>
      <c r="AG1411" s="28"/>
      <c r="AH1411" s="28"/>
      <c r="AI1411" s="28"/>
    </row>
    <row r="1412" ht="15.75" customHeight="1">
      <c r="A1412" s="23" t="s">
        <v>1662</v>
      </c>
      <c r="B1412" s="19" t="s">
        <v>22</v>
      </c>
      <c r="C1412" s="16"/>
      <c r="D1412" s="17"/>
      <c r="E1412" s="18"/>
      <c r="F1412" s="14"/>
      <c r="G1412" s="67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9">
        <v>1.0</v>
      </c>
      <c r="S1412" s="19"/>
      <c r="T1412" s="14">
        <f t="shared" si="70"/>
        <v>1</v>
      </c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F1412" s="22"/>
      <c r="AG1412" s="22"/>
      <c r="AH1412" s="22"/>
      <c r="AI1412" s="22"/>
    </row>
    <row r="1413" ht="15.75" customHeight="1">
      <c r="A1413" s="19" t="s">
        <v>1663</v>
      </c>
      <c r="B1413" s="19" t="s">
        <v>73</v>
      </c>
      <c r="C1413" s="24" t="s">
        <v>1664</v>
      </c>
      <c r="D1413" s="17"/>
      <c r="E1413" s="18"/>
      <c r="F1413" s="19" t="s">
        <v>74</v>
      </c>
      <c r="G1413" s="67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9"/>
      <c r="S1413" s="19"/>
      <c r="T1413" s="14">
        <f t="shared" si="70"/>
        <v>0</v>
      </c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F1413" s="22"/>
      <c r="AG1413" s="22"/>
      <c r="AH1413" s="22"/>
      <c r="AI1413" s="22"/>
    </row>
    <row r="1414" ht="15.75" customHeight="1">
      <c r="A1414" s="23" t="s">
        <v>1665</v>
      </c>
      <c r="B1414" s="17" t="s">
        <v>22</v>
      </c>
      <c r="C1414" s="25"/>
      <c r="D1414" s="17"/>
      <c r="E1414" s="18"/>
      <c r="F1414" s="27"/>
      <c r="G1414" s="51"/>
      <c r="H1414" s="27"/>
      <c r="I1414" s="27"/>
      <c r="J1414" s="27"/>
      <c r="K1414" s="27"/>
      <c r="L1414" s="27"/>
      <c r="M1414" s="27"/>
      <c r="N1414" s="27">
        <v>1.0</v>
      </c>
      <c r="O1414" s="27"/>
      <c r="P1414" s="27"/>
      <c r="Q1414" s="27"/>
      <c r="R1414" s="27"/>
      <c r="S1414" s="27"/>
      <c r="T1414" s="14">
        <f t="shared" si="70"/>
        <v>1</v>
      </c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28"/>
      <c r="AE1414" s="28"/>
      <c r="AF1414" s="28"/>
      <c r="AG1414" s="28"/>
      <c r="AH1414" s="28"/>
      <c r="AI1414" s="28"/>
    </row>
    <row r="1415" ht="15.75" customHeight="1">
      <c r="A1415" s="14" t="s">
        <v>1666</v>
      </c>
      <c r="B1415" s="19" t="s">
        <v>182</v>
      </c>
      <c r="C1415" s="16"/>
      <c r="D1415" s="50"/>
      <c r="E1415" s="48"/>
      <c r="F1415" s="14"/>
      <c r="G1415" s="67"/>
      <c r="H1415" s="14"/>
      <c r="I1415" s="14"/>
      <c r="J1415" s="14"/>
      <c r="K1415" s="14"/>
      <c r="L1415" s="14"/>
      <c r="M1415" s="14"/>
      <c r="N1415" s="14">
        <v>1.0</v>
      </c>
      <c r="O1415" s="14">
        <v>1.0</v>
      </c>
      <c r="P1415" s="14"/>
      <c r="Q1415" s="19">
        <v>1.0</v>
      </c>
      <c r="R1415" s="14"/>
      <c r="S1415" s="14"/>
      <c r="T1415" s="14">
        <f t="shared" si="70"/>
        <v>3</v>
      </c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F1415" s="22"/>
      <c r="AG1415" s="22"/>
      <c r="AH1415" s="22"/>
      <c r="AI1415" s="22"/>
    </row>
    <row r="1416" ht="15.75" customHeight="1">
      <c r="A1416" s="27" t="s">
        <v>1667</v>
      </c>
      <c r="B1416" s="17" t="s">
        <v>585</v>
      </c>
      <c r="C1416" s="25"/>
      <c r="D1416" s="17"/>
      <c r="E1416" s="18"/>
      <c r="F1416" s="51"/>
      <c r="G1416" s="23" t="s">
        <v>1668</v>
      </c>
      <c r="H1416" s="27" t="s">
        <v>1669</v>
      </c>
      <c r="I1416" s="27"/>
      <c r="J1416" s="27">
        <v>5.0</v>
      </c>
      <c r="K1416" s="27">
        <v>5.0</v>
      </c>
      <c r="L1416" s="27">
        <v>1.0</v>
      </c>
      <c r="M1416" s="27">
        <v>1.0</v>
      </c>
      <c r="N1416" s="27">
        <v>1.0</v>
      </c>
      <c r="O1416" s="27"/>
      <c r="P1416" s="27"/>
      <c r="Q1416" s="27"/>
      <c r="R1416" s="27"/>
      <c r="S1416" s="27"/>
      <c r="T1416" s="14">
        <f t="shared" si="70"/>
        <v>13</v>
      </c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28"/>
      <c r="AE1416" s="28"/>
      <c r="AF1416" s="28"/>
      <c r="AG1416" s="28"/>
      <c r="AH1416" s="28"/>
      <c r="AI1416" s="28"/>
    </row>
    <row r="1417" ht="15.75" customHeight="1">
      <c r="A1417" s="17" t="s">
        <v>1670</v>
      </c>
      <c r="B1417" s="17" t="s">
        <v>361</v>
      </c>
      <c r="C1417" s="30" t="s">
        <v>335</v>
      </c>
      <c r="D1417" s="17"/>
      <c r="E1417" s="18"/>
      <c r="F1417" s="17"/>
      <c r="G1417" s="51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14">
        <f t="shared" si="70"/>
        <v>0</v>
      </c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28"/>
      <c r="AE1417" s="28"/>
      <c r="AF1417" s="28"/>
      <c r="AG1417" s="28"/>
      <c r="AH1417" s="28"/>
      <c r="AI1417" s="28"/>
    </row>
    <row r="1418" ht="15.75" customHeight="1">
      <c r="A1418" s="19" t="s">
        <v>1671</v>
      </c>
      <c r="B1418" s="19" t="s">
        <v>136</v>
      </c>
      <c r="C1418" s="16"/>
      <c r="D1418" s="17"/>
      <c r="E1418" s="18"/>
      <c r="F1418" s="14"/>
      <c r="G1418" s="20"/>
      <c r="H1418" s="14"/>
      <c r="I1418" s="14"/>
      <c r="J1418" s="14"/>
      <c r="K1418" s="14"/>
      <c r="L1418" s="14"/>
      <c r="M1418" s="14"/>
      <c r="N1418" s="14"/>
      <c r="O1418" s="14"/>
      <c r="P1418" s="14"/>
      <c r="Q1418" s="19">
        <v>1.0</v>
      </c>
      <c r="R1418" s="14"/>
      <c r="S1418" s="14"/>
      <c r="T1418" s="14">
        <f t="shared" si="70"/>
        <v>1</v>
      </c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2"/>
    </row>
    <row r="1419" ht="15.75" customHeight="1">
      <c r="A1419" s="14" t="s">
        <v>1672</v>
      </c>
      <c r="B1419" s="19" t="s">
        <v>65</v>
      </c>
      <c r="C1419" s="16"/>
      <c r="D1419" s="17"/>
      <c r="E1419" s="18"/>
      <c r="F1419" s="14"/>
      <c r="G1419" s="20"/>
      <c r="H1419" s="14"/>
      <c r="I1419" s="14"/>
      <c r="J1419" s="14"/>
      <c r="K1419" s="14"/>
      <c r="L1419" s="14"/>
      <c r="M1419" s="14"/>
      <c r="N1419" s="14"/>
      <c r="O1419" s="14"/>
      <c r="P1419" s="14"/>
      <c r="Q1419" s="19" t="s">
        <v>1673</v>
      </c>
      <c r="R1419" s="14"/>
      <c r="S1419" s="14"/>
      <c r="T1419" s="14">
        <f t="shared" si="70"/>
        <v>0</v>
      </c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2"/>
    </row>
    <row r="1420" ht="15.75" customHeight="1">
      <c r="A1420" s="17" t="s">
        <v>1674</v>
      </c>
      <c r="B1420" s="17" t="s">
        <v>585</v>
      </c>
      <c r="C1420" s="25"/>
      <c r="D1420" s="17"/>
      <c r="E1420" s="18"/>
      <c r="F1420" s="27"/>
      <c r="G1420" s="26"/>
      <c r="H1420" s="27"/>
      <c r="I1420" s="27"/>
      <c r="J1420" s="27"/>
      <c r="K1420" s="27"/>
      <c r="L1420" s="27"/>
      <c r="M1420" s="27">
        <v>1.0</v>
      </c>
      <c r="N1420" s="27"/>
      <c r="O1420" s="27"/>
      <c r="P1420" s="27"/>
      <c r="Q1420" s="27"/>
      <c r="R1420" s="27"/>
      <c r="S1420" s="27"/>
      <c r="T1420" s="14">
        <f t="shared" si="70"/>
        <v>1</v>
      </c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28"/>
      <c r="AE1420" s="28"/>
      <c r="AF1420" s="28"/>
      <c r="AG1420" s="28"/>
      <c r="AH1420" s="28"/>
      <c r="AI1420" s="28"/>
    </row>
    <row r="1421" ht="15.75" customHeight="1">
      <c r="A1421" s="14" t="s">
        <v>1675</v>
      </c>
      <c r="B1421" s="19" t="s">
        <v>49</v>
      </c>
      <c r="C1421" s="16"/>
      <c r="D1421" s="17"/>
      <c r="E1421" s="18"/>
      <c r="F1421" s="14"/>
      <c r="G1421" s="14"/>
      <c r="H1421" s="14"/>
      <c r="I1421" s="14"/>
      <c r="J1421" s="14"/>
      <c r="K1421" s="14"/>
      <c r="L1421" s="14"/>
      <c r="M1421" s="14">
        <v>4.0</v>
      </c>
      <c r="N1421" s="14"/>
      <c r="O1421" s="14"/>
      <c r="P1421" s="14">
        <v>3.0</v>
      </c>
      <c r="Q1421" s="14"/>
      <c r="R1421" s="14"/>
      <c r="S1421" s="14"/>
      <c r="T1421" s="14">
        <f t="shared" si="70"/>
        <v>7</v>
      </c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F1421" s="22"/>
      <c r="AG1421" s="22"/>
      <c r="AH1421" s="22"/>
      <c r="AI1421" s="22"/>
    </row>
    <row r="1422" ht="15.75" customHeight="1">
      <c r="A1422" s="27" t="s">
        <v>1676</v>
      </c>
      <c r="B1422" s="27" t="s">
        <v>51</v>
      </c>
      <c r="C1422" s="25"/>
      <c r="D1422" s="17"/>
      <c r="E1422" s="48"/>
      <c r="F1422" s="51"/>
      <c r="G1422" s="23" t="s">
        <v>1677</v>
      </c>
      <c r="H1422" s="27" t="s">
        <v>1678</v>
      </c>
      <c r="I1422" s="27"/>
      <c r="J1422" s="27">
        <v>2.0</v>
      </c>
      <c r="K1422" s="27">
        <v>5.0</v>
      </c>
      <c r="L1422" s="27">
        <v>1.0</v>
      </c>
      <c r="M1422" s="27">
        <v>2.0</v>
      </c>
      <c r="N1422" s="27">
        <v>6.0</v>
      </c>
      <c r="O1422" s="27"/>
      <c r="P1422" s="27">
        <v>1.0</v>
      </c>
      <c r="Q1422" s="17">
        <v>3.0</v>
      </c>
      <c r="R1422" s="27"/>
      <c r="S1422" s="17">
        <v>2.0</v>
      </c>
      <c r="T1422" s="14">
        <f t="shared" si="70"/>
        <v>22</v>
      </c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28"/>
      <c r="AE1422" s="28"/>
      <c r="AF1422" s="28"/>
      <c r="AG1422" s="28"/>
      <c r="AH1422" s="28"/>
      <c r="AI1422" s="28"/>
    </row>
    <row r="1423" ht="15.75" customHeight="1">
      <c r="A1423" s="14" t="s">
        <v>1679</v>
      </c>
      <c r="B1423" s="19" t="s">
        <v>25</v>
      </c>
      <c r="C1423" s="16"/>
      <c r="D1423" s="17"/>
      <c r="E1423" s="18"/>
      <c r="F1423" s="14"/>
      <c r="G1423" s="14"/>
      <c r="H1423" s="14"/>
      <c r="I1423" s="14"/>
      <c r="J1423" s="14"/>
      <c r="K1423" s="14"/>
      <c r="L1423" s="14"/>
      <c r="M1423" s="14"/>
      <c r="N1423" s="14">
        <v>1.0</v>
      </c>
      <c r="O1423" s="14"/>
      <c r="P1423" s="14"/>
      <c r="Q1423" s="14"/>
      <c r="R1423" s="14"/>
      <c r="S1423" s="14"/>
      <c r="T1423" s="14">
        <f t="shared" si="70"/>
        <v>1</v>
      </c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2"/>
    </row>
    <row r="1424" ht="15.75" customHeight="1">
      <c r="A1424" s="17" t="s">
        <v>1680</v>
      </c>
      <c r="B1424" s="17" t="s">
        <v>107</v>
      </c>
      <c r="C1424" s="25"/>
      <c r="D1424" s="17"/>
      <c r="E1424" s="18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14"/>
      <c r="S1424" s="14"/>
      <c r="T1424" s="14">
        <f t="shared" si="70"/>
        <v>0</v>
      </c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28"/>
      <c r="AE1424" s="28"/>
      <c r="AF1424" s="28"/>
      <c r="AG1424" s="28"/>
      <c r="AH1424" s="28"/>
      <c r="AI1424" s="28"/>
    </row>
    <row r="1425" ht="15.75" customHeight="1">
      <c r="A1425" s="17" t="s">
        <v>1681</v>
      </c>
      <c r="B1425" s="17" t="s">
        <v>73</v>
      </c>
      <c r="C1425" s="30" t="s">
        <v>32</v>
      </c>
      <c r="D1425" s="17"/>
      <c r="E1425" s="18"/>
      <c r="F1425" s="17" t="s">
        <v>74</v>
      </c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14"/>
      <c r="S1425" s="14"/>
      <c r="T1425" s="14">
        <f t="shared" si="70"/>
        <v>0</v>
      </c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28"/>
      <c r="AE1425" s="28"/>
      <c r="AF1425" s="28"/>
      <c r="AG1425" s="28"/>
      <c r="AH1425" s="28"/>
      <c r="AI1425" s="28"/>
    </row>
    <row r="1426" ht="15.75" customHeight="1">
      <c r="A1426" s="17" t="s">
        <v>1682</v>
      </c>
      <c r="B1426" s="17" t="s">
        <v>125</v>
      </c>
      <c r="C1426" s="25"/>
      <c r="D1426" s="17"/>
      <c r="E1426" s="18"/>
      <c r="F1426" s="27"/>
      <c r="G1426" s="27"/>
      <c r="H1426" s="27"/>
      <c r="I1426" s="27"/>
      <c r="J1426" s="27"/>
      <c r="K1426" s="27"/>
      <c r="L1426" s="27"/>
      <c r="M1426" s="27"/>
      <c r="N1426" s="27">
        <v>1.0</v>
      </c>
      <c r="O1426" s="27">
        <v>1.0</v>
      </c>
      <c r="P1426" s="27">
        <v>3.0</v>
      </c>
      <c r="Q1426" s="27"/>
      <c r="R1426" s="27"/>
      <c r="S1426" s="27"/>
      <c r="T1426" s="14">
        <f t="shared" si="70"/>
        <v>5</v>
      </c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28"/>
      <c r="AE1426" s="28"/>
      <c r="AF1426" s="28"/>
      <c r="AG1426" s="28"/>
      <c r="AH1426" s="28"/>
      <c r="AI1426" s="28"/>
    </row>
    <row r="1427" ht="15.75" customHeight="1">
      <c r="A1427" s="14" t="s">
        <v>1683</v>
      </c>
      <c r="B1427" s="19" t="s">
        <v>488</v>
      </c>
      <c r="C1427" s="16"/>
      <c r="D1427" s="47"/>
      <c r="E1427" s="48"/>
      <c r="F1427" s="14"/>
      <c r="G1427" s="14" t="s">
        <v>40</v>
      </c>
      <c r="H1427" s="14" t="s">
        <v>1684</v>
      </c>
      <c r="I1427" s="14"/>
      <c r="J1427" s="14">
        <v>10.0</v>
      </c>
      <c r="K1427" s="14">
        <v>3.0</v>
      </c>
      <c r="L1427" s="14">
        <v>1.0</v>
      </c>
      <c r="M1427" s="14"/>
      <c r="N1427" s="14">
        <v>4.0</v>
      </c>
      <c r="O1427" s="14">
        <v>2.0</v>
      </c>
      <c r="P1427" s="14">
        <v>3.0</v>
      </c>
      <c r="Q1427" s="19">
        <v>2.0</v>
      </c>
      <c r="R1427" s="19">
        <v>2.0</v>
      </c>
      <c r="S1427" s="19">
        <v>2.0</v>
      </c>
      <c r="T1427" s="14">
        <f t="shared" si="70"/>
        <v>29</v>
      </c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2"/>
    </row>
    <row r="1428" ht="15.75" customHeight="1">
      <c r="A1428" s="17" t="s">
        <v>1685</v>
      </c>
      <c r="B1428" s="17" t="s">
        <v>73</v>
      </c>
      <c r="C1428" s="30" t="s">
        <v>32</v>
      </c>
      <c r="D1428" s="17"/>
      <c r="E1428" s="48"/>
      <c r="F1428" s="17" t="s">
        <v>74</v>
      </c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17"/>
      <c r="R1428" s="27"/>
      <c r="S1428" s="17"/>
      <c r="T1428" s="14">
        <f t="shared" si="70"/>
        <v>0</v>
      </c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28"/>
      <c r="AE1428" s="28"/>
      <c r="AF1428" s="28"/>
      <c r="AG1428" s="28"/>
      <c r="AH1428" s="28"/>
      <c r="AI1428" s="28"/>
    </row>
    <row r="1429" ht="15.75" customHeight="1">
      <c r="A1429" s="27" t="s">
        <v>1686</v>
      </c>
      <c r="B1429" s="17" t="s">
        <v>62</v>
      </c>
      <c r="C1429" s="25"/>
      <c r="D1429" s="17"/>
      <c r="E1429" s="48"/>
      <c r="F1429" s="27"/>
      <c r="G1429" s="27"/>
      <c r="H1429" s="27"/>
      <c r="I1429" s="27"/>
      <c r="J1429" s="27"/>
      <c r="K1429" s="27"/>
      <c r="L1429" s="27"/>
      <c r="M1429" s="27">
        <v>2.0</v>
      </c>
      <c r="N1429" s="27">
        <v>1.0</v>
      </c>
      <c r="O1429" s="27"/>
      <c r="P1429" s="27"/>
      <c r="Q1429" s="17">
        <v>1.0</v>
      </c>
      <c r="R1429" s="27"/>
      <c r="S1429" s="17">
        <v>1.0</v>
      </c>
      <c r="T1429" s="14">
        <f t="shared" si="70"/>
        <v>5</v>
      </c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28"/>
      <c r="AE1429" s="28"/>
      <c r="AF1429" s="28"/>
      <c r="AG1429" s="28"/>
      <c r="AH1429" s="28"/>
      <c r="AI1429" s="28"/>
    </row>
    <row r="1430" ht="15.75" customHeight="1">
      <c r="A1430" s="19" t="s">
        <v>1687</v>
      </c>
      <c r="B1430" s="19" t="s">
        <v>62</v>
      </c>
      <c r="C1430" s="16"/>
      <c r="D1430" s="17"/>
      <c r="E1430" s="18"/>
      <c r="F1430" s="14"/>
      <c r="G1430" s="20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>
        <f t="shared" si="70"/>
        <v>0</v>
      </c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F1430" s="22"/>
      <c r="AG1430" s="22"/>
      <c r="AH1430" s="22"/>
      <c r="AI1430" s="22"/>
    </row>
    <row r="1431" ht="15.75" customHeight="1">
      <c r="A1431" s="19" t="s">
        <v>1688</v>
      </c>
      <c r="B1431" s="19" t="s">
        <v>62</v>
      </c>
      <c r="C1431" s="16"/>
      <c r="D1431" s="17"/>
      <c r="E1431" s="18"/>
      <c r="F1431" s="14"/>
      <c r="G1431" s="20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>
        <f t="shared" si="70"/>
        <v>0</v>
      </c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  <c r="AF1431" s="22"/>
      <c r="AG1431" s="22"/>
      <c r="AH1431" s="22"/>
      <c r="AI1431" s="22"/>
    </row>
    <row r="1432" ht="15.75" customHeight="1">
      <c r="A1432" s="19" t="s">
        <v>1689</v>
      </c>
      <c r="B1432" s="19" t="s">
        <v>386</v>
      </c>
      <c r="C1432" s="24" t="s">
        <v>150</v>
      </c>
      <c r="D1432" s="17"/>
      <c r="E1432" s="18"/>
      <c r="F1432" s="19"/>
      <c r="G1432" s="20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9">
        <v>1.0</v>
      </c>
      <c r="T1432" s="14">
        <f t="shared" si="70"/>
        <v>1</v>
      </c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2"/>
    </row>
    <row r="1433" ht="15.75" customHeight="1">
      <c r="A1433" s="19" t="s">
        <v>1690</v>
      </c>
      <c r="B1433" s="17" t="s">
        <v>291</v>
      </c>
      <c r="C1433" s="25"/>
      <c r="D1433" s="17" t="s">
        <v>787</v>
      </c>
      <c r="E1433" s="18">
        <v>45935.0</v>
      </c>
      <c r="F1433" s="27"/>
      <c r="G1433" s="26"/>
      <c r="H1433" s="27"/>
      <c r="I1433" s="27"/>
      <c r="J1433" s="27"/>
      <c r="K1433" s="27"/>
      <c r="L1433" s="27"/>
      <c r="M1433" s="27"/>
      <c r="N1433" s="27"/>
      <c r="O1433" s="27"/>
      <c r="P1433" s="27"/>
      <c r="Q1433" s="17">
        <v>1.0</v>
      </c>
      <c r="R1433" s="19">
        <v>1.0</v>
      </c>
      <c r="S1433" s="19">
        <v>3.0</v>
      </c>
      <c r="T1433" s="14">
        <f t="shared" si="70"/>
        <v>5</v>
      </c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28"/>
      <c r="AE1433" s="28"/>
      <c r="AF1433" s="28"/>
      <c r="AG1433" s="28"/>
      <c r="AH1433" s="28"/>
      <c r="AI1433" s="28"/>
    </row>
    <row r="1434" ht="15.75" customHeight="1">
      <c r="A1434" s="19" t="s">
        <v>1691</v>
      </c>
      <c r="B1434" s="17" t="s">
        <v>73</v>
      </c>
      <c r="C1434" s="30" t="s">
        <v>1260</v>
      </c>
      <c r="D1434" s="17" t="s">
        <v>633</v>
      </c>
      <c r="E1434" s="18">
        <v>45953.0</v>
      </c>
      <c r="F1434" s="17" t="s">
        <v>74</v>
      </c>
      <c r="G1434" s="26"/>
      <c r="H1434" s="27"/>
      <c r="I1434" s="27"/>
      <c r="J1434" s="27"/>
      <c r="K1434" s="27"/>
      <c r="L1434" s="27"/>
      <c r="M1434" s="27"/>
      <c r="N1434" s="27"/>
      <c r="O1434" s="27"/>
      <c r="P1434" s="27"/>
      <c r="Q1434" s="17"/>
      <c r="R1434" s="19"/>
      <c r="S1434" s="19">
        <v>1.0</v>
      </c>
      <c r="T1434" s="14">
        <f t="shared" si="70"/>
        <v>1</v>
      </c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28"/>
      <c r="AE1434" s="28"/>
      <c r="AF1434" s="28"/>
      <c r="AG1434" s="28"/>
      <c r="AH1434" s="28"/>
      <c r="AI1434" s="28"/>
    </row>
    <row r="1435" ht="15.75" customHeight="1">
      <c r="A1435" s="23" t="s">
        <v>1692</v>
      </c>
      <c r="B1435" s="17" t="s">
        <v>22</v>
      </c>
      <c r="C1435" s="25"/>
      <c r="D1435" s="17"/>
      <c r="E1435" s="18"/>
      <c r="F1435" s="27"/>
      <c r="G1435" s="26"/>
      <c r="H1435" s="27"/>
      <c r="I1435" s="27"/>
      <c r="J1435" s="27"/>
      <c r="K1435" s="27"/>
      <c r="L1435" s="27">
        <v>2.0</v>
      </c>
      <c r="M1435" s="27"/>
      <c r="N1435" s="27"/>
      <c r="O1435" s="27"/>
      <c r="P1435" s="27"/>
      <c r="Q1435" s="27"/>
      <c r="R1435" s="14"/>
      <c r="S1435" s="14"/>
      <c r="T1435" s="14">
        <f t="shared" si="70"/>
        <v>2</v>
      </c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28"/>
      <c r="AE1435" s="28"/>
      <c r="AF1435" s="28"/>
      <c r="AG1435" s="28"/>
      <c r="AH1435" s="28"/>
      <c r="AI1435" s="28"/>
    </row>
    <row r="1436" ht="15.75" customHeight="1">
      <c r="A1436" s="14" t="s">
        <v>1693</v>
      </c>
      <c r="B1436" s="19" t="s">
        <v>21</v>
      </c>
      <c r="C1436" s="16"/>
      <c r="D1436" s="17"/>
      <c r="E1436" s="18"/>
      <c r="F1436" s="67"/>
      <c r="G1436" s="20"/>
      <c r="H1436" s="14"/>
      <c r="I1436" s="14"/>
      <c r="J1436" s="14"/>
      <c r="K1436" s="14">
        <v>4.0</v>
      </c>
      <c r="L1436" s="14">
        <v>1.0</v>
      </c>
      <c r="M1436" s="14"/>
      <c r="N1436" s="14"/>
      <c r="O1436" s="14"/>
      <c r="P1436" s="14"/>
      <c r="Q1436" s="19">
        <v>1.0</v>
      </c>
      <c r="R1436" s="14"/>
      <c r="S1436" s="14"/>
      <c r="T1436" s="14">
        <f t="shared" si="70"/>
        <v>6</v>
      </c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F1436" s="22"/>
      <c r="AG1436" s="22"/>
      <c r="AH1436" s="22"/>
      <c r="AI1436" s="22"/>
    </row>
    <row r="1437" ht="15.75" customHeight="1">
      <c r="A1437" s="27" t="s">
        <v>1694</v>
      </c>
      <c r="B1437" s="17" t="s">
        <v>62</v>
      </c>
      <c r="C1437" s="25"/>
      <c r="D1437" s="17"/>
      <c r="E1437" s="18"/>
      <c r="F1437" s="27"/>
      <c r="G1437" s="27"/>
      <c r="H1437" s="27"/>
      <c r="I1437" s="27"/>
      <c r="J1437" s="27"/>
      <c r="K1437" s="27"/>
      <c r="L1437" s="27"/>
      <c r="M1437" s="27">
        <v>3.0</v>
      </c>
      <c r="N1437" s="27"/>
      <c r="O1437" s="27"/>
      <c r="P1437" s="27"/>
      <c r="Q1437" s="27"/>
      <c r="R1437" s="27"/>
      <c r="S1437" s="27"/>
      <c r="T1437" s="14">
        <f t="shared" si="70"/>
        <v>3</v>
      </c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28"/>
      <c r="AE1437" s="28"/>
      <c r="AF1437" s="28"/>
      <c r="AG1437" s="28"/>
      <c r="AH1437" s="28"/>
      <c r="AI1437" s="28"/>
    </row>
    <row r="1438" ht="15.75" customHeight="1">
      <c r="A1438" s="17" t="s">
        <v>1695</v>
      </c>
      <c r="B1438" s="17" t="s">
        <v>73</v>
      </c>
      <c r="C1438" s="30" t="s">
        <v>32</v>
      </c>
      <c r="D1438" s="17"/>
      <c r="E1438" s="18"/>
      <c r="F1438" s="17" t="s">
        <v>74</v>
      </c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14">
        <f t="shared" si="70"/>
        <v>0</v>
      </c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28"/>
      <c r="AE1438" s="28"/>
      <c r="AF1438" s="28"/>
      <c r="AG1438" s="28"/>
      <c r="AH1438" s="28"/>
      <c r="AI1438" s="28"/>
    </row>
    <row r="1439" ht="15.75" customHeight="1">
      <c r="A1439" s="19" t="s">
        <v>1696</v>
      </c>
      <c r="B1439" s="19" t="s">
        <v>62</v>
      </c>
      <c r="C1439" s="16"/>
      <c r="D1439" s="17"/>
      <c r="E1439" s="18"/>
      <c r="F1439" s="14"/>
      <c r="G1439" s="14"/>
      <c r="H1439" s="14"/>
      <c r="I1439" s="14"/>
      <c r="J1439" s="14"/>
      <c r="K1439" s="14"/>
      <c r="L1439" s="14">
        <v>1.0</v>
      </c>
      <c r="M1439" s="14"/>
      <c r="N1439" s="14"/>
      <c r="O1439" s="14"/>
      <c r="P1439" s="14"/>
      <c r="Q1439" s="14"/>
      <c r="R1439" s="14"/>
      <c r="S1439" s="14"/>
      <c r="T1439" s="14">
        <f t="shared" si="70"/>
        <v>1</v>
      </c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  <c r="AF1439" s="22"/>
      <c r="AG1439" s="22"/>
      <c r="AH1439" s="22"/>
      <c r="AI1439" s="22"/>
    </row>
    <row r="1440" ht="15.75" customHeight="1">
      <c r="A1440" s="27" t="s">
        <v>1697</v>
      </c>
      <c r="B1440" s="17" t="s">
        <v>238</v>
      </c>
      <c r="C1440" s="25"/>
      <c r="D1440" s="17"/>
      <c r="E1440" s="18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>
        <v>4.0</v>
      </c>
      <c r="Q1440" s="17">
        <v>1.0</v>
      </c>
      <c r="R1440" s="17">
        <v>1.0</v>
      </c>
      <c r="S1440" s="17"/>
      <c r="T1440" s="14">
        <f t="shared" si="70"/>
        <v>6</v>
      </c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28"/>
      <c r="AE1440" s="28"/>
      <c r="AF1440" s="28"/>
      <c r="AG1440" s="28"/>
      <c r="AH1440" s="28"/>
      <c r="AI1440" s="28"/>
    </row>
    <row r="1441" ht="15.75" customHeight="1">
      <c r="A1441" s="19" t="s">
        <v>1698</v>
      </c>
      <c r="B1441" s="14" t="s">
        <v>295</v>
      </c>
      <c r="C1441" s="16"/>
      <c r="D1441" s="17"/>
      <c r="E1441" s="18"/>
      <c r="F1441" s="14"/>
      <c r="G1441" s="14" t="s">
        <v>40</v>
      </c>
      <c r="H1441" s="14" t="s">
        <v>1699</v>
      </c>
      <c r="I1441" s="14"/>
      <c r="J1441" s="14">
        <v>1.0</v>
      </c>
      <c r="K1441" s="14">
        <v>5.0</v>
      </c>
      <c r="L1441" s="14">
        <v>2.0</v>
      </c>
      <c r="M1441" s="14"/>
      <c r="N1441" s="14"/>
      <c r="O1441" s="14">
        <v>2.0</v>
      </c>
      <c r="P1441" s="14"/>
      <c r="Q1441" s="14"/>
      <c r="R1441" s="14"/>
      <c r="S1441" s="19">
        <v>1.0</v>
      </c>
      <c r="T1441" s="14">
        <f t="shared" si="70"/>
        <v>11</v>
      </c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F1441" s="22"/>
      <c r="AG1441" s="22"/>
      <c r="AH1441" s="22"/>
      <c r="AI1441" s="22"/>
    </row>
    <row r="1442" ht="15.75" customHeight="1">
      <c r="A1442" s="17" t="s">
        <v>1700</v>
      </c>
      <c r="B1442" s="17" t="s">
        <v>46</v>
      </c>
      <c r="C1442" s="25"/>
      <c r="D1442" s="17"/>
      <c r="E1442" s="18"/>
      <c r="F1442" s="27"/>
      <c r="G1442" s="26"/>
      <c r="H1442" s="27"/>
      <c r="I1442" s="27"/>
      <c r="J1442" s="27">
        <v>2.0</v>
      </c>
      <c r="K1442" s="27">
        <v>2.0</v>
      </c>
      <c r="L1442" s="27"/>
      <c r="M1442" s="27"/>
      <c r="N1442" s="27"/>
      <c r="O1442" s="27"/>
      <c r="P1442" s="27"/>
      <c r="Q1442" s="27"/>
      <c r="R1442" s="27"/>
      <c r="S1442" s="27"/>
      <c r="T1442" s="14">
        <f t="shared" si="70"/>
        <v>4</v>
      </c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28"/>
      <c r="AE1442" s="28"/>
      <c r="AF1442" s="28"/>
      <c r="AG1442" s="28"/>
      <c r="AH1442" s="28"/>
      <c r="AI1442" s="28"/>
    </row>
    <row r="1443" ht="15.75" customHeight="1">
      <c r="A1443" s="17" t="s">
        <v>1701</v>
      </c>
      <c r="B1443" s="17" t="s">
        <v>1013</v>
      </c>
      <c r="C1443" s="30" t="s">
        <v>32</v>
      </c>
      <c r="D1443" s="17"/>
      <c r="E1443" s="18"/>
      <c r="F1443" s="17"/>
      <c r="G1443" s="26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14">
        <f t="shared" si="70"/>
        <v>0</v>
      </c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28"/>
      <c r="AE1443" s="28"/>
      <c r="AF1443" s="28"/>
      <c r="AG1443" s="28"/>
      <c r="AH1443" s="28"/>
      <c r="AI1443" s="28"/>
    </row>
    <row r="1444" ht="15.75" customHeight="1">
      <c r="A1444" s="17" t="s">
        <v>1702</v>
      </c>
      <c r="B1444" s="17" t="s">
        <v>73</v>
      </c>
      <c r="C1444" s="30" t="s">
        <v>32</v>
      </c>
      <c r="D1444" s="17"/>
      <c r="E1444" s="18"/>
      <c r="F1444" s="17" t="s">
        <v>74</v>
      </c>
      <c r="G1444" s="26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14">
        <f t="shared" si="70"/>
        <v>0</v>
      </c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28"/>
      <c r="AE1444" s="28"/>
      <c r="AF1444" s="28"/>
      <c r="AG1444" s="28"/>
      <c r="AH1444" s="28"/>
      <c r="AI1444" s="28"/>
    </row>
    <row r="1445" ht="15.75" customHeight="1">
      <c r="A1445" s="19" t="s">
        <v>1703</v>
      </c>
      <c r="B1445" s="19" t="s">
        <v>230</v>
      </c>
      <c r="C1445" s="16"/>
      <c r="D1445" s="17"/>
      <c r="E1445" s="18"/>
      <c r="F1445" s="14"/>
      <c r="G1445" s="20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>
        <f t="shared" si="70"/>
        <v>0</v>
      </c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  <c r="AG1445" s="22"/>
      <c r="AH1445" s="22"/>
      <c r="AI1445" s="22"/>
    </row>
    <row r="1446" ht="15.75" customHeight="1">
      <c r="A1446" s="19" t="s">
        <v>1704</v>
      </c>
      <c r="B1446" s="19" t="s">
        <v>73</v>
      </c>
      <c r="C1446" s="24" t="s">
        <v>32</v>
      </c>
      <c r="D1446" s="17"/>
      <c r="E1446" s="18"/>
      <c r="F1446" s="19" t="s">
        <v>74</v>
      </c>
      <c r="G1446" s="20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>
        <f t="shared" si="70"/>
        <v>0</v>
      </c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  <c r="AG1446" s="22"/>
      <c r="AH1446" s="22"/>
      <c r="AI1446" s="22"/>
    </row>
    <row r="1447" ht="15.75" customHeight="1">
      <c r="A1447" s="17" t="s">
        <v>1705</v>
      </c>
      <c r="B1447" s="37" t="s">
        <v>230</v>
      </c>
      <c r="C1447" s="59"/>
      <c r="D1447" s="17"/>
      <c r="E1447" s="18"/>
      <c r="F1447" s="49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17">
        <v>1.0</v>
      </c>
      <c r="S1447" s="17"/>
      <c r="T1447" s="14">
        <f t="shared" si="70"/>
        <v>1</v>
      </c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28"/>
      <c r="AE1447" s="28"/>
      <c r="AF1447" s="28"/>
      <c r="AG1447" s="28"/>
      <c r="AH1447" s="28"/>
      <c r="AI1447" s="28"/>
    </row>
    <row r="1448" ht="15.75" customHeight="1">
      <c r="A1448" s="17" t="s">
        <v>1706</v>
      </c>
      <c r="B1448" s="37" t="s">
        <v>73</v>
      </c>
      <c r="C1448" s="117" t="s">
        <v>32</v>
      </c>
      <c r="D1448" s="17"/>
      <c r="E1448" s="18"/>
      <c r="F1448" s="37" t="s">
        <v>74</v>
      </c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17"/>
      <c r="S1448" s="17"/>
      <c r="T1448" s="14">
        <f t="shared" si="70"/>
        <v>0</v>
      </c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28"/>
      <c r="AE1448" s="28"/>
      <c r="AF1448" s="28"/>
      <c r="AG1448" s="28"/>
      <c r="AH1448" s="28"/>
      <c r="AI1448" s="28"/>
    </row>
    <row r="1449" ht="15.75" customHeight="1">
      <c r="A1449" s="17" t="s">
        <v>1707</v>
      </c>
      <c r="B1449" s="37" t="s">
        <v>73</v>
      </c>
      <c r="C1449" s="117" t="s">
        <v>32</v>
      </c>
      <c r="D1449" s="17"/>
      <c r="E1449" s="18"/>
      <c r="F1449" s="37" t="s">
        <v>74</v>
      </c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17"/>
      <c r="S1449" s="17"/>
      <c r="T1449" s="14">
        <f t="shared" si="70"/>
        <v>0</v>
      </c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28"/>
      <c r="AE1449" s="28"/>
      <c r="AF1449" s="28"/>
      <c r="AG1449" s="28"/>
      <c r="AH1449" s="28"/>
      <c r="AI1449" s="28"/>
    </row>
    <row r="1450" ht="15.75" customHeight="1">
      <c r="A1450" s="17" t="s">
        <v>1708</v>
      </c>
      <c r="B1450" s="37" t="s">
        <v>252</v>
      </c>
      <c r="C1450" s="117" t="s">
        <v>343</v>
      </c>
      <c r="D1450" s="17"/>
      <c r="E1450" s="18"/>
      <c r="F1450" s="3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17"/>
      <c r="S1450" s="17"/>
      <c r="T1450" s="14">
        <f t="shared" si="70"/>
        <v>0</v>
      </c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28"/>
      <c r="AE1450" s="28"/>
      <c r="AF1450" s="28"/>
      <c r="AG1450" s="28"/>
      <c r="AH1450" s="28"/>
      <c r="AI1450" s="28"/>
    </row>
    <row r="1451" ht="15.75" customHeight="1">
      <c r="A1451" s="27" t="s">
        <v>1709</v>
      </c>
      <c r="B1451" s="37" t="s">
        <v>1013</v>
      </c>
      <c r="C1451" s="59"/>
      <c r="D1451" s="17"/>
      <c r="E1451" s="18"/>
      <c r="F1451" s="49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14">
        <f t="shared" si="70"/>
        <v>0</v>
      </c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28"/>
      <c r="AE1451" s="28"/>
      <c r="AF1451" s="28"/>
      <c r="AG1451" s="28"/>
      <c r="AH1451" s="28"/>
      <c r="AI1451" s="28"/>
    </row>
    <row r="1452" ht="15.75" customHeight="1">
      <c r="A1452" s="14" t="s">
        <v>1710</v>
      </c>
      <c r="B1452" s="15" t="s">
        <v>83</v>
      </c>
      <c r="C1452" s="60"/>
      <c r="D1452" s="17"/>
      <c r="E1452" s="18"/>
      <c r="F1452" s="45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>
        <f t="shared" si="70"/>
        <v>0</v>
      </c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</row>
    <row r="1453" ht="15.75" customHeight="1">
      <c r="A1453" s="17" t="s">
        <v>1711</v>
      </c>
      <c r="B1453" s="37" t="s">
        <v>136</v>
      </c>
      <c r="C1453" s="117" t="s">
        <v>711</v>
      </c>
      <c r="D1453" s="17"/>
      <c r="E1453" s="18"/>
      <c r="F1453" s="3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17"/>
      <c r="S1453" s="17"/>
      <c r="T1453" s="14">
        <f t="shared" si="70"/>
        <v>0</v>
      </c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28"/>
      <c r="AE1453" s="28"/>
      <c r="AF1453" s="28"/>
      <c r="AG1453" s="28"/>
      <c r="AH1453" s="28"/>
      <c r="AI1453" s="28"/>
    </row>
    <row r="1454" ht="15.75" customHeight="1">
      <c r="A1454" s="27" t="s">
        <v>1712</v>
      </c>
      <c r="B1454" s="37" t="s">
        <v>900</v>
      </c>
      <c r="C1454" s="59"/>
      <c r="D1454" s="17"/>
      <c r="E1454" s="18"/>
      <c r="F1454" s="36"/>
      <c r="G1454" s="27" t="s">
        <v>40</v>
      </c>
      <c r="H1454" s="27"/>
      <c r="I1454" s="27"/>
      <c r="J1454" s="27">
        <v>3.0</v>
      </c>
      <c r="K1454" s="27">
        <v>3.0</v>
      </c>
      <c r="L1454" s="27">
        <v>3.0</v>
      </c>
      <c r="M1454" s="27">
        <v>4.0</v>
      </c>
      <c r="N1454" s="27">
        <v>2.0</v>
      </c>
      <c r="O1454" s="27">
        <v>6.0</v>
      </c>
      <c r="P1454" s="27">
        <v>2.0</v>
      </c>
      <c r="Q1454" s="27"/>
      <c r="R1454" s="17">
        <v>1.0</v>
      </c>
      <c r="S1454" s="17">
        <v>1.0</v>
      </c>
      <c r="T1454" s="14">
        <f t="shared" si="70"/>
        <v>25</v>
      </c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28"/>
      <c r="AE1454" s="28"/>
      <c r="AF1454" s="28"/>
      <c r="AG1454" s="28"/>
      <c r="AH1454" s="28"/>
      <c r="AI1454" s="28"/>
    </row>
    <row r="1455" ht="15.75" customHeight="1">
      <c r="A1455" s="14" t="s">
        <v>1713</v>
      </c>
      <c r="B1455" s="19" t="s">
        <v>214</v>
      </c>
      <c r="C1455" s="16"/>
      <c r="D1455" s="47"/>
      <c r="E1455" s="48"/>
      <c r="F1455" s="67"/>
      <c r="G1455" s="14"/>
      <c r="H1455" s="14"/>
      <c r="I1455" s="14"/>
      <c r="J1455" s="14"/>
      <c r="K1455" s="14"/>
      <c r="L1455" s="14">
        <v>6.0</v>
      </c>
      <c r="M1455" s="14">
        <v>2.0</v>
      </c>
      <c r="N1455" s="14">
        <v>3.0</v>
      </c>
      <c r="O1455" s="14">
        <v>1.0</v>
      </c>
      <c r="P1455" s="14"/>
      <c r="Q1455" s="19">
        <v>2.0</v>
      </c>
      <c r="R1455" s="19">
        <v>1.0</v>
      </c>
      <c r="S1455" s="19"/>
      <c r="T1455" s="14">
        <f t="shared" si="70"/>
        <v>15</v>
      </c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F1455" s="22"/>
      <c r="AG1455" s="22"/>
      <c r="AH1455" s="22"/>
      <c r="AI1455" s="22"/>
    </row>
    <row r="1456" ht="15.75" customHeight="1">
      <c r="A1456" s="14" t="s">
        <v>1714</v>
      </c>
      <c r="B1456" s="19" t="s">
        <v>25</v>
      </c>
      <c r="C1456" s="16"/>
      <c r="D1456" s="17"/>
      <c r="E1456" s="18"/>
      <c r="F1456" s="14"/>
      <c r="G1456" s="14" t="s">
        <v>40</v>
      </c>
      <c r="H1456" s="14" t="s">
        <v>116</v>
      </c>
      <c r="I1456" s="14"/>
      <c r="J1456" s="14">
        <v>1.0</v>
      </c>
      <c r="K1456" s="14"/>
      <c r="L1456" s="14"/>
      <c r="M1456" s="14">
        <v>1.0</v>
      </c>
      <c r="N1456" s="14">
        <v>2.0</v>
      </c>
      <c r="O1456" s="14"/>
      <c r="P1456" s="14"/>
      <c r="Q1456" s="14"/>
      <c r="R1456" s="14"/>
      <c r="S1456" s="14"/>
      <c r="T1456" s="14">
        <f t="shared" si="70"/>
        <v>4</v>
      </c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  <c r="AG1456" s="22"/>
      <c r="AH1456" s="22"/>
      <c r="AI1456" s="22"/>
    </row>
    <row r="1457" ht="15.75" customHeight="1">
      <c r="A1457" s="27" t="s">
        <v>1715</v>
      </c>
      <c r="B1457" s="17" t="s">
        <v>42</v>
      </c>
      <c r="C1457" s="25"/>
      <c r="D1457" s="17"/>
      <c r="E1457" s="18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14">
        <f t="shared" si="70"/>
        <v>0</v>
      </c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28"/>
      <c r="AE1457" s="28"/>
      <c r="AF1457" s="28"/>
      <c r="AG1457" s="28"/>
      <c r="AH1457" s="28"/>
      <c r="AI1457" s="28"/>
    </row>
    <row r="1458" ht="15.75" customHeight="1">
      <c r="A1458" s="27" t="s">
        <v>1716</v>
      </c>
      <c r="B1458" s="17" t="s">
        <v>129</v>
      </c>
      <c r="C1458" s="25"/>
      <c r="D1458" s="17"/>
      <c r="E1458" s="18"/>
      <c r="F1458" s="27"/>
      <c r="G1458" s="27" t="s">
        <v>40</v>
      </c>
      <c r="H1458" s="27" t="s">
        <v>116</v>
      </c>
      <c r="I1458" s="27"/>
      <c r="J1458" s="27">
        <v>1.0</v>
      </c>
      <c r="K1458" s="27">
        <v>1.0</v>
      </c>
      <c r="L1458" s="27"/>
      <c r="M1458" s="27">
        <v>1.0</v>
      </c>
      <c r="N1458" s="27"/>
      <c r="O1458" s="27"/>
      <c r="P1458" s="27">
        <v>1.0</v>
      </c>
      <c r="Q1458" s="27"/>
      <c r="R1458" s="17">
        <v>1.0</v>
      </c>
      <c r="S1458" s="17"/>
      <c r="T1458" s="14">
        <f t="shared" si="70"/>
        <v>5</v>
      </c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28"/>
      <c r="AE1458" s="28"/>
      <c r="AF1458" s="28"/>
      <c r="AG1458" s="28"/>
      <c r="AH1458" s="28"/>
      <c r="AI1458" s="28"/>
    </row>
    <row r="1459" ht="15.75" customHeight="1">
      <c r="A1459" s="14" t="s">
        <v>1717</v>
      </c>
      <c r="B1459" s="19" t="s">
        <v>238</v>
      </c>
      <c r="C1459" s="16"/>
      <c r="D1459" s="17"/>
      <c r="E1459" s="18"/>
      <c r="F1459" s="14"/>
      <c r="G1459" s="20"/>
      <c r="H1459" s="14"/>
      <c r="I1459" s="14">
        <v>2.0</v>
      </c>
      <c r="J1459" s="14">
        <v>3.0</v>
      </c>
      <c r="K1459" s="14"/>
      <c r="L1459" s="14">
        <v>1.0</v>
      </c>
      <c r="M1459" s="14"/>
      <c r="N1459" s="14"/>
      <c r="O1459" s="14"/>
      <c r="P1459" s="14"/>
      <c r="Q1459" s="14"/>
      <c r="R1459" s="14"/>
      <c r="S1459" s="14"/>
      <c r="T1459" s="14">
        <f t="shared" si="70"/>
        <v>6</v>
      </c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2"/>
    </row>
    <row r="1460" ht="15.75" customHeight="1">
      <c r="A1460" s="17" t="s">
        <v>1718</v>
      </c>
      <c r="B1460" s="17" t="s">
        <v>25</v>
      </c>
      <c r="C1460" s="59"/>
      <c r="D1460" s="47"/>
      <c r="E1460" s="48"/>
      <c r="F1460" s="36"/>
      <c r="G1460" s="26"/>
      <c r="H1460" s="27"/>
      <c r="I1460" s="27"/>
      <c r="J1460" s="33"/>
      <c r="K1460" s="33"/>
      <c r="L1460" s="33"/>
      <c r="M1460" s="33"/>
      <c r="N1460" s="33"/>
      <c r="O1460" s="33"/>
      <c r="P1460" s="33"/>
      <c r="Q1460" s="46">
        <v>1.0</v>
      </c>
      <c r="R1460" s="34"/>
      <c r="S1460" s="34"/>
      <c r="T1460" s="14">
        <f t="shared" si="70"/>
        <v>1</v>
      </c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28"/>
      <c r="AE1460" s="28"/>
      <c r="AF1460" s="28"/>
      <c r="AG1460" s="28"/>
      <c r="AH1460" s="28"/>
      <c r="AI1460" s="28"/>
    </row>
    <row r="1461" ht="15.75" customHeight="1">
      <c r="A1461" s="17" t="s">
        <v>1719</v>
      </c>
      <c r="B1461" s="37" t="s">
        <v>189</v>
      </c>
      <c r="C1461" s="59"/>
      <c r="D1461" s="17"/>
      <c r="E1461" s="18"/>
      <c r="F1461" s="36"/>
      <c r="G1461" s="26"/>
      <c r="H1461" s="27"/>
      <c r="I1461" s="27"/>
      <c r="J1461" s="33"/>
      <c r="K1461" s="33"/>
      <c r="L1461" s="33"/>
      <c r="M1461" s="33"/>
      <c r="N1461" s="33"/>
      <c r="O1461" s="33"/>
      <c r="P1461" s="33"/>
      <c r="Q1461" s="46">
        <v>1.0</v>
      </c>
      <c r="R1461" s="34"/>
      <c r="S1461" s="34"/>
      <c r="T1461" s="14">
        <f t="shared" si="70"/>
        <v>1</v>
      </c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28"/>
      <c r="AE1461" s="28"/>
      <c r="AF1461" s="28"/>
      <c r="AG1461" s="28"/>
      <c r="AH1461" s="28"/>
      <c r="AI1461" s="28"/>
    </row>
    <row r="1462" ht="15.75" customHeight="1">
      <c r="A1462" s="17" t="s">
        <v>1720</v>
      </c>
      <c r="B1462" s="27" t="s">
        <v>286</v>
      </c>
      <c r="C1462" s="59"/>
      <c r="D1462" s="17"/>
      <c r="E1462" s="48"/>
      <c r="F1462" s="36"/>
      <c r="G1462" s="26"/>
      <c r="H1462" s="27"/>
      <c r="I1462" s="27"/>
      <c r="J1462" s="33">
        <v>5.0</v>
      </c>
      <c r="K1462" s="33">
        <v>7.0</v>
      </c>
      <c r="L1462" s="33">
        <v>5.0</v>
      </c>
      <c r="M1462" s="33">
        <v>2.0</v>
      </c>
      <c r="N1462" s="33"/>
      <c r="O1462" s="33"/>
      <c r="P1462" s="33"/>
      <c r="Q1462" s="46">
        <v>2.0</v>
      </c>
      <c r="R1462" s="33"/>
      <c r="S1462" s="33"/>
      <c r="T1462" s="14">
        <f t="shared" si="70"/>
        <v>21</v>
      </c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28"/>
      <c r="AE1462" s="28"/>
      <c r="AF1462" s="28"/>
      <c r="AG1462" s="28"/>
      <c r="AH1462" s="28"/>
      <c r="AI1462" s="28"/>
    </row>
    <row r="1463" ht="15.75" customHeight="1">
      <c r="A1463" s="17" t="s">
        <v>1721</v>
      </c>
      <c r="B1463" s="17" t="s">
        <v>73</v>
      </c>
      <c r="C1463" s="117" t="s">
        <v>32</v>
      </c>
      <c r="D1463" s="17"/>
      <c r="E1463" s="48"/>
      <c r="F1463" s="37" t="s">
        <v>74</v>
      </c>
      <c r="G1463" s="26"/>
      <c r="H1463" s="27"/>
      <c r="I1463" s="27"/>
      <c r="J1463" s="33"/>
      <c r="K1463" s="33"/>
      <c r="L1463" s="33"/>
      <c r="M1463" s="33"/>
      <c r="N1463" s="33"/>
      <c r="O1463" s="33"/>
      <c r="P1463" s="33"/>
      <c r="Q1463" s="46"/>
      <c r="R1463" s="33"/>
      <c r="S1463" s="33"/>
      <c r="T1463" s="14">
        <f t="shared" si="70"/>
        <v>0</v>
      </c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28"/>
      <c r="AE1463" s="28"/>
      <c r="AF1463" s="28"/>
      <c r="AG1463" s="28"/>
      <c r="AH1463" s="28"/>
      <c r="AI1463" s="28"/>
    </row>
    <row r="1464" ht="15.75" customHeight="1">
      <c r="A1464" s="17" t="s">
        <v>1722</v>
      </c>
      <c r="B1464" s="17" t="s">
        <v>250</v>
      </c>
      <c r="C1464" s="59"/>
      <c r="D1464" s="17"/>
      <c r="E1464" s="18"/>
      <c r="F1464" s="49"/>
      <c r="G1464" s="49"/>
      <c r="H1464" s="49"/>
      <c r="I1464" s="27"/>
      <c r="J1464" s="33"/>
      <c r="K1464" s="33"/>
      <c r="L1464" s="33">
        <v>2.0</v>
      </c>
      <c r="M1464" s="33">
        <v>1.0</v>
      </c>
      <c r="N1464" s="33">
        <v>2.0</v>
      </c>
      <c r="O1464" s="33"/>
      <c r="P1464" s="33"/>
      <c r="Q1464" s="46">
        <v>1.0</v>
      </c>
      <c r="R1464" s="46">
        <v>1.0</v>
      </c>
      <c r="S1464" s="46">
        <v>2.0</v>
      </c>
      <c r="T1464" s="14">
        <f t="shared" si="70"/>
        <v>9</v>
      </c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28"/>
      <c r="AE1464" s="28"/>
      <c r="AF1464" s="28"/>
      <c r="AG1464" s="28"/>
      <c r="AH1464" s="28"/>
      <c r="AI1464" s="28"/>
    </row>
    <row r="1465" ht="15.75" customHeight="1">
      <c r="A1465" s="19" t="s">
        <v>1723</v>
      </c>
      <c r="B1465" s="19" t="s">
        <v>25</v>
      </c>
      <c r="C1465" s="16"/>
      <c r="D1465" s="17"/>
      <c r="E1465" s="18"/>
      <c r="F1465" s="14"/>
      <c r="G1465" s="14"/>
      <c r="H1465" s="14"/>
      <c r="I1465" s="14"/>
      <c r="J1465" s="34"/>
      <c r="K1465" s="34"/>
      <c r="L1465" s="34"/>
      <c r="M1465" s="34"/>
      <c r="N1465" s="34"/>
      <c r="O1465" s="34"/>
      <c r="P1465" s="34"/>
      <c r="Q1465" s="34"/>
      <c r="R1465" s="33"/>
      <c r="S1465" s="33"/>
      <c r="T1465" s="14">
        <f t="shared" si="70"/>
        <v>0</v>
      </c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F1465" s="22"/>
      <c r="AG1465" s="22"/>
      <c r="AH1465" s="22"/>
      <c r="AI1465" s="22"/>
    </row>
    <row r="1466" ht="15.75" customHeight="1">
      <c r="A1466" s="19" t="s">
        <v>1724</v>
      </c>
      <c r="B1466" s="19" t="s">
        <v>600</v>
      </c>
      <c r="C1466" s="16"/>
      <c r="D1466" s="17"/>
      <c r="E1466" s="18"/>
      <c r="F1466" s="14"/>
      <c r="G1466" s="14"/>
      <c r="H1466" s="14"/>
      <c r="I1466" s="14"/>
      <c r="J1466" s="34"/>
      <c r="K1466" s="34"/>
      <c r="L1466" s="34"/>
      <c r="M1466" s="34"/>
      <c r="N1466" s="34"/>
      <c r="O1466" s="34"/>
      <c r="P1466" s="34"/>
      <c r="Q1466" s="34"/>
      <c r="R1466" s="34"/>
      <c r="S1466" s="34"/>
      <c r="T1466" s="14">
        <f t="shared" si="70"/>
        <v>0</v>
      </c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  <c r="AF1466" s="22"/>
      <c r="AG1466" s="22"/>
      <c r="AH1466" s="22"/>
      <c r="AI1466" s="22"/>
    </row>
    <row r="1467" ht="15.75" customHeight="1">
      <c r="A1467" s="14" t="s">
        <v>1725</v>
      </c>
      <c r="B1467" s="14" t="s">
        <v>256</v>
      </c>
      <c r="C1467" s="16"/>
      <c r="D1467" s="17"/>
      <c r="E1467" s="18"/>
      <c r="F1467" s="14"/>
      <c r="G1467" s="14" t="s">
        <v>40</v>
      </c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>
        <f t="shared" si="70"/>
        <v>0</v>
      </c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F1467" s="22"/>
      <c r="AG1467" s="22"/>
      <c r="AH1467" s="22"/>
      <c r="AI1467" s="22"/>
    </row>
    <row r="1468" ht="15.75" customHeight="1">
      <c r="A1468" s="17" t="s">
        <v>1726</v>
      </c>
      <c r="B1468" s="17" t="s">
        <v>189</v>
      </c>
      <c r="C1468" s="30" t="s">
        <v>1239</v>
      </c>
      <c r="D1468" s="17"/>
      <c r="E1468" s="18"/>
      <c r="F1468" s="17"/>
      <c r="G1468" s="26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14">
        <f t="shared" si="70"/>
        <v>0</v>
      </c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28"/>
      <c r="AE1468" s="28"/>
      <c r="AF1468" s="28"/>
      <c r="AG1468" s="28"/>
      <c r="AH1468" s="28"/>
      <c r="AI1468" s="28"/>
    </row>
    <row r="1469" ht="15.75" customHeight="1">
      <c r="A1469" s="27" t="s">
        <v>1727</v>
      </c>
      <c r="B1469" s="17" t="s">
        <v>238</v>
      </c>
      <c r="C1469" s="25"/>
      <c r="D1469" s="17"/>
      <c r="E1469" s="18"/>
      <c r="F1469" s="27"/>
      <c r="G1469" s="26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14">
        <f t="shared" si="70"/>
        <v>0</v>
      </c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28"/>
      <c r="AE1469" s="28"/>
      <c r="AF1469" s="28"/>
      <c r="AG1469" s="28"/>
      <c r="AH1469" s="28"/>
      <c r="AI1469" s="28"/>
    </row>
    <row r="1470" ht="15.75" customHeight="1">
      <c r="A1470" s="17" t="s">
        <v>1728</v>
      </c>
      <c r="B1470" s="17" t="s">
        <v>51</v>
      </c>
      <c r="C1470" s="30" t="s">
        <v>663</v>
      </c>
      <c r="D1470" s="17"/>
      <c r="E1470" s="18"/>
      <c r="F1470" s="17"/>
      <c r="G1470" s="26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17">
        <v>1.0</v>
      </c>
      <c r="S1470" s="17">
        <v>1.0</v>
      </c>
      <c r="T1470" s="14">
        <f t="shared" si="70"/>
        <v>2</v>
      </c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28"/>
      <c r="AE1470" s="28"/>
      <c r="AF1470" s="28"/>
      <c r="AG1470" s="28"/>
      <c r="AH1470" s="28"/>
      <c r="AI1470" s="28"/>
    </row>
    <row r="1471" ht="15.75" customHeight="1">
      <c r="A1471" s="19" t="s">
        <v>1729</v>
      </c>
      <c r="B1471" s="19" t="s">
        <v>25</v>
      </c>
      <c r="C1471" s="16"/>
      <c r="D1471" s="17"/>
      <c r="E1471" s="18"/>
      <c r="F1471" s="67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9">
        <v>1.0</v>
      </c>
      <c r="R1471" s="27"/>
      <c r="S1471" s="27"/>
      <c r="T1471" s="14">
        <f t="shared" si="70"/>
        <v>1</v>
      </c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F1471" s="22"/>
      <c r="AG1471" s="22"/>
      <c r="AH1471" s="22"/>
      <c r="AI1471" s="22"/>
    </row>
    <row r="1472" ht="15.75" customHeight="1">
      <c r="A1472" s="19" t="s">
        <v>1730</v>
      </c>
      <c r="B1472" s="19" t="s">
        <v>176</v>
      </c>
      <c r="C1472" s="24" t="s">
        <v>1096</v>
      </c>
      <c r="D1472" s="17"/>
      <c r="E1472" s="18"/>
      <c r="F1472" s="19"/>
      <c r="G1472" s="20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9">
        <v>3.0</v>
      </c>
      <c r="T1472" s="14">
        <f t="shared" si="70"/>
        <v>3</v>
      </c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F1472" s="22"/>
      <c r="AG1472" s="22"/>
      <c r="AH1472" s="22"/>
      <c r="AI1472" s="22"/>
    </row>
    <row r="1473" ht="15.75" customHeight="1">
      <c r="A1473" s="14" t="s">
        <v>1731</v>
      </c>
      <c r="B1473" s="19" t="s">
        <v>157</v>
      </c>
      <c r="C1473" s="16"/>
      <c r="D1473" s="17"/>
      <c r="E1473" s="18"/>
      <c r="F1473" s="67"/>
      <c r="G1473" s="23" t="s">
        <v>1732</v>
      </c>
      <c r="H1473" s="14"/>
      <c r="I1473" s="14">
        <v>2.0</v>
      </c>
      <c r="J1473" s="14">
        <v>4.0</v>
      </c>
      <c r="K1473" s="14">
        <v>1.0</v>
      </c>
      <c r="L1473" s="14">
        <v>1.0</v>
      </c>
      <c r="M1473" s="14">
        <v>1.0</v>
      </c>
      <c r="N1473" s="14">
        <v>2.0</v>
      </c>
      <c r="O1473" s="14">
        <v>3.0</v>
      </c>
      <c r="P1473" s="14">
        <v>3.0</v>
      </c>
      <c r="Q1473" s="14"/>
      <c r="R1473" s="19">
        <v>1.0</v>
      </c>
      <c r="S1473" s="19">
        <v>3.0</v>
      </c>
      <c r="T1473" s="14">
        <f t="shared" si="70"/>
        <v>21</v>
      </c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  <c r="AG1473" s="22"/>
      <c r="AH1473" s="22"/>
      <c r="AI1473" s="22"/>
    </row>
    <row r="1474" ht="15.75" customHeight="1">
      <c r="A1474" s="27" t="s">
        <v>1733</v>
      </c>
      <c r="B1474" s="46" t="s">
        <v>68</v>
      </c>
      <c r="C1474" s="25"/>
      <c r="D1474" s="17"/>
      <c r="E1474" s="18"/>
      <c r="F1474" s="27"/>
      <c r="G1474" s="26"/>
      <c r="H1474" s="27"/>
      <c r="I1474" s="27"/>
      <c r="J1474" s="27"/>
      <c r="K1474" s="27"/>
      <c r="L1474" s="27"/>
      <c r="M1474" s="33"/>
      <c r="N1474" s="33"/>
      <c r="O1474" s="33"/>
      <c r="P1474" s="33"/>
      <c r="Q1474" s="33"/>
      <c r="R1474" s="33"/>
      <c r="S1474" s="33"/>
      <c r="T1474" s="34">
        <f t="shared" si="70"/>
        <v>0</v>
      </c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28"/>
      <c r="AE1474" s="28"/>
      <c r="AF1474" s="28"/>
      <c r="AG1474" s="28"/>
      <c r="AH1474" s="28"/>
      <c r="AI1474" s="28"/>
    </row>
    <row r="1475" ht="15.75" customHeight="1">
      <c r="A1475" s="14" t="s">
        <v>1734</v>
      </c>
      <c r="B1475" s="41"/>
      <c r="C1475" s="16"/>
      <c r="D1475" s="17"/>
      <c r="E1475" s="18"/>
      <c r="F1475" s="14"/>
      <c r="G1475" s="20"/>
      <c r="H1475" s="14"/>
      <c r="I1475" s="14"/>
      <c r="J1475" s="14"/>
      <c r="K1475" s="14"/>
      <c r="L1475" s="14"/>
      <c r="M1475" s="41"/>
      <c r="N1475" s="41"/>
      <c r="O1475" s="41"/>
      <c r="P1475" s="41"/>
      <c r="Q1475" s="41"/>
      <c r="R1475" s="41"/>
      <c r="S1475" s="41"/>
      <c r="T1475" s="41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2"/>
    </row>
    <row r="1476" ht="15.75" customHeight="1">
      <c r="A1476" s="17" t="s">
        <v>1735</v>
      </c>
      <c r="B1476" s="35"/>
      <c r="C1476" s="25"/>
      <c r="D1476" s="17"/>
      <c r="E1476" s="18"/>
      <c r="F1476" s="27"/>
      <c r="G1476" s="26"/>
      <c r="H1476" s="27"/>
      <c r="I1476" s="27"/>
      <c r="J1476" s="27"/>
      <c r="K1476" s="27"/>
      <c r="L1476" s="27"/>
      <c r="M1476" s="35"/>
      <c r="N1476" s="35"/>
      <c r="O1476" s="35"/>
      <c r="P1476" s="35"/>
      <c r="Q1476" s="41"/>
      <c r="R1476" s="41"/>
      <c r="S1476" s="41"/>
      <c r="T1476" s="35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28"/>
      <c r="AE1476" s="28"/>
      <c r="AF1476" s="28"/>
      <c r="AG1476" s="28"/>
      <c r="AH1476" s="28"/>
      <c r="AI1476" s="28"/>
    </row>
    <row r="1477" ht="15.75" customHeight="1">
      <c r="A1477" s="14" t="s">
        <v>1736</v>
      </c>
      <c r="B1477" s="19" t="s">
        <v>218</v>
      </c>
      <c r="C1477" s="16"/>
      <c r="D1477" s="17"/>
      <c r="E1477" s="18"/>
      <c r="F1477" s="14"/>
      <c r="G1477" s="20"/>
      <c r="H1477" s="14"/>
      <c r="I1477" s="14"/>
      <c r="J1477" s="14"/>
      <c r="K1477" s="14"/>
      <c r="L1477" s="14"/>
      <c r="M1477" s="14"/>
      <c r="N1477" s="14"/>
      <c r="O1477" s="14"/>
      <c r="P1477" s="14">
        <v>4.0</v>
      </c>
      <c r="Q1477" s="14"/>
      <c r="R1477" s="14"/>
      <c r="S1477" s="14"/>
      <c r="T1477" s="14">
        <f t="shared" ref="T1477:T1485" si="71">SUM(I1477:S1477)</f>
        <v>4</v>
      </c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F1477" s="22"/>
      <c r="AG1477" s="22"/>
      <c r="AH1477" s="22"/>
      <c r="AI1477" s="22"/>
    </row>
    <row r="1478" ht="15.75" customHeight="1">
      <c r="A1478" s="27" t="s">
        <v>1737</v>
      </c>
      <c r="B1478" s="17" t="s">
        <v>218</v>
      </c>
      <c r="C1478" s="25"/>
      <c r="D1478" s="17"/>
      <c r="E1478" s="18"/>
      <c r="F1478" s="27"/>
      <c r="G1478" s="26"/>
      <c r="H1478" s="27"/>
      <c r="I1478" s="27"/>
      <c r="J1478" s="27"/>
      <c r="K1478" s="27"/>
      <c r="L1478" s="27"/>
      <c r="M1478" s="27"/>
      <c r="N1478" s="27"/>
      <c r="O1478" s="27"/>
      <c r="P1478" s="27">
        <v>3.0</v>
      </c>
      <c r="Q1478" s="27"/>
      <c r="R1478" s="27"/>
      <c r="S1478" s="27"/>
      <c r="T1478" s="14">
        <f t="shared" si="71"/>
        <v>3</v>
      </c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28"/>
      <c r="AE1478" s="28"/>
      <c r="AF1478" s="28"/>
      <c r="AG1478" s="28"/>
      <c r="AH1478" s="28"/>
      <c r="AI1478" s="28"/>
    </row>
    <row r="1479" ht="15.75" customHeight="1">
      <c r="A1479" s="14" t="s">
        <v>1738</v>
      </c>
      <c r="B1479" s="19" t="s">
        <v>176</v>
      </c>
      <c r="C1479" s="16"/>
      <c r="D1479" s="17"/>
      <c r="E1479" s="18"/>
      <c r="F1479" s="14"/>
      <c r="G1479" s="20"/>
      <c r="H1479" s="14"/>
      <c r="I1479" s="14">
        <v>2.0</v>
      </c>
      <c r="J1479" s="14">
        <v>3.0</v>
      </c>
      <c r="K1479" s="14">
        <v>2.0</v>
      </c>
      <c r="L1479" s="14"/>
      <c r="M1479" s="14">
        <v>1.0</v>
      </c>
      <c r="N1479" s="14"/>
      <c r="O1479" s="14">
        <v>1.0</v>
      </c>
      <c r="P1479" s="14"/>
      <c r="Q1479" s="14"/>
      <c r="R1479" s="14"/>
      <c r="S1479" s="14"/>
      <c r="T1479" s="14">
        <f t="shared" si="71"/>
        <v>9</v>
      </c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  <c r="AF1479" s="22"/>
      <c r="AG1479" s="22"/>
      <c r="AH1479" s="22"/>
      <c r="AI1479" s="22"/>
    </row>
    <row r="1480" ht="15.75" customHeight="1">
      <c r="A1480" s="17" t="s">
        <v>1739</v>
      </c>
      <c r="B1480" s="17" t="s">
        <v>25</v>
      </c>
      <c r="C1480" s="25"/>
      <c r="D1480" s="17"/>
      <c r="E1480" s="18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17">
        <v>1.0</v>
      </c>
      <c r="R1480" s="14"/>
      <c r="S1480" s="14"/>
      <c r="T1480" s="14">
        <f t="shared" si="71"/>
        <v>1</v>
      </c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28"/>
      <c r="AE1480" s="28"/>
      <c r="AF1480" s="28"/>
      <c r="AG1480" s="28"/>
      <c r="AH1480" s="28"/>
      <c r="AI1480" s="28"/>
    </row>
    <row r="1481" ht="15.75" customHeight="1">
      <c r="A1481" s="17" t="s">
        <v>1740</v>
      </c>
      <c r="B1481" s="17" t="s">
        <v>21</v>
      </c>
      <c r="C1481" s="25"/>
      <c r="D1481" s="17"/>
      <c r="E1481" s="18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>
        <v>1.0</v>
      </c>
      <c r="Q1481" s="27"/>
      <c r="R1481" s="27"/>
      <c r="S1481" s="27"/>
      <c r="T1481" s="14">
        <f t="shared" si="71"/>
        <v>1</v>
      </c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28"/>
      <c r="AE1481" s="28"/>
      <c r="AF1481" s="28"/>
      <c r="AG1481" s="28"/>
      <c r="AH1481" s="28"/>
      <c r="AI1481" s="28"/>
    </row>
    <row r="1482" ht="15.75" customHeight="1">
      <c r="A1482" s="14" t="s">
        <v>1741</v>
      </c>
      <c r="B1482" s="19" t="s">
        <v>38</v>
      </c>
      <c r="C1482" s="16"/>
      <c r="D1482" s="17"/>
      <c r="E1482" s="18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>
        <v>2.0</v>
      </c>
      <c r="P1482" s="14">
        <v>2.0</v>
      </c>
      <c r="Q1482" s="14"/>
      <c r="R1482" s="14"/>
      <c r="S1482" s="19">
        <v>1.0</v>
      </c>
      <c r="T1482" s="14">
        <f t="shared" si="71"/>
        <v>5</v>
      </c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  <c r="AG1482" s="22"/>
      <c r="AH1482" s="22"/>
      <c r="AI1482" s="22"/>
    </row>
    <row r="1483" ht="15.75" customHeight="1">
      <c r="A1483" s="17" t="s">
        <v>1742</v>
      </c>
      <c r="B1483" s="17" t="s">
        <v>62</v>
      </c>
      <c r="C1483" s="25"/>
      <c r="D1483" s="17"/>
      <c r="E1483" s="18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33"/>
      <c r="R1483" s="34"/>
      <c r="S1483" s="34"/>
      <c r="T1483" s="14">
        <f t="shared" si="71"/>
        <v>0</v>
      </c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28"/>
      <c r="AE1483" s="28"/>
      <c r="AF1483" s="28"/>
      <c r="AG1483" s="28"/>
      <c r="AH1483" s="28"/>
      <c r="AI1483" s="28"/>
    </row>
    <row r="1484" ht="15.75" customHeight="1">
      <c r="A1484" s="17" t="s">
        <v>1743</v>
      </c>
      <c r="B1484" s="17" t="s">
        <v>21</v>
      </c>
      <c r="C1484" s="25"/>
      <c r="D1484" s="47"/>
      <c r="E1484" s="48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46">
        <v>1.0</v>
      </c>
      <c r="R1484" s="34"/>
      <c r="S1484" s="40">
        <v>1.0</v>
      </c>
      <c r="T1484" s="14">
        <f t="shared" si="71"/>
        <v>2</v>
      </c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28"/>
      <c r="AE1484" s="28"/>
      <c r="AF1484" s="28"/>
      <c r="AG1484" s="28"/>
      <c r="AH1484" s="28"/>
      <c r="AI1484" s="28"/>
    </row>
    <row r="1485" ht="15.75" customHeight="1">
      <c r="A1485" s="17" t="s">
        <v>1744</v>
      </c>
      <c r="B1485" s="46" t="s">
        <v>189</v>
      </c>
      <c r="C1485" s="25"/>
      <c r="D1485" s="47"/>
      <c r="E1485" s="48"/>
      <c r="F1485" s="27"/>
      <c r="G1485" s="27"/>
      <c r="H1485" s="27"/>
      <c r="I1485" s="27"/>
      <c r="J1485" s="27"/>
      <c r="K1485" s="27"/>
      <c r="L1485" s="27"/>
      <c r="M1485" s="27"/>
      <c r="N1485" s="33">
        <v>6.0</v>
      </c>
      <c r="O1485" s="33">
        <v>2.0</v>
      </c>
      <c r="P1485" s="33">
        <v>2.0</v>
      </c>
      <c r="Q1485" s="46">
        <v>1.0</v>
      </c>
      <c r="R1485" s="46">
        <v>1.0</v>
      </c>
      <c r="S1485" s="46">
        <v>1.0</v>
      </c>
      <c r="T1485" s="34">
        <f t="shared" si="71"/>
        <v>13</v>
      </c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28"/>
      <c r="AE1485" s="28"/>
      <c r="AF1485" s="28"/>
      <c r="AG1485" s="28"/>
      <c r="AH1485" s="28"/>
      <c r="AI1485" s="28"/>
    </row>
    <row r="1486" ht="15.75" customHeight="1">
      <c r="A1486" s="14" t="s">
        <v>1745</v>
      </c>
      <c r="B1486" s="41"/>
      <c r="C1486" s="16"/>
      <c r="D1486" s="17"/>
      <c r="E1486" s="18"/>
      <c r="F1486" s="14"/>
      <c r="G1486" s="14"/>
      <c r="H1486" s="14"/>
      <c r="I1486" s="14"/>
      <c r="J1486" s="14"/>
      <c r="K1486" s="14"/>
      <c r="L1486" s="14"/>
      <c r="M1486" s="14"/>
      <c r="N1486" s="35"/>
      <c r="O1486" s="35"/>
      <c r="P1486" s="35"/>
      <c r="Q1486" s="41"/>
      <c r="R1486" s="41"/>
      <c r="S1486" s="41"/>
      <c r="T1486" s="41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2"/>
    </row>
    <row r="1487" ht="15.75" customHeight="1">
      <c r="A1487" s="17" t="s">
        <v>1746</v>
      </c>
      <c r="B1487" s="35"/>
      <c r="C1487" s="25"/>
      <c r="D1487" s="17"/>
      <c r="E1487" s="18"/>
      <c r="F1487" s="51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33"/>
      <c r="R1487" s="41"/>
      <c r="S1487" s="41"/>
      <c r="T1487" s="35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28"/>
      <c r="AE1487" s="28"/>
      <c r="AF1487" s="28"/>
      <c r="AG1487" s="28"/>
      <c r="AH1487" s="28"/>
      <c r="AI1487" s="28"/>
    </row>
    <row r="1488" ht="15.75" customHeight="1">
      <c r="A1488" s="17" t="s">
        <v>1747</v>
      </c>
      <c r="B1488" s="17" t="s">
        <v>73</v>
      </c>
      <c r="C1488" s="30" t="s">
        <v>32</v>
      </c>
      <c r="D1488" s="17"/>
      <c r="E1488" s="18"/>
      <c r="F1488" s="17" t="s">
        <v>74</v>
      </c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33"/>
      <c r="R1488" s="46"/>
      <c r="S1488" s="46"/>
      <c r="T1488" s="14">
        <f t="shared" ref="T1488:T1492" si="72">SUM(I1488:S1488)</f>
        <v>0</v>
      </c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28"/>
      <c r="AE1488" s="28"/>
      <c r="AF1488" s="28"/>
      <c r="AG1488" s="28"/>
      <c r="AH1488" s="28"/>
      <c r="AI1488" s="28"/>
    </row>
    <row r="1489" ht="15.75" customHeight="1">
      <c r="A1489" s="27" t="s">
        <v>1748</v>
      </c>
      <c r="B1489" s="17" t="s">
        <v>155</v>
      </c>
      <c r="C1489" s="25"/>
      <c r="D1489" s="17" t="s">
        <v>180</v>
      </c>
      <c r="E1489" s="18">
        <v>45933.0</v>
      </c>
      <c r="F1489" s="51"/>
      <c r="G1489" s="27" t="s">
        <v>40</v>
      </c>
      <c r="H1489" s="27" t="s">
        <v>1749</v>
      </c>
      <c r="I1489" s="27"/>
      <c r="J1489" s="27">
        <v>2.0</v>
      </c>
      <c r="K1489" s="27">
        <v>5.0</v>
      </c>
      <c r="L1489" s="27"/>
      <c r="M1489" s="27"/>
      <c r="N1489" s="27">
        <v>1.0</v>
      </c>
      <c r="O1489" s="27">
        <v>1.0</v>
      </c>
      <c r="P1489" s="27"/>
      <c r="Q1489" s="27"/>
      <c r="R1489" s="27"/>
      <c r="S1489" s="17">
        <v>1.0</v>
      </c>
      <c r="T1489" s="14">
        <f t="shared" si="72"/>
        <v>10</v>
      </c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28"/>
      <c r="AE1489" s="28"/>
      <c r="AF1489" s="28"/>
      <c r="AG1489" s="28"/>
      <c r="AH1489" s="28"/>
      <c r="AI1489" s="28"/>
    </row>
    <row r="1490" ht="15.75" customHeight="1">
      <c r="A1490" s="14" t="s">
        <v>1750</v>
      </c>
      <c r="B1490" s="19" t="s">
        <v>198</v>
      </c>
      <c r="C1490" s="16"/>
      <c r="D1490" s="17"/>
      <c r="E1490" s="18"/>
      <c r="F1490" s="14"/>
      <c r="G1490" s="20"/>
      <c r="H1490" s="14"/>
      <c r="I1490" s="14"/>
      <c r="J1490" s="14">
        <v>4.0</v>
      </c>
      <c r="K1490" s="14">
        <v>1.0</v>
      </c>
      <c r="L1490" s="14"/>
      <c r="M1490" s="14">
        <v>1.0</v>
      </c>
      <c r="N1490" s="14">
        <v>2.0</v>
      </c>
      <c r="O1490" s="14"/>
      <c r="P1490" s="14"/>
      <c r="Q1490" s="14"/>
      <c r="R1490" s="14"/>
      <c r="S1490" s="14"/>
      <c r="T1490" s="14">
        <f t="shared" si="72"/>
        <v>8</v>
      </c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</row>
    <row r="1491" ht="15.75" customHeight="1">
      <c r="A1491" s="27" t="s">
        <v>1751</v>
      </c>
      <c r="B1491" s="17" t="s">
        <v>152</v>
      </c>
      <c r="C1491" s="25"/>
      <c r="D1491" s="17"/>
      <c r="E1491" s="18"/>
      <c r="F1491" s="27"/>
      <c r="G1491" s="26"/>
      <c r="H1491" s="27"/>
      <c r="I1491" s="27"/>
      <c r="J1491" s="27">
        <v>4.0</v>
      </c>
      <c r="K1491" s="27"/>
      <c r="L1491" s="27">
        <v>1.0</v>
      </c>
      <c r="M1491" s="27"/>
      <c r="N1491" s="27">
        <v>1.0</v>
      </c>
      <c r="O1491" s="27"/>
      <c r="P1491" s="27"/>
      <c r="Q1491" s="27"/>
      <c r="R1491" s="27"/>
      <c r="S1491" s="27"/>
      <c r="T1491" s="14">
        <f t="shared" si="72"/>
        <v>6</v>
      </c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28"/>
      <c r="AE1491" s="28"/>
      <c r="AF1491" s="28"/>
      <c r="AG1491" s="28"/>
      <c r="AH1491" s="28"/>
      <c r="AI1491" s="28"/>
    </row>
    <row r="1492" ht="15.75" customHeight="1">
      <c r="A1492" s="45" t="s">
        <v>1752</v>
      </c>
      <c r="B1492" s="40" t="s">
        <v>218</v>
      </c>
      <c r="C1492" s="16"/>
      <c r="D1492" s="17"/>
      <c r="E1492" s="18"/>
      <c r="F1492" s="14"/>
      <c r="G1492" s="20"/>
      <c r="H1492" s="14"/>
      <c r="I1492" s="14"/>
      <c r="J1492" s="14"/>
      <c r="K1492" s="14"/>
      <c r="L1492" s="14">
        <v>1.0</v>
      </c>
      <c r="M1492" s="34">
        <v>6.0</v>
      </c>
      <c r="N1492" s="34">
        <v>4.0</v>
      </c>
      <c r="O1492" s="34">
        <v>5.0</v>
      </c>
      <c r="P1492" s="34"/>
      <c r="Q1492" s="34"/>
      <c r="R1492" s="40">
        <v>2.0</v>
      </c>
      <c r="S1492" s="40">
        <v>1.0</v>
      </c>
      <c r="T1492" s="34">
        <f t="shared" si="72"/>
        <v>19</v>
      </c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2"/>
    </row>
    <row r="1493" ht="15.75" customHeight="1">
      <c r="A1493" s="49" t="s">
        <v>1753</v>
      </c>
      <c r="B1493" s="41"/>
      <c r="C1493" s="25"/>
      <c r="D1493" s="17"/>
      <c r="E1493" s="18"/>
      <c r="F1493" s="27"/>
      <c r="G1493" s="26"/>
      <c r="H1493" s="27"/>
      <c r="I1493" s="27"/>
      <c r="J1493" s="27"/>
      <c r="K1493" s="27"/>
      <c r="L1493" s="27"/>
      <c r="M1493" s="41"/>
      <c r="N1493" s="41"/>
      <c r="O1493" s="41"/>
      <c r="P1493" s="41"/>
      <c r="Q1493" s="41"/>
      <c r="R1493" s="41"/>
      <c r="S1493" s="41"/>
      <c r="T1493" s="41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28"/>
      <c r="AE1493" s="28"/>
      <c r="AF1493" s="28"/>
      <c r="AG1493" s="28"/>
      <c r="AH1493" s="28"/>
      <c r="AI1493" s="28"/>
    </row>
    <row r="1494" ht="15.75" customHeight="1">
      <c r="A1494" s="45" t="s">
        <v>1754</v>
      </c>
      <c r="B1494" s="41"/>
      <c r="C1494" s="16"/>
      <c r="D1494" s="17"/>
      <c r="E1494" s="18"/>
      <c r="F1494" s="14"/>
      <c r="G1494" s="20"/>
      <c r="H1494" s="14"/>
      <c r="I1494" s="14"/>
      <c r="J1494" s="14"/>
      <c r="K1494" s="14"/>
      <c r="L1494" s="14"/>
      <c r="M1494" s="41"/>
      <c r="N1494" s="41"/>
      <c r="O1494" s="41"/>
      <c r="P1494" s="41"/>
      <c r="Q1494" s="41"/>
      <c r="R1494" s="41"/>
      <c r="S1494" s="41"/>
      <c r="T1494" s="41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</row>
    <row r="1495" ht="15.75" customHeight="1">
      <c r="A1495" s="49" t="s">
        <v>1755</v>
      </c>
      <c r="B1495" s="41"/>
      <c r="C1495" s="25"/>
      <c r="D1495" s="17"/>
      <c r="E1495" s="18"/>
      <c r="F1495" s="27"/>
      <c r="G1495" s="26"/>
      <c r="H1495" s="27"/>
      <c r="I1495" s="27"/>
      <c r="J1495" s="27"/>
      <c r="K1495" s="27"/>
      <c r="L1495" s="27"/>
      <c r="M1495" s="41"/>
      <c r="N1495" s="41"/>
      <c r="O1495" s="41"/>
      <c r="P1495" s="41"/>
      <c r="Q1495" s="41"/>
      <c r="R1495" s="41"/>
      <c r="S1495" s="41"/>
      <c r="T1495" s="41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28"/>
      <c r="AE1495" s="28"/>
      <c r="AF1495" s="28"/>
      <c r="AG1495" s="28"/>
      <c r="AH1495" s="28"/>
      <c r="AI1495" s="28"/>
    </row>
    <row r="1496" ht="15.75" customHeight="1">
      <c r="A1496" s="45" t="s">
        <v>1756</v>
      </c>
      <c r="B1496" s="41"/>
      <c r="C1496" s="16"/>
      <c r="D1496" s="17"/>
      <c r="E1496" s="18"/>
      <c r="F1496" s="14"/>
      <c r="G1496" s="20"/>
      <c r="H1496" s="14"/>
      <c r="I1496" s="14"/>
      <c r="J1496" s="14"/>
      <c r="K1496" s="14"/>
      <c r="L1496" s="14"/>
      <c r="M1496" s="41"/>
      <c r="N1496" s="41"/>
      <c r="O1496" s="41"/>
      <c r="P1496" s="41"/>
      <c r="Q1496" s="41"/>
      <c r="R1496" s="41"/>
      <c r="S1496" s="41"/>
      <c r="T1496" s="41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F1496" s="22"/>
      <c r="AG1496" s="22"/>
      <c r="AH1496" s="22"/>
      <c r="AI1496" s="22"/>
    </row>
    <row r="1497" ht="15.75" customHeight="1">
      <c r="A1497" s="37" t="s">
        <v>1757</v>
      </c>
      <c r="B1497" s="35"/>
      <c r="C1497" s="25"/>
      <c r="D1497" s="17"/>
      <c r="E1497" s="18"/>
      <c r="F1497" s="27"/>
      <c r="G1497" s="26"/>
      <c r="H1497" s="27"/>
      <c r="I1497" s="27"/>
      <c r="J1497" s="27"/>
      <c r="K1497" s="27"/>
      <c r="L1497" s="27"/>
      <c r="M1497" s="35"/>
      <c r="N1497" s="35"/>
      <c r="O1497" s="35"/>
      <c r="P1497" s="35"/>
      <c r="Q1497" s="41"/>
      <c r="R1497" s="41"/>
      <c r="S1497" s="41"/>
      <c r="T1497" s="35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28"/>
      <c r="AE1497" s="28"/>
      <c r="AF1497" s="28"/>
      <c r="AG1497" s="28"/>
      <c r="AH1497" s="28"/>
      <c r="AI1497" s="28"/>
    </row>
    <row r="1498" ht="15.75" customHeight="1">
      <c r="A1498" s="19" t="s">
        <v>1758</v>
      </c>
      <c r="B1498" s="19" t="s">
        <v>879</v>
      </c>
      <c r="C1498" s="16"/>
      <c r="D1498" s="17"/>
      <c r="E1498" s="18"/>
      <c r="F1498" s="14"/>
      <c r="G1498" s="20"/>
      <c r="H1498" s="14"/>
      <c r="I1498" s="14"/>
      <c r="J1498" s="14"/>
      <c r="K1498" s="14"/>
      <c r="L1498" s="14"/>
      <c r="M1498" s="14"/>
      <c r="N1498" s="14"/>
      <c r="O1498" s="14"/>
      <c r="P1498" s="14"/>
      <c r="Q1498" s="34"/>
      <c r="R1498" s="34"/>
      <c r="S1498" s="34"/>
      <c r="T1498" s="14">
        <f t="shared" ref="T1498:T1513" si="73">SUM(I1498:S1498)</f>
        <v>0</v>
      </c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  <c r="AF1498" s="22"/>
      <c r="AG1498" s="22"/>
      <c r="AH1498" s="22"/>
      <c r="AI1498" s="22"/>
    </row>
    <row r="1499" ht="15.75" customHeight="1">
      <c r="A1499" s="19" t="s">
        <v>1759</v>
      </c>
      <c r="B1499" s="19" t="s">
        <v>361</v>
      </c>
      <c r="C1499" s="16"/>
      <c r="D1499" s="47"/>
      <c r="E1499" s="102"/>
      <c r="F1499" s="14"/>
      <c r="G1499" s="20"/>
      <c r="H1499" s="14"/>
      <c r="I1499" s="14"/>
      <c r="J1499" s="14"/>
      <c r="K1499" s="14"/>
      <c r="L1499" s="14"/>
      <c r="M1499" s="14"/>
      <c r="N1499" s="14"/>
      <c r="O1499" s="14"/>
      <c r="P1499" s="14"/>
      <c r="Q1499" s="40">
        <v>1.0</v>
      </c>
      <c r="R1499" s="34"/>
      <c r="S1499" s="34"/>
      <c r="T1499" s="14">
        <f t="shared" si="73"/>
        <v>1</v>
      </c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  <c r="AF1499" s="22"/>
      <c r="AG1499" s="22"/>
      <c r="AH1499" s="22"/>
      <c r="AI1499" s="22"/>
    </row>
    <row r="1500" ht="15.75" customHeight="1">
      <c r="A1500" s="14" t="s">
        <v>1760</v>
      </c>
      <c r="B1500" s="19" t="s">
        <v>27</v>
      </c>
      <c r="C1500" s="16"/>
      <c r="D1500" s="110"/>
      <c r="E1500" s="18"/>
      <c r="F1500" s="14"/>
      <c r="G1500" s="20"/>
      <c r="H1500" s="14"/>
      <c r="I1500" s="14"/>
      <c r="J1500" s="14"/>
      <c r="K1500" s="14"/>
      <c r="L1500" s="14"/>
      <c r="M1500" s="14">
        <v>1.0</v>
      </c>
      <c r="N1500" s="14">
        <v>5.0</v>
      </c>
      <c r="O1500" s="14"/>
      <c r="P1500" s="14"/>
      <c r="Q1500" s="19">
        <v>2.0</v>
      </c>
      <c r="R1500" s="19">
        <v>1.0</v>
      </c>
      <c r="S1500" s="19"/>
      <c r="T1500" s="14">
        <f t="shared" si="73"/>
        <v>9</v>
      </c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  <c r="AF1500" s="22"/>
      <c r="AG1500" s="22"/>
      <c r="AH1500" s="22"/>
      <c r="AI1500" s="22"/>
    </row>
    <row r="1501" ht="15.75" customHeight="1">
      <c r="A1501" s="17" t="s">
        <v>1761</v>
      </c>
      <c r="B1501" s="17" t="s">
        <v>204</v>
      </c>
      <c r="C1501" s="30" t="s">
        <v>1120</v>
      </c>
      <c r="D1501" s="109"/>
      <c r="E1501" s="18"/>
      <c r="F1501" s="17"/>
      <c r="G1501" s="26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14">
        <f t="shared" si="73"/>
        <v>0</v>
      </c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28"/>
      <c r="AE1501" s="28"/>
      <c r="AF1501" s="28"/>
      <c r="AG1501" s="28"/>
      <c r="AH1501" s="28"/>
      <c r="AI1501" s="28"/>
    </row>
    <row r="1502" ht="15.75" customHeight="1">
      <c r="A1502" s="27" t="s">
        <v>1762</v>
      </c>
      <c r="B1502" s="27" t="s">
        <v>46</v>
      </c>
      <c r="C1502" s="25"/>
      <c r="D1502" s="17"/>
      <c r="E1502" s="18"/>
      <c r="F1502" s="27"/>
      <c r="G1502" s="26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14">
        <f t="shared" si="73"/>
        <v>0</v>
      </c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28"/>
      <c r="AE1502" s="28"/>
      <c r="AF1502" s="28"/>
      <c r="AG1502" s="28"/>
      <c r="AH1502" s="28"/>
      <c r="AI1502" s="28"/>
    </row>
    <row r="1503" ht="15.75" customHeight="1">
      <c r="A1503" s="134" t="s">
        <v>1763</v>
      </c>
      <c r="B1503" s="19" t="s">
        <v>22</v>
      </c>
      <c r="C1503" s="16"/>
      <c r="D1503" s="17"/>
      <c r="E1503" s="18"/>
      <c r="F1503" s="14"/>
      <c r="G1503" s="20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>
        <f t="shared" si="73"/>
        <v>0</v>
      </c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</row>
    <row r="1504" ht="15.75" customHeight="1">
      <c r="A1504" s="27" t="s">
        <v>1764</v>
      </c>
      <c r="B1504" s="17" t="s">
        <v>204</v>
      </c>
      <c r="C1504" s="25"/>
      <c r="D1504" s="17"/>
      <c r="E1504" s="18"/>
      <c r="F1504" s="27"/>
      <c r="G1504" s="26"/>
      <c r="H1504" s="27"/>
      <c r="I1504" s="27"/>
      <c r="J1504" s="27">
        <v>1.0</v>
      </c>
      <c r="K1504" s="27"/>
      <c r="L1504" s="27"/>
      <c r="M1504" s="27"/>
      <c r="N1504" s="27">
        <v>1.0</v>
      </c>
      <c r="O1504" s="27"/>
      <c r="P1504" s="27"/>
      <c r="Q1504" s="27"/>
      <c r="R1504" s="27"/>
      <c r="S1504" s="27"/>
      <c r="T1504" s="14">
        <f t="shared" si="73"/>
        <v>2</v>
      </c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28"/>
      <c r="AE1504" s="28"/>
      <c r="AF1504" s="28"/>
      <c r="AG1504" s="28"/>
      <c r="AH1504" s="28"/>
      <c r="AI1504" s="28"/>
    </row>
    <row r="1505" ht="15.75" customHeight="1">
      <c r="A1505" s="19" t="s">
        <v>1765</v>
      </c>
      <c r="B1505" s="19" t="s">
        <v>900</v>
      </c>
      <c r="C1505" s="16"/>
      <c r="D1505" s="17"/>
      <c r="E1505" s="18"/>
      <c r="F1505" s="14"/>
      <c r="G1505" s="14"/>
      <c r="H1505" s="14"/>
      <c r="I1505" s="14"/>
      <c r="J1505" s="14"/>
      <c r="K1505" s="14"/>
      <c r="L1505" s="14">
        <v>3.0</v>
      </c>
      <c r="M1505" s="14">
        <v>1.0</v>
      </c>
      <c r="N1505" s="14"/>
      <c r="O1505" s="14"/>
      <c r="P1505" s="14"/>
      <c r="Q1505" s="14"/>
      <c r="R1505" s="14"/>
      <c r="S1505" s="14"/>
      <c r="T1505" s="14">
        <f t="shared" si="73"/>
        <v>4</v>
      </c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F1505" s="22"/>
      <c r="AG1505" s="22"/>
      <c r="AH1505" s="22"/>
      <c r="AI1505" s="22"/>
    </row>
    <row r="1506" ht="15.75" customHeight="1">
      <c r="A1506" s="19" t="s">
        <v>1766</v>
      </c>
      <c r="B1506" s="17" t="s">
        <v>532</v>
      </c>
      <c r="C1506" s="25"/>
      <c r="D1506" s="47"/>
      <c r="E1506" s="48"/>
      <c r="F1506" s="27"/>
      <c r="G1506" s="26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19">
        <v>1.0</v>
      </c>
      <c r="S1506" s="19"/>
      <c r="T1506" s="14">
        <f t="shared" si="73"/>
        <v>1</v>
      </c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28"/>
      <c r="AE1506" s="28"/>
      <c r="AF1506" s="28"/>
      <c r="AG1506" s="28"/>
      <c r="AH1506" s="28"/>
      <c r="AI1506" s="28"/>
    </row>
    <row r="1507" ht="15.75" customHeight="1">
      <c r="A1507" s="17" t="s">
        <v>1767</v>
      </c>
      <c r="B1507" s="17" t="s">
        <v>206</v>
      </c>
      <c r="C1507" s="25"/>
      <c r="D1507" s="17"/>
      <c r="E1507" s="18"/>
      <c r="F1507" s="27"/>
      <c r="G1507" s="26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19">
        <v>1.0</v>
      </c>
      <c r="S1507" s="19">
        <v>2.0</v>
      </c>
      <c r="T1507" s="14">
        <f t="shared" si="73"/>
        <v>3</v>
      </c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28"/>
      <c r="AE1507" s="28"/>
      <c r="AF1507" s="28"/>
      <c r="AG1507" s="28"/>
      <c r="AH1507" s="28"/>
      <c r="AI1507" s="28"/>
    </row>
    <row r="1508" ht="15.75" customHeight="1">
      <c r="A1508" s="17" t="s">
        <v>1768</v>
      </c>
      <c r="B1508" s="17" t="s">
        <v>488</v>
      </c>
      <c r="C1508" s="25"/>
      <c r="D1508" s="17"/>
      <c r="E1508" s="18"/>
      <c r="F1508" s="27"/>
      <c r="G1508" s="26"/>
      <c r="H1508" s="27"/>
      <c r="I1508" s="27"/>
      <c r="J1508" s="27">
        <v>3.0</v>
      </c>
      <c r="K1508" s="27">
        <v>3.0</v>
      </c>
      <c r="L1508" s="27">
        <v>3.0</v>
      </c>
      <c r="M1508" s="27">
        <v>3.0</v>
      </c>
      <c r="N1508" s="27">
        <v>5.0</v>
      </c>
      <c r="O1508" s="27">
        <v>3.0</v>
      </c>
      <c r="P1508" s="27"/>
      <c r="Q1508" s="17">
        <v>2.0</v>
      </c>
      <c r="R1508" s="17">
        <v>2.0</v>
      </c>
      <c r="S1508" s="17">
        <v>1.0</v>
      </c>
      <c r="T1508" s="14">
        <f t="shared" si="73"/>
        <v>25</v>
      </c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28"/>
      <c r="AE1508" s="28"/>
      <c r="AF1508" s="28"/>
      <c r="AG1508" s="28"/>
      <c r="AH1508" s="28"/>
      <c r="AI1508" s="28"/>
    </row>
    <row r="1509" ht="15.75" customHeight="1">
      <c r="A1509" s="14" t="s">
        <v>1769</v>
      </c>
      <c r="B1509" s="19" t="s">
        <v>535</v>
      </c>
      <c r="C1509" s="16"/>
      <c r="D1509" s="47"/>
      <c r="E1509" s="48"/>
      <c r="F1509" s="14"/>
      <c r="G1509" s="20"/>
      <c r="H1509" s="14"/>
      <c r="I1509" s="14"/>
      <c r="J1509" s="14"/>
      <c r="K1509" s="14"/>
      <c r="L1509" s="14"/>
      <c r="M1509" s="14"/>
      <c r="N1509" s="14"/>
      <c r="O1509" s="14">
        <v>1.0</v>
      </c>
      <c r="P1509" s="14">
        <v>2.0</v>
      </c>
      <c r="Q1509" s="19">
        <v>1.0</v>
      </c>
      <c r="R1509" s="19">
        <v>2.0</v>
      </c>
      <c r="S1509" s="19">
        <v>3.0</v>
      </c>
      <c r="T1509" s="14">
        <f t="shared" si="73"/>
        <v>9</v>
      </c>
      <c r="U1509" s="22"/>
      <c r="V1509" s="22"/>
      <c r="W1509" s="22"/>
      <c r="X1509" s="22"/>
      <c r="Y1509" s="22"/>
      <c r="Z1509" s="22"/>
      <c r="AA1509" s="22"/>
      <c r="AB1509" s="22"/>
      <c r="AC1509" s="22"/>
      <c r="AD1509" s="22"/>
      <c r="AE1509" s="22"/>
      <c r="AF1509" s="22"/>
      <c r="AG1509" s="22"/>
      <c r="AH1509" s="22"/>
      <c r="AI1509" s="22"/>
    </row>
    <row r="1510" ht="15.75" customHeight="1">
      <c r="A1510" s="17" t="s">
        <v>1770</v>
      </c>
      <c r="B1510" s="17" t="s">
        <v>535</v>
      </c>
      <c r="C1510" s="25"/>
      <c r="D1510" s="17"/>
      <c r="E1510" s="18"/>
      <c r="F1510" s="27"/>
      <c r="G1510" s="26"/>
      <c r="H1510" s="27"/>
      <c r="I1510" s="27"/>
      <c r="J1510" s="27"/>
      <c r="K1510" s="27"/>
      <c r="L1510" s="27"/>
      <c r="M1510" s="27"/>
      <c r="N1510" s="27"/>
      <c r="O1510" s="27">
        <v>3.0</v>
      </c>
      <c r="P1510" s="27">
        <v>3.0</v>
      </c>
      <c r="Q1510" s="27"/>
      <c r="R1510" s="17">
        <v>2.0</v>
      </c>
      <c r="S1510" s="17"/>
      <c r="T1510" s="14">
        <f t="shared" si="73"/>
        <v>8</v>
      </c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28"/>
      <c r="AE1510" s="28"/>
      <c r="AF1510" s="28"/>
      <c r="AG1510" s="28"/>
      <c r="AH1510" s="28"/>
      <c r="AI1510" s="28"/>
    </row>
    <row r="1511" ht="15.75" customHeight="1">
      <c r="A1511" s="19" t="s">
        <v>1771</v>
      </c>
      <c r="B1511" s="19" t="s">
        <v>73</v>
      </c>
      <c r="C1511" s="24" t="s">
        <v>32</v>
      </c>
      <c r="D1511" s="17"/>
      <c r="E1511" s="18"/>
      <c r="F1511" s="19" t="s">
        <v>74</v>
      </c>
      <c r="G1511" s="20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9"/>
      <c r="T1511" s="14">
        <f t="shared" si="73"/>
        <v>0</v>
      </c>
      <c r="U1511" s="22"/>
      <c r="V1511" s="22"/>
      <c r="W1511" s="22"/>
      <c r="X1511" s="22"/>
      <c r="Y1511" s="22"/>
      <c r="Z1511" s="22"/>
      <c r="AA1511" s="22"/>
      <c r="AB1511" s="22"/>
      <c r="AC1511" s="22"/>
      <c r="AD1511" s="22"/>
      <c r="AE1511" s="22"/>
      <c r="AF1511" s="22"/>
      <c r="AG1511" s="22"/>
      <c r="AH1511" s="22"/>
      <c r="AI1511" s="22"/>
    </row>
    <row r="1512" ht="15.75" customHeight="1">
      <c r="A1512" s="14" t="s">
        <v>1772</v>
      </c>
      <c r="B1512" s="19" t="s">
        <v>21</v>
      </c>
      <c r="C1512" s="16"/>
      <c r="D1512" s="17"/>
      <c r="E1512" s="18"/>
      <c r="F1512" s="14"/>
      <c r="G1512" s="20"/>
      <c r="H1512" s="14"/>
      <c r="I1512" s="14"/>
      <c r="J1512" s="14"/>
      <c r="K1512" s="14"/>
      <c r="L1512" s="14"/>
      <c r="M1512" s="14"/>
      <c r="N1512" s="14"/>
      <c r="O1512" s="14"/>
      <c r="P1512" s="14">
        <v>1.0</v>
      </c>
      <c r="Q1512" s="14"/>
      <c r="R1512" s="14"/>
      <c r="S1512" s="19">
        <v>1.0</v>
      </c>
      <c r="T1512" s="14">
        <f t="shared" si="73"/>
        <v>2</v>
      </c>
      <c r="U1512" s="22"/>
      <c r="V1512" s="22"/>
      <c r="W1512" s="22"/>
      <c r="X1512" s="22"/>
      <c r="Y1512" s="22"/>
      <c r="Z1512" s="22"/>
      <c r="AA1512" s="22"/>
      <c r="AB1512" s="22"/>
      <c r="AC1512" s="22"/>
      <c r="AD1512" s="22"/>
      <c r="AE1512" s="22"/>
      <c r="AF1512" s="22"/>
      <c r="AG1512" s="22"/>
      <c r="AH1512" s="22"/>
      <c r="AI1512" s="22"/>
    </row>
    <row r="1513" ht="15.75" customHeight="1">
      <c r="A1513" s="17" t="s">
        <v>1773</v>
      </c>
      <c r="B1513" s="46" t="s">
        <v>403</v>
      </c>
      <c r="C1513" s="25"/>
      <c r="D1513" s="47"/>
      <c r="E1513" s="18"/>
      <c r="F1513" s="27"/>
      <c r="G1513" s="26"/>
      <c r="H1513" s="27"/>
      <c r="I1513" s="27"/>
      <c r="J1513" s="27"/>
      <c r="K1513" s="27"/>
      <c r="L1513" s="27"/>
      <c r="M1513" s="27"/>
      <c r="N1513" s="27"/>
      <c r="O1513" s="27"/>
      <c r="P1513" s="27"/>
      <c r="Q1513" s="46">
        <v>4.0</v>
      </c>
      <c r="R1513" s="46">
        <v>1.0</v>
      </c>
      <c r="S1513" s="46">
        <v>1.0</v>
      </c>
      <c r="T1513" s="34">
        <f t="shared" si="73"/>
        <v>6</v>
      </c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  <c r="AE1513" s="28"/>
      <c r="AF1513" s="28"/>
      <c r="AG1513" s="28"/>
      <c r="AH1513" s="28"/>
      <c r="AI1513" s="28"/>
    </row>
    <row r="1514" ht="15.75" customHeight="1">
      <c r="A1514" s="17" t="s">
        <v>1774</v>
      </c>
      <c r="B1514" s="35"/>
      <c r="C1514" s="25"/>
      <c r="D1514" s="17"/>
      <c r="E1514" s="18"/>
      <c r="F1514" s="27"/>
      <c r="G1514" s="26"/>
      <c r="H1514" s="27"/>
      <c r="I1514" s="27"/>
      <c r="J1514" s="27"/>
      <c r="K1514" s="27"/>
      <c r="L1514" s="27"/>
      <c r="M1514" s="27"/>
      <c r="N1514" s="27"/>
      <c r="O1514" s="27"/>
      <c r="P1514" s="27"/>
      <c r="Q1514" s="35"/>
      <c r="R1514" s="35"/>
      <c r="S1514" s="35"/>
      <c r="T1514" s="35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28"/>
      <c r="AE1514" s="28"/>
      <c r="AF1514" s="28"/>
      <c r="AG1514" s="28"/>
      <c r="AH1514" s="28"/>
      <c r="AI1514" s="28"/>
    </row>
    <row r="1515" ht="15.75" customHeight="1">
      <c r="A1515" s="17" t="s">
        <v>1775</v>
      </c>
      <c r="B1515" s="17" t="s">
        <v>230</v>
      </c>
      <c r="C1515" s="25"/>
      <c r="D1515" s="17"/>
      <c r="E1515" s="18"/>
      <c r="F1515" s="27"/>
      <c r="G1515" s="26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14">
        <f t="shared" ref="T1515:T1525" si="74">SUM(I1515:S1515)</f>
        <v>0</v>
      </c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28"/>
      <c r="AE1515" s="28"/>
      <c r="AF1515" s="28"/>
      <c r="AG1515" s="28"/>
      <c r="AH1515" s="28"/>
      <c r="AI1515" s="28"/>
    </row>
    <row r="1516" ht="15.75" customHeight="1">
      <c r="A1516" s="27" t="s">
        <v>1776</v>
      </c>
      <c r="B1516" s="17" t="s">
        <v>68</v>
      </c>
      <c r="C1516" s="25"/>
      <c r="D1516" s="17"/>
      <c r="E1516" s="18"/>
      <c r="F1516" s="27"/>
      <c r="G1516" s="26"/>
      <c r="H1516" s="27"/>
      <c r="I1516" s="27"/>
      <c r="J1516" s="27"/>
      <c r="K1516" s="27"/>
      <c r="L1516" s="27"/>
      <c r="M1516" s="27"/>
      <c r="N1516" s="27">
        <v>1.0</v>
      </c>
      <c r="O1516" s="27"/>
      <c r="P1516" s="27">
        <v>1.0</v>
      </c>
      <c r="Q1516" s="27"/>
      <c r="R1516" s="27"/>
      <c r="S1516" s="27"/>
      <c r="T1516" s="14">
        <f t="shared" si="74"/>
        <v>2</v>
      </c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28"/>
      <c r="AE1516" s="28"/>
      <c r="AF1516" s="28"/>
      <c r="AG1516" s="28"/>
      <c r="AH1516" s="28"/>
      <c r="AI1516" s="28"/>
    </row>
    <row r="1517" ht="15.75" customHeight="1">
      <c r="A1517" s="19" t="s">
        <v>1777</v>
      </c>
      <c r="B1517" s="19" t="s">
        <v>403</v>
      </c>
      <c r="C1517" s="24" t="s">
        <v>1213</v>
      </c>
      <c r="D1517" s="17"/>
      <c r="E1517" s="18"/>
      <c r="F1517" s="19"/>
      <c r="G1517" s="20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9">
        <v>1.0</v>
      </c>
      <c r="S1517" s="19">
        <v>3.0</v>
      </c>
      <c r="T1517" s="14">
        <f t="shared" si="74"/>
        <v>4</v>
      </c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  <c r="AF1517" s="22"/>
      <c r="AG1517" s="22"/>
      <c r="AH1517" s="22"/>
      <c r="AI1517" s="22"/>
    </row>
    <row r="1518" ht="15.75" customHeight="1">
      <c r="A1518" s="14" t="s">
        <v>1778</v>
      </c>
      <c r="B1518" s="19" t="s">
        <v>234</v>
      </c>
      <c r="C1518" s="16"/>
      <c r="D1518" s="17"/>
      <c r="E1518" s="18"/>
      <c r="F1518" s="14"/>
      <c r="G1518" s="20"/>
      <c r="H1518" s="14"/>
      <c r="I1518" s="14">
        <v>1.0</v>
      </c>
      <c r="J1518" s="14">
        <v>1.0</v>
      </c>
      <c r="K1518" s="14"/>
      <c r="L1518" s="14"/>
      <c r="M1518" s="14"/>
      <c r="N1518" s="14"/>
      <c r="O1518" s="14">
        <v>2.0</v>
      </c>
      <c r="P1518" s="14">
        <v>1.0</v>
      </c>
      <c r="Q1518" s="14"/>
      <c r="R1518" s="14"/>
      <c r="S1518" s="14"/>
      <c r="T1518" s="14">
        <f t="shared" si="74"/>
        <v>5</v>
      </c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  <c r="AF1518" s="22"/>
      <c r="AG1518" s="22"/>
      <c r="AH1518" s="22"/>
      <c r="AI1518" s="22"/>
    </row>
    <row r="1519" ht="15.75" customHeight="1">
      <c r="A1519" s="27" t="s">
        <v>1779</v>
      </c>
      <c r="B1519" s="17" t="s">
        <v>25</v>
      </c>
      <c r="C1519" s="30" t="s">
        <v>222</v>
      </c>
      <c r="D1519" s="17"/>
      <c r="E1519" s="18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17"/>
      <c r="R1519" s="17">
        <v>2.0</v>
      </c>
      <c r="S1519" s="17"/>
      <c r="T1519" s="14">
        <f t="shared" si="74"/>
        <v>2</v>
      </c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28"/>
      <c r="AE1519" s="28"/>
      <c r="AF1519" s="28"/>
      <c r="AG1519" s="28"/>
      <c r="AH1519" s="28"/>
      <c r="AI1519" s="28"/>
    </row>
    <row r="1520" ht="15.75" customHeight="1">
      <c r="A1520" s="17" t="s">
        <v>1780</v>
      </c>
      <c r="B1520" s="17" t="s">
        <v>73</v>
      </c>
      <c r="C1520" s="30" t="s">
        <v>32</v>
      </c>
      <c r="D1520" s="17"/>
      <c r="E1520" s="18"/>
      <c r="F1520" s="17" t="s">
        <v>74</v>
      </c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17"/>
      <c r="R1520" s="17"/>
      <c r="S1520" s="17"/>
      <c r="T1520" s="14">
        <f t="shared" si="74"/>
        <v>0</v>
      </c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28"/>
      <c r="AE1520" s="28"/>
      <c r="AF1520" s="28"/>
      <c r="AG1520" s="28"/>
      <c r="AH1520" s="28"/>
      <c r="AI1520" s="28"/>
    </row>
    <row r="1521" ht="15.75" customHeight="1">
      <c r="A1521" s="49" t="s">
        <v>1781</v>
      </c>
      <c r="B1521" s="17" t="s">
        <v>145</v>
      </c>
      <c r="C1521" s="25"/>
      <c r="D1521" s="17"/>
      <c r="E1521" s="18"/>
      <c r="F1521" s="27"/>
      <c r="G1521" s="27"/>
      <c r="H1521" s="27"/>
      <c r="I1521" s="27"/>
      <c r="J1521" s="27"/>
      <c r="K1521" s="27"/>
      <c r="L1521" s="27"/>
      <c r="M1521" s="27">
        <v>3.0</v>
      </c>
      <c r="N1521" s="27">
        <v>3.0</v>
      </c>
      <c r="O1521" s="27">
        <v>4.0</v>
      </c>
      <c r="P1521" s="27">
        <v>1.0</v>
      </c>
      <c r="Q1521" s="17">
        <v>1.0</v>
      </c>
      <c r="R1521" s="27"/>
      <c r="S1521" s="27"/>
      <c r="T1521" s="14">
        <f t="shared" si="74"/>
        <v>12</v>
      </c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28"/>
      <c r="AE1521" s="28"/>
      <c r="AF1521" s="28"/>
      <c r="AG1521" s="28"/>
      <c r="AH1521" s="28"/>
      <c r="AI1521" s="28"/>
    </row>
    <row r="1522" ht="15.75" customHeight="1">
      <c r="A1522" s="15" t="s">
        <v>1782</v>
      </c>
      <c r="B1522" s="19" t="s">
        <v>125</v>
      </c>
      <c r="C1522" s="16"/>
      <c r="D1522" s="17"/>
      <c r="E1522" s="18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9">
        <v>2.0</v>
      </c>
      <c r="R1522" s="19">
        <v>1.0</v>
      </c>
      <c r="S1522" s="19"/>
      <c r="T1522" s="14">
        <f t="shared" si="74"/>
        <v>3</v>
      </c>
      <c r="U1522" s="22"/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  <c r="AF1522" s="22"/>
      <c r="AG1522" s="22"/>
      <c r="AH1522" s="22"/>
      <c r="AI1522" s="22"/>
    </row>
    <row r="1523" ht="15.75" customHeight="1">
      <c r="A1523" s="15" t="s">
        <v>1783</v>
      </c>
      <c r="B1523" s="19" t="s">
        <v>51</v>
      </c>
      <c r="C1523" s="24" t="s">
        <v>141</v>
      </c>
      <c r="D1523" s="17"/>
      <c r="E1523" s="18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9"/>
      <c r="R1523" s="19">
        <v>1.0</v>
      </c>
      <c r="S1523" s="19"/>
      <c r="T1523" s="14">
        <f t="shared" si="74"/>
        <v>1</v>
      </c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  <c r="AF1523" s="22"/>
      <c r="AG1523" s="22"/>
      <c r="AH1523" s="22"/>
      <c r="AI1523" s="22"/>
    </row>
    <row r="1524" ht="15.75" customHeight="1">
      <c r="A1524" s="15" t="s">
        <v>1784</v>
      </c>
      <c r="B1524" s="19" t="s">
        <v>1013</v>
      </c>
      <c r="C1524" s="16"/>
      <c r="D1524" s="17"/>
      <c r="E1524" s="18"/>
      <c r="F1524" s="14"/>
      <c r="G1524" s="14"/>
      <c r="H1524" s="14"/>
      <c r="I1524" s="14"/>
      <c r="J1524" s="14"/>
      <c r="K1524" s="14"/>
      <c r="L1524" s="14">
        <v>2.0</v>
      </c>
      <c r="M1524" s="14">
        <v>1.0</v>
      </c>
      <c r="N1524" s="14"/>
      <c r="O1524" s="14"/>
      <c r="P1524" s="14">
        <v>1.0</v>
      </c>
      <c r="Q1524" s="19">
        <v>1.0</v>
      </c>
      <c r="R1524" s="14"/>
      <c r="S1524" s="19">
        <v>1.0</v>
      </c>
      <c r="T1524" s="14">
        <f t="shared" si="74"/>
        <v>6</v>
      </c>
      <c r="U1524" s="22"/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  <c r="AF1524" s="22"/>
      <c r="AG1524" s="22"/>
      <c r="AH1524" s="22"/>
      <c r="AI1524" s="22"/>
    </row>
    <row r="1525" ht="15.75" customHeight="1">
      <c r="A1525" s="17" t="s">
        <v>1785</v>
      </c>
      <c r="B1525" s="46" t="s">
        <v>763</v>
      </c>
      <c r="C1525" s="30" t="s">
        <v>1786</v>
      </c>
      <c r="D1525" s="17"/>
      <c r="E1525" s="18"/>
      <c r="F1525" s="1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33"/>
      <c r="T1525" s="34">
        <f t="shared" si="74"/>
        <v>0</v>
      </c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28"/>
      <c r="AE1525" s="28"/>
      <c r="AF1525" s="28"/>
      <c r="AG1525" s="28"/>
      <c r="AH1525" s="28"/>
      <c r="AI1525" s="28"/>
    </row>
    <row r="1526" ht="15.75" customHeight="1">
      <c r="A1526" s="17" t="s">
        <v>1787</v>
      </c>
      <c r="B1526" s="35"/>
      <c r="C1526" s="30" t="s">
        <v>1786</v>
      </c>
      <c r="D1526" s="17"/>
      <c r="E1526" s="18"/>
      <c r="F1526" s="1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35"/>
      <c r="T1526" s="35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28"/>
      <c r="AE1526" s="28"/>
      <c r="AF1526" s="28"/>
      <c r="AG1526" s="28"/>
      <c r="AH1526" s="28"/>
      <c r="AI1526" s="28"/>
    </row>
    <row r="1527" ht="15.75" customHeight="1">
      <c r="A1527" s="27" t="s">
        <v>1788</v>
      </c>
      <c r="B1527" s="17" t="s">
        <v>900</v>
      </c>
      <c r="C1527" s="25"/>
      <c r="D1527" s="17"/>
      <c r="E1527" s="18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14">
        <f t="shared" ref="T1527:T1557" si="75">SUM(I1527:S1527)</f>
        <v>0</v>
      </c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28"/>
      <c r="AE1527" s="28"/>
      <c r="AF1527" s="28"/>
      <c r="AG1527" s="28"/>
      <c r="AH1527" s="28"/>
      <c r="AI1527" s="28"/>
    </row>
    <row r="1528" ht="15.75" customHeight="1">
      <c r="A1528" s="45" t="s">
        <v>1789</v>
      </c>
      <c r="B1528" s="19" t="s">
        <v>778</v>
      </c>
      <c r="C1528" s="16"/>
      <c r="D1528" s="17"/>
      <c r="E1528" s="18"/>
      <c r="F1528" s="67"/>
      <c r="G1528" s="23" t="s">
        <v>1790</v>
      </c>
      <c r="H1528" s="14" t="s">
        <v>1791</v>
      </c>
      <c r="I1528" s="14"/>
      <c r="J1528" s="14"/>
      <c r="K1528" s="14"/>
      <c r="L1528" s="14">
        <v>13.0</v>
      </c>
      <c r="M1528" s="14">
        <v>7.0</v>
      </c>
      <c r="N1528" s="14">
        <v>6.0</v>
      </c>
      <c r="O1528" s="14">
        <v>1.0</v>
      </c>
      <c r="P1528" s="14">
        <v>4.0</v>
      </c>
      <c r="Q1528" s="14"/>
      <c r="R1528" s="19">
        <v>4.0</v>
      </c>
      <c r="S1528" s="19">
        <v>1.0</v>
      </c>
      <c r="T1528" s="14">
        <f t="shared" si="75"/>
        <v>36</v>
      </c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  <c r="AF1528" s="22"/>
      <c r="AG1528" s="22"/>
      <c r="AH1528" s="22"/>
      <c r="AI1528" s="22"/>
    </row>
    <row r="1529" ht="15.75" customHeight="1">
      <c r="A1529" s="49" t="s">
        <v>1792</v>
      </c>
      <c r="B1529" s="17" t="s">
        <v>778</v>
      </c>
      <c r="C1529" s="25"/>
      <c r="D1529" s="17"/>
      <c r="E1529" s="18"/>
      <c r="F1529" s="27"/>
      <c r="G1529" s="27"/>
      <c r="H1529" s="27"/>
      <c r="I1529" s="27"/>
      <c r="J1529" s="27"/>
      <c r="K1529" s="27"/>
      <c r="L1529" s="27">
        <v>2.0</v>
      </c>
      <c r="M1529" s="27">
        <v>4.0</v>
      </c>
      <c r="N1529" s="27">
        <v>1.0</v>
      </c>
      <c r="O1529" s="27"/>
      <c r="P1529" s="27">
        <v>1.0</v>
      </c>
      <c r="Q1529" s="27"/>
      <c r="R1529" s="27"/>
      <c r="S1529" s="27"/>
      <c r="T1529" s="14">
        <f t="shared" si="75"/>
        <v>8</v>
      </c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28"/>
      <c r="AE1529" s="28"/>
      <c r="AF1529" s="28"/>
      <c r="AG1529" s="28"/>
      <c r="AH1529" s="28"/>
      <c r="AI1529" s="28"/>
    </row>
    <row r="1530" ht="15.75" customHeight="1">
      <c r="A1530" s="45" t="s">
        <v>1793</v>
      </c>
      <c r="B1530" s="19" t="s">
        <v>778</v>
      </c>
      <c r="C1530" s="16"/>
      <c r="D1530" s="17"/>
      <c r="E1530" s="18"/>
      <c r="F1530" s="67"/>
      <c r="G1530" s="14"/>
      <c r="H1530" s="14"/>
      <c r="I1530" s="14"/>
      <c r="J1530" s="14"/>
      <c r="K1530" s="14"/>
      <c r="L1530" s="14">
        <v>9.0</v>
      </c>
      <c r="M1530" s="14">
        <v>4.0</v>
      </c>
      <c r="N1530" s="14">
        <v>3.0</v>
      </c>
      <c r="O1530" s="14"/>
      <c r="P1530" s="14"/>
      <c r="Q1530" s="14"/>
      <c r="R1530" s="19">
        <v>2.0</v>
      </c>
      <c r="S1530" s="19"/>
      <c r="T1530" s="14">
        <f t="shared" si="75"/>
        <v>18</v>
      </c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  <c r="AF1530" s="22"/>
      <c r="AG1530" s="22"/>
      <c r="AH1530" s="22"/>
      <c r="AI1530" s="22"/>
    </row>
    <row r="1531" ht="15.75" customHeight="1">
      <c r="A1531" s="135" t="s">
        <v>1794</v>
      </c>
      <c r="B1531" s="17" t="s">
        <v>778</v>
      </c>
      <c r="C1531" s="25"/>
      <c r="D1531" s="17"/>
      <c r="E1531" s="18"/>
      <c r="F1531" s="27"/>
      <c r="G1531" s="26"/>
      <c r="H1531" s="27"/>
      <c r="I1531" s="27"/>
      <c r="J1531" s="27"/>
      <c r="K1531" s="27"/>
      <c r="L1531" s="27"/>
      <c r="M1531" s="27">
        <v>2.0</v>
      </c>
      <c r="N1531" s="27">
        <v>1.0</v>
      </c>
      <c r="O1531" s="27">
        <v>1.0</v>
      </c>
      <c r="P1531" s="27"/>
      <c r="Q1531" s="27"/>
      <c r="R1531" s="27"/>
      <c r="S1531" s="27"/>
      <c r="T1531" s="14">
        <f t="shared" si="75"/>
        <v>4</v>
      </c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28"/>
      <c r="AE1531" s="28"/>
      <c r="AF1531" s="28"/>
      <c r="AG1531" s="28"/>
      <c r="AH1531" s="28"/>
      <c r="AI1531" s="28"/>
    </row>
    <row r="1532" ht="15.75" customHeight="1">
      <c r="A1532" s="45" t="s">
        <v>1795</v>
      </c>
      <c r="B1532" s="19" t="s">
        <v>778</v>
      </c>
      <c r="C1532" s="16"/>
      <c r="D1532" s="17"/>
      <c r="E1532" s="18"/>
      <c r="F1532" s="14"/>
      <c r="G1532" s="20"/>
      <c r="H1532" s="14"/>
      <c r="I1532" s="14"/>
      <c r="J1532" s="14"/>
      <c r="K1532" s="14"/>
      <c r="L1532" s="14"/>
      <c r="M1532" s="14"/>
      <c r="N1532" s="14">
        <v>1.0</v>
      </c>
      <c r="O1532" s="14"/>
      <c r="P1532" s="14"/>
      <c r="Q1532" s="14"/>
      <c r="R1532" s="14"/>
      <c r="S1532" s="14"/>
      <c r="T1532" s="14">
        <f t="shared" si="75"/>
        <v>1</v>
      </c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  <c r="AF1532" s="22"/>
      <c r="AG1532" s="22"/>
      <c r="AH1532" s="22"/>
      <c r="AI1532" s="22"/>
    </row>
    <row r="1533" ht="15.75" customHeight="1">
      <c r="A1533" s="49" t="s">
        <v>1796</v>
      </c>
      <c r="B1533" s="17" t="s">
        <v>778</v>
      </c>
      <c r="C1533" s="25"/>
      <c r="D1533" s="17"/>
      <c r="E1533" s="18"/>
      <c r="F1533" s="27"/>
      <c r="G1533" s="26"/>
      <c r="H1533" s="27"/>
      <c r="I1533" s="27"/>
      <c r="J1533" s="27"/>
      <c r="K1533" s="27"/>
      <c r="L1533" s="27">
        <v>1.0</v>
      </c>
      <c r="M1533" s="27">
        <v>4.0</v>
      </c>
      <c r="N1533" s="27">
        <v>3.0</v>
      </c>
      <c r="O1533" s="27"/>
      <c r="P1533" s="27"/>
      <c r="Q1533" s="27"/>
      <c r="R1533" s="27"/>
      <c r="S1533" s="27"/>
      <c r="T1533" s="14">
        <f t="shared" si="75"/>
        <v>8</v>
      </c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28"/>
      <c r="AE1533" s="28"/>
      <c r="AF1533" s="28"/>
      <c r="AG1533" s="28"/>
      <c r="AH1533" s="28"/>
      <c r="AI1533" s="28"/>
    </row>
    <row r="1534" ht="15.75" customHeight="1">
      <c r="A1534" s="45" t="s">
        <v>1797</v>
      </c>
      <c r="B1534" s="19" t="s">
        <v>778</v>
      </c>
      <c r="C1534" s="16"/>
      <c r="D1534" s="17"/>
      <c r="E1534" s="18"/>
      <c r="F1534" s="14"/>
      <c r="G1534" s="20"/>
      <c r="H1534" s="14"/>
      <c r="I1534" s="14"/>
      <c r="J1534" s="14"/>
      <c r="K1534" s="14"/>
      <c r="L1534" s="14"/>
      <c r="M1534" s="14"/>
      <c r="N1534" s="14"/>
      <c r="O1534" s="14">
        <v>1.0</v>
      </c>
      <c r="P1534" s="14"/>
      <c r="Q1534" s="14"/>
      <c r="R1534" s="14"/>
      <c r="S1534" s="14"/>
      <c r="T1534" s="14">
        <f t="shared" si="75"/>
        <v>1</v>
      </c>
      <c r="U1534" s="22"/>
      <c r="V1534" s="22"/>
      <c r="W1534" s="22"/>
      <c r="X1534" s="22"/>
      <c r="Y1534" s="22"/>
      <c r="Z1534" s="22"/>
      <c r="AA1534" s="22"/>
      <c r="AB1534" s="22"/>
      <c r="AC1534" s="22"/>
      <c r="AD1534" s="22"/>
      <c r="AE1534" s="22"/>
      <c r="AF1534" s="22"/>
      <c r="AG1534" s="22"/>
      <c r="AH1534" s="22"/>
      <c r="AI1534" s="22"/>
    </row>
    <row r="1535" ht="15.75" customHeight="1">
      <c r="A1535" s="27" t="s">
        <v>1798</v>
      </c>
      <c r="B1535" s="17" t="s">
        <v>778</v>
      </c>
      <c r="C1535" s="25"/>
      <c r="D1535" s="17"/>
      <c r="E1535" s="18"/>
      <c r="F1535" s="27"/>
      <c r="G1535" s="26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14">
        <f t="shared" si="75"/>
        <v>0</v>
      </c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28"/>
      <c r="AE1535" s="28"/>
      <c r="AF1535" s="28"/>
      <c r="AG1535" s="28"/>
      <c r="AH1535" s="28"/>
      <c r="AI1535" s="28"/>
    </row>
    <row r="1536" ht="15.75" customHeight="1">
      <c r="A1536" s="14" t="s">
        <v>1799</v>
      </c>
      <c r="B1536" s="19" t="s">
        <v>136</v>
      </c>
      <c r="C1536" s="16"/>
      <c r="D1536" s="17"/>
      <c r="E1536" s="18"/>
      <c r="F1536" s="14"/>
      <c r="G1536" s="20"/>
      <c r="H1536" s="14"/>
      <c r="I1536" s="14"/>
      <c r="J1536" s="14"/>
      <c r="K1536" s="14">
        <v>2.0</v>
      </c>
      <c r="L1536" s="14">
        <v>1.0</v>
      </c>
      <c r="M1536" s="14">
        <v>2.0</v>
      </c>
      <c r="N1536" s="14"/>
      <c r="O1536" s="14"/>
      <c r="P1536" s="14">
        <v>1.0</v>
      </c>
      <c r="Q1536" s="14"/>
      <c r="R1536" s="14"/>
      <c r="S1536" s="14"/>
      <c r="T1536" s="14">
        <f t="shared" si="75"/>
        <v>6</v>
      </c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  <c r="AF1536" s="22"/>
      <c r="AG1536" s="22"/>
      <c r="AH1536" s="22"/>
      <c r="AI1536" s="22"/>
    </row>
    <row r="1537" ht="15.75" customHeight="1">
      <c r="A1537" s="23" t="s">
        <v>1800</v>
      </c>
      <c r="B1537" s="17" t="s">
        <v>22</v>
      </c>
      <c r="C1537" s="25"/>
      <c r="D1537" s="17"/>
      <c r="E1537" s="18"/>
      <c r="F1537" s="27"/>
      <c r="G1537" s="26"/>
      <c r="H1537" s="27"/>
      <c r="I1537" s="27"/>
      <c r="J1537" s="27"/>
      <c r="K1537" s="27"/>
      <c r="L1537" s="27"/>
      <c r="M1537" s="27">
        <v>1.0</v>
      </c>
      <c r="N1537" s="27"/>
      <c r="O1537" s="27"/>
      <c r="P1537" s="27"/>
      <c r="Q1537" s="27"/>
      <c r="R1537" s="27"/>
      <c r="S1537" s="27"/>
      <c r="T1537" s="14">
        <f t="shared" si="75"/>
        <v>1</v>
      </c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28"/>
      <c r="AE1537" s="28"/>
      <c r="AF1537" s="28"/>
      <c r="AG1537" s="28"/>
      <c r="AH1537" s="28"/>
      <c r="AI1537" s="28"/>
    </row>
    <row r="1538" ht="15.75" customHeight="1">
      <c r="A1538" s="14" t="s">
        <v>1801</v>
      </c>
      <c r="B1538" s="19" t="s">
        <v>29</v>
      </c>
      <c r="C1538" s="16"/>
      <c r="D1538" s="17"/>
      <c r="E1538" s="18"/>
      <c r="F1538" s="14"/>
      <c r="G1538" s="20"/>
      <c r="H1538" s="14"/>
      <c r="I1538" s="14"/>
      <c r="J1538" s="14"/>
      <c r="K1538" s="14"/>
      <c r="L1538" s="14"/>
      <c r="M1538" s="14"/>
      <c r="N1538" s="14"/>
      <c r="O1538" s="14"/>
      <c r="P1538" s="14">
        <v>4.0</v>
      </c>
      <c r="Q1538" s="14"/>
      <c r="R1538" s="19">
        <v>1.0</v>
      </c>
      <c r="S1538" s="19">
        <v>1.0</v>
      </c>
      <c r="T1538" s="14">
        <f t="shared" si="75"/>
        <v>6</v>
      </c>
      <c r="U1538" s="22"/>
      <c r="V1538" s="22"/>
      <c r="W1538" s="22"/>
      <c r="X1538" s="22"/>
      <c r="Y1538" s="22"/>
      <c r="Z1538" s="22"/>
      <c r="AA1538" s="22"/>
      <c r="AB1538" s="22"/>
      <c r="AC1538" s="22"/>
      <c r="AD1538" s="22"/>
      <c r="AE1538" s="22"/>
      <c r="AF1538" s="22"/>
      <c r="AG1538" s="22"/>
      <c r="AH1538" s="22"/>
      <c r="AI1538" s="22"/>
    </row>
    <row r="1539" ht="15.75" customHeight="1">
      <c r="A1539" s="27" t="s">
        <v>1802</v>
      </c>
      <c r="B1539" s="17" t="s">
        <v>100</v>
      </c>
      <c r="C1539" s="25"/>
      <c r="D1539" s="17"/>
      <c r="E1539" s="18"/>
      <c r="F1539" s="27"/>
      <c r="G1539" s="26"/>
      <c r="H1539" s="27"/>
      <c r="I1539" s="27"/>
      <c r="J1539" s="27"/>
      <c r="K1539" s="27"/>
      <c r="L1539" s="27"/>
      <c r="M1539" s="27"/>
      <c r="N1539" s="27"/>
      <c r="O1539" s="27"/>
      <c r="P1539" s="27">
        <v>1.0</v>
      </c>
      <c r="Q1539" s="27"/>
      <c r="R1539" s="27"/>
      <c r="S1539" s="27"/>
      <c r="T1539" s="14">
        <f t="shared" si="75"/>
        <v>1</v>
      </c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28"/>
      <c r="AE1539" s="28"/>
      <c r="AF1539" s="28"/>
      <c r="AG1539" s="28"/>
      <c r="AH1539" s="28"/>
      <c r="AI1539" s="28"/>
    </row>
    <row r="1540" ht="15.75" customHeight="1">
      <c r="A1540" s="14" t="s">
        <v>1803</v>
      </c>
      <c r="B1540" s="19" t="s">
        <v>370</v>
      </c>
      <c r="C1540" s="16"/>
      <c r="D1540" s="17"/>
      <c r="E1540" s="18"/>
      <c r="F1540" s="14"/>
      <c r="G1540" s="20"/>
      <c r="H1540" s="14"/>
      <c r="I1540" s="14"/>
      <c r="J1540" s="14">
        <v>2.0</v>
      </c>
      <c r="K1540" s="14"/>
      <c r="L1540" s="14"/>
      <c r="M1540" s="14"/>
      <c r="N1540" s="14">
        <v>1.0</v>
      </c>
      <c r="O1540" s="14">
        <v>1.0</v>
      </c>
      <c r="P1540" s="14"/>
      <c r="Q1540" s="14"/>
      <c r="R1540" s="14"/>
      <c r="S1540" s="19">
        <v>1.0</v>
      </c>
      <c r="T1540" s="14">
        <f t="shared" si="75"/>
        <v>5</v>
      </c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  <c r="AF1540" s="22"/>
      <c r="AG1540" s="22"/>
      <c r="AH1540" s="22"/>
      <c r="AI1540" s="22"/>
    </row>
    <row r="1541" ht="15.75" customHeight="1">
      <c r="A1541" s="27" t="s">
        <v>1804</v>
      </c>
      <c r="B1541" s="17" t="s">
        <v>562</v>
      </c>
      <c r="C1541" s="25"/>
      <c r="D1541" s="17"/>
      <c r="E1541" s="18"/>
      <c r="F1541" s="27"/>
      <c r="G1541" s="27"/>
      <c r="H1541" s="27"/>
      <c r="I1541" s="27"/>
      <c r="J1541" s="27"/>
      <c r="K1541" s="27"/>
      <c r="L1541" s="27"/>
      <c r="M1541" s="27">
        <v>1.0</v>
      </c>
      <c r="N1541" s="27"/>
      <c r="O1541" s="27">
        <v>1.0</v>
      </c>
      <c r="P1541" s="27"/>
      <c r="Q1541" s="27"/>
      <c r="R1541" s="27"/>
      <c r="S1541" s="27"/>
      <c r="T1541" s="14">
        <f t="shared" si="75"/>
        <v>2</v>
      </c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28"/>
      <c r="AE1541" s="28"/>
      <c r="AF1541" s="28"/>
      <c r="AG1541" s="28"/>
      <c r="AH1541" s="28"/>
      <c r="AI1541" s="28"/>
    </row>
    <row r="1542" ht="15.75" customHeight="1">
      <c r="A1542" s="14" t="s">
        <v>1805</v>
      </c>
      <c r="B1542" s="14" t="s">
        <v>38</v>
      </c>
      <c r="C1542" s="16"/>
      <c r="D1542" s="17"/>
      <c r="E1542" s="18"/>
      <c r="F1542" s="14"/>
      <c r="G1542" s="14"/>
      <c r="H1542" s="14"/>
      <c r="I1542" s="14"/>
      <c r="J1542" s="14"/>
      <c r="K1542" s="14"/>
      <c r="L1542" s="14"/>
      <c r="M1542" s="14">
        <v>2.0</v>
      </c>
      <c r="N1542" s="14">
        <v>7.0</v>
      </c>
      <c r="O1542" s="14"/>
      <c r="P1542" s="14"/>
      <c r="Q1542" s="14"/>
      <c r="R1542" s="14"/>
      <c r="S1542" s="14"/>
      <c r="T1542" s="14">
        <f t="shared" si="75"/>
        <v>9</v>
      </c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F1542" s="22"/>
      <c r="AG1542" s="22"/>
      <c r="AH1542" s="22"/>
      <c r="AI1542" s="22"/>
    </row>
    <row r="1543" ht="15.75" customHeight="1">
      <c r="A1543" s="27" t="s">
        <v>1806</v>
      </c>
      <c r="B1543" s="27" t="s">
        <v>21</v>
      </c>
      <c r="C1543" s="25"/>
      <c r="D1543" s="17"/>
      <c r="E1543" s="18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>
        <v>1.0</v>
      </c>
      <c r="P1543" s="27">
        <v>1.0</v>
      </c>
      <c r="Q1543" s="27"/>
      <c r="R1543" s="27"/>
      <c r="S1543" s="27"/>
      <c r="T1543" s="14">
        <f t="shared" si="75"/>
        <v>2</v>
      </c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28"/>
      <c r="AE1543" s="28"/>
      <c r="AF1543" s="28"/>
      <c r="AG1543" s="28"/>
      <c r="AH1543" s="28"/>
      <c r="AI1543" s="28"/>
    </row>
    <row r="1544" ht="15.75" customHeight="1">
      <c r="A1544" s="14" t="s">
        <v>1807</v>
      </c>
      <c r="B1544" s="19" t="s">
        <v>204</v>
      </c>
      <c r="C1544" s="16"/>
      <c r="D1544" s="17"/>
      <c r="E1544" s="18"/>
      <c r="F1544" s="14"/>
      <c r="G1544" s="14" t="s">
        <v>40</v>
      </c>
      <c r="H1544" s="14" t="s">
        <v>485</v>
      </c>
      <c r="I1544" s="14"/>
      <c r="J1544" s="14">
        <v>3.0</v>
      </c>
      <c r="K1544" s="14"/>
      <c r="L1544" s="14"/>
      <c r="M1544" s="14"/>
      <c r="N1544" s="14">
        <v>2.0</v>
      </c>
      <c r="O1544" s="14"/>
      <c r="P1544" s="14">
        <v>1.0</v>
      </c>
      <c r="Q1544" s="19"/>
      <c r="R1544" s="14"/>
      <c r="S1544" s="14"/>
      <c r="T1544" s="14">
        <f t="shared" si="75"/>
        <v>6</v>
      </c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  <c r="AF1544" s="22"/>
      <c r="AG1544" s="22"/>
      <c r="AH1544" s="22"/>
      <c r="AI1544" s="22"/>
    </row>
    <row r="1545" ht="15.75" customHeight="1">
      <c r="A1545" s="27" t="s">
        <v>1808</v>
      </c>
      <c r="B1545" s="17" t="s">
        <v>286</v>
      </c>
      <c r="C1545" s="25"/>
      <c r="D1545" s="17"/>
      <c r="E1545" s="18"/>
      <c r="F1545" s="27"/>
      <c r="G1545" s="27" t="s">
        <v>40</v>
      </c>
      <c r="H1545" s="27" t="s">
        <v>116</v>
      </c>
      <c r="I1545" s="27">
        <v>3.0</v>
      </c>
      <c r="J1545" s="27">
        <v>3.0</v>
      </c>
      <c r="K1545" s="27">
        <v>1.0</v>
      </c>
      <c r="L1545" s="27">
        <v>3.0</v>
      </c>
      <c r="M1545" s="27">
        <v>4.0</v>
      </c>
      <c r="N1545" s="27"/>
      <c r="O1545" s="27">
        <v>3.0</v>
      </c>
      <c r="P1545" s="27">
        <v>3.0</v>
      </c>
      <c r="Q1545" s="17">
        <v>2.0</v>
      </c>
      <c r="R1545" s="17">
        <v>2.0</v>
      </c>
      <c r="S1545" s="17"/>
      <c r="T1545" s="14">
        <f t="shared" si="75"/>
        <v>24</v>
      </c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28"/>
      <c r="AE1545" s="28"/>
      <c r="AF1545" s="28"/>
      <c r="AG1545" s="28"/>
      <c r="AH1545" s="28"/>
      <c r="AI1545" s="28"/>
    </row>
    <row r="1546" ht="15.75" customHeight="1">
      <c r="A1546" s="14" t="s">
        <v>1809</v>
      </c>
      <c r="B1546" s="19" t="s">
        <v>286</v>
      </c>
      <c r="C1546" s="16"/>
      <c r="D1546" s="17"/>
      <c r="E1546" s="18"/>
      <c r="F1546" s="14"/>
      <c r="G1546" s="20"/>
      <c r="H1546" s="14"/>
      <c r="I1546" s="14"/>
      <c r="J1546" s="14">
        <v>1.0</v>
      </c>
      <c r="K1546" s="14"/>
      <c r="L1546" s="14">
        <v>2.0</v>
      </c>
      <c r="M1546" s="14">
        <v>2.0</v>
      </c>
      <c r="N1546" s="14">
        <v>2.0</v>
      </c>
      <c r="O1546" s="14">
        <v>1.0</v>
      </c>
      <c r="P1546" s="14">
        <v>2.0</v>
      </c>
      <c r="Q1546" s="19">
        <v>2.0</v>
      </c>
      <c r="R1546" s="14"/>
      <c r="S1546" s="14"/>
      <c r="T1546" s="14">
        <f t="shared" si="75"/>
        <v>12</v>
      </c>
      <c r="U1546" s="22"/>
      <c r="V1546" s="22"/>
      <c r="W1546" s="22"/>
      <c r="X1546" s="22"/>
      <c r="Y1546" s="22"/>
      <c r="Z1546" s="22"/>
      <c r="AA1546" s="22"/>
      <c r="AB1546" s="22"/>
      <c r="AC1546" s="22"/>
      <c r="AD1546" s="22"/>
      <c r="AE1546" s="22"/>
      <c r="AF1546" s="22"/>
      <c r="AG1546" s="22"/>
      <c r="AH1546" s="22"/>
      <c r="AI1546" s="22"/>
    </row>
    <row r="1547" ht="15.75" customHeight="1">
      <c r="A1547" s="17" t="s">
        <v>1810</v>
      </c>
      <c r="B1547" s="37" t="s">
        <v>286</v>
      </c>
      <c r="C1547" s="59"/>
      <c r="D1547" s="17"/>
      <c r="E1547" s="48"/>
      <c r="F1547" s="49"/>
      <c r="G1547" s="27"/>
      <c r="H1547" s="27"/>
      <c r="I1547" s="27"/>
      <c r="J1547" s="27"/>
      <c r="K1547" s="27"/>
      <c r="L1547" s="27">
        <v>1.0</v>
      </c>
      <c r="M1547" s="27">
        <v>3.0</v>
      </c>
      <c r="N1547" s="27">
        <v>3.0</v>
      </c>
      <c r="O1547" s="27">
        <v>2.0</v>
      </c>
      <c r="P1547" s="27"/>
      <c r="Q1547" s="17">
        <v>1.0</v>
      </c>
      <c r="R1547" s="17">
        <v>3.0</v>
      </c>
      <c r="S1547" s="17"/>
      <c r="T1547" s="14">
        <f t="shared" si="75"/>
        <v>13</v>
      </c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28"/>
      <c r="AE1547" s="28"/>
      <c r="AF1547" s="28"/>
      <c r="AG1547" s="28"/>
      <c r="AH1547" s="28"/>
      <c r="AI1547" s="28"/>
    </row>
    <row r="1548" ht="15.75" customHeight="1">
      <c r="A1548" s="14" t="s">
        <v>1811</v>
      </c>
      <c r="B1548" s="19" t="s">
        <v>279</v>
      </c>
      <c r="C1548" s="60"/>
      <c r="D1548" s="17"/>
      <c r="E1548" s="18"/>
      <c r="F1548" s="45"/>
      <c r="G1548" s="14" t="s">
        <v>40</v>
      </c>
      <c r="H1548" s="14" t="s">
        <v>116</v>
      </c>
      <c r="I1548" s="14">
        <v>1.0</v>
      </c>
      <c r="J1548" s="14">
        <v>4.0</v>
      </c>
      <c r="K1548" s="14">
        <v>3.0</v>
      </c>
      <c r="L1548" s="14">
        <v>1.0</v>
      </c>
      <c r="M1548" s="14">
        <v>3.0</v>
      </c>
      <c r="N1548" s="14">
        <v>4.0</v>
      </c>
      <c r="O1548" s="14">
        <v>1.0</v>
      </c>
      <c r="P1548" s="14"/>
      <c r="Q1548" s="14"/>
      <c r="R1548" s="14"/>
      <c r="S1548" s="19">
        <v>1.0</v>
      </c>
      <c r="T1548" s="14">
        <f t="shared" si="75"/>
        <v>18</v>
      </c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  <c r="AF1548" s="22"/>
      <c r="AG1548" s="22"/>
      <c r="AH1548" s="22"/>
      <c r="AI1548" s="22"/>
    </row>
    <row r="1549" ht="15.75" customHeight="1">
      <c r="A1549" s="27" t="s">
        <v>1812</v>
      </c>
      <c r="B1549" s="37" t="s">
        <v>279</v>
      </c>
      <c r="C1549" s="59"/>
      <c r="D1549" s="17"/>
      <c r="E1549" s="18"/>
      <c r="F1549" s="49"/>
      <c r="G1549" s="27" t="s">
        <v>40</v>
      </c>
      <c r="H1549" s="27" t="s">
        <v>1813</v>
      </c>
      <c r="I1549" s="27">
        <v>1.0</v>
      </c>
      <c r="J1549" s="27">
        <v>2.0</v>
      </c>
      <c r="K1549" s="27">
        <v>4.0</v>
      </c>
      <c r="L1549" s="27"/>
      <c r="M1549" s="27">
        <v>3.0</v>
      </c>
      <c r="N1549" s="27">
        <v>1.0</v>
      </c>
      <c r="O1549" s="27"/>
      <c r="P1549" s="27"/>
      <c r="Q1549" s="27"/>
      <c r="R1549" s="27"/>
      <c r="S1549" s="17">
        <v>1.0</v>
      </c>
      <c r="T1549" s="14">
        <f t="shared" si="75"/>
        <v>12</v>
      </c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28"/>
      <c r="AE1549" s="28"/>
      <c r="AF1549" s="28"/>
      <c r="AG1549" s="28"/>
      <c r="AH1549" s="28"/>
      <c r="AI1549" s="28"/>
    </row>
    <row r="1550" ht="15.75" customHeight="1">
      <c r="A1550" s="14" t="s">
        <v>1814</v>
      </c>
      <c r="B1550" s="19" t="s">
        <v>279</v>
      </c>
      <c r="C1550" s="60"/>
      <c r="D1550" s="17"/>
      <c r="E1550" s="18"/>
      <c r="F1550" s="45"/>
      <c r="G1550" s="14" t="s">
        <v>40</v>
      </c>
      <c r="H1550" s="14" t="s">
        <v>1813</v>
      </c>
      <c r="I1550" s="14"/>
      <c r="J1550" s="14">
        <v>2.0</v>
      </c>
      <c r="K1550" s="14">
        <v>4.0</v>
      </c>
      <c r="L1550" s="14">
        <v>1.0</v>
      </c>
      <c r="M1550" s="14">
        <v>2.0</v>
      </c>
      <c r="N1550" s="14">
        <v>5.0</v>
      </c>
      <c r="O1550" s="14"/>
      <c r="P1550" s="14">
        <v>1.0</v>
      </c>
      <c r="Q1550" s="14"/>
      <c r="R1550" s="19">
        <v>1.0</v>
      </c>
      <c r="S1550" s="19">
        <v>1.0</v>
      </c>
      <c r="T1550" s="14">
        <f t="shared" si="75"/>
        <v>17</v>
      </c>
      <c r="U1550" s="22"/>
      <c r="V1550" s="22"/>
      <c r="W1550" s="22"/>
      <c r="X1550" s="22"/>
      <c r="Y1550" s="22"/>
      <c r="Z1550" s="22"/>
      <c r="AA1550" s="22"/>
      <c r="AB1550" s="22"/>
      <c r="AC1550" s="22"/>
      <c r="AD1550" s="22"/>
      <c r="AE1550" s="22"/>
      <c r="AF1550" s="22"/>
      <c r="AG1550" s="22"/>
      <c r="AH1550" s="22"/>
      <c r="AI1550" s="22"/>
    </row>
    <row r="1551" ht="15.75" customHeight="1">
      <c r="A1551" s="27" t="s">
        <v>1815</v>
      </c>
      <c r="B1551" s="17" t="s">
        <v>900</v>
      </c>
      <c r="C1551" s="25"/>
      <c r="D1551" s="17"/>
      <c r="E1551" s="18"/>
      <c r="F1551" s="27"/>
      <c r="G1551" s="26"/>
      <c r="H1551" s="27"/>
      <c r="I1551" s="27"/>
      <c r="J1551" s="27"/>
      <c r="K1551" s="27"/>
      <c r="L1551" s="27"/>
      <c r="M1551" s="27"/>
      <c r="N1551" s="27"/>
      <c r="O1551" s="27"/>
      <c r="P1551" s="27">
        <v>1.0</v>
      </c>
      <c r="Q1551" s="27"/>
      <c r="R1551" s="27"/>
      <c r="S1551" s="27"/>
      <c r="T1551" s="14">
        <f t="shared" si="75"/>
        <v>1</v>
      </c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28"/>
      <c r="AE1551" s="28"/>
      <c r="AF1551" s="28"/>
      <c r="AG1551" s="28"/>
      <c r="AH1551" s="28"/>
      <c r="AI1551" s="28"/>
    </row>
    <row r="1552" ht="15.75" customHeight="1">
      <c r="A1552" s="14" t="s">
        <v>1816</v>
      </c>
      <c r="B1552" s="45" t="s">
        <v>46</v>
      </c>
      <c r="C1552" s="60"/>
      <c r="D1552" s="17"/>
      <c r="E1552" s="18"/>
      <c r="F1552" s="45"/>
      <c r="G1552" s="20"/>
      <c r="H1552" s="14"/>
      <c r="I1552" s="14"/>
      <c r="J1552" s="14"/>
      <c r="K1552" s="14">
        <v>2.0</v>
      </c>
      <c r="L1552" s="14"/>
      <c r="M1552" s="14">
        <v>1.0</v>
      </c>
      <c r="N1552" s="14">
        <v>1.0</v>
      </c>
      <c r="O1552" s="14">
        <v>1.0</v>
      </c>
      <c r="P1552" s="14"/>
      <c r="Q1552" s="14"/>
      <c r="R1552" s="14"/>
      <c r="S1552" s="14"/>
      <c r="T1552" s="14">
        <f t="shared" si="75"/>
        <v>5</v>
      </c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  <c r="AF1552" s="22"/>
      <c r="AG1552" s="22"/>
      <c r="AH1552" s="22"/>
      <c r="AI1552" s="22"/>
    </row>
    <row r="1553" ht="15.75" customHeight="1">
      <c r="A1553" s="27" t="s">
        <v>1817</v>
      </c>
      <c r="B1553" s="17" t="s">
        <v>65</v>
      </c>
      <c r="C1553" s="25"/>
      <c r="D1553" s="17"/>
      <c r="E1553" s="18"/>
      <c r="F1553" s="27"/>
      <c r="G1553" s="27"/>
      <c r="H1553" s="51"/>
      <c r="I1553" s="27"/>
      <c r="J1553" s="27"/>
      <c r="K1553" s="27"/>
      <c r="L1553" s="27"/>
      <c r="M1553" s="27"/>
      <c r="N1553" s="27">
        <v>1.0</v>
      </c>
      <c r="O1553" s="27"/>
      <c r="P1553" s="27"/>
      <c r="Q1553" s="27"/>
      <c r="R1553" s="27"/>
      <c r="S1553" s="27"/>
      <c r="T1553" s="14">
        <f t="shared" si="75"/>
        <v>1</v>
      </c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28"/>
      <c r="AE1553" s="28"/>
      <c r="AF1553" s="28"/>
      <c r="AG1553" s="28"/>
      <c r="AH1553" s="28"/>
      <c r="AI1553" s="28"/>
    </row>
    <row r="1554" ht="15.75" customHeight="1">
      <c r="A1554" s="14" t="s">
        <v>1818</v>
      </c>
      <c r="B1554" s="19" t="s">
        <v>258</v>
      </c>
      <c r="C1554" s="16"/>
      <c r="D1554" s="17"/>
      <c r="E1554" s="18"/>
      <c r="F1554" s="14"/>
      <c r="G1554" s="14" t="s">
        <v>40</v>
      </c>
      <c r="H1554" s="67">
        <v>42692.0</v>
      </c>
      <c r="I1554" s="14"/>
      <c r="J1554" s="14"/>
      <c r="K1554" s="14"/>
      <c r="L1554" s="14">
        <v>1.0</v>
      </c>
      <c r="M1554" s="14">
        <v>1.0</v>
      </c>
      <c r="N1554" s="14"/>
      <c r="O1554" s="14"/>
      <c r="P1554" s="14">
        <v>1.0</v>
      </c>
      <c r="Q1554" s="14"/>
      <c r="R1554" s="14"/>
      <c r="S1554" s="14"/>
      <c r="T1554" s="14">
        <f t="shared" si="75"/>
        <v>3</v>
      </c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2"/>
    </row>
    <row r="1555" ht="15.75" customHeight="1">
      <c r="A1555" s="14" t="s">
        <v>1819</v>
      </c>
      <c r="B1555" s="17" t="s">
        <v>291</v>
      </c>
      <c r="C1555" s="25"/>
      <c r="D1555" s="17"/>
      <c r="E1555" s="18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17"/>
      <c r="R1555" s="17">
        <v>1.0</v>
      </c>
      <c r="S1555" s="17"/>
      <c r="T1555" s="14">
        <f t="shared" si="75"/>
        <v>1</v>
      </c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28"/>
      <c r="AE1555" s="28"/>
      <c r="AF1555" s="28"/>
      <c r="AG1555" s="28"/>
      <c r="AH1555" s="28"/>
      <c r="AI1555" s="28"/>
    </row>
    <row r="1556" ht="15.75" customHeight="1">
      <c r="A1556" s="28" t="s">
        <v>1820</v>
      </c>
      <c r="B1556" s="17" t="s">
        <v>214</v>
      </c>
      <c r="C1556" s="25"/>
      <c r="D1556" s="17" t="s">
        <v>946</v>
      </c>
      <c r="E1556" s="18">
        <v>45939.0</v>
      </c>
      <c r="F1556" s="27"/>
      <c r="G1556" s="27"/>
      <c r="H1556" s="27"/>
      <c r="I1556" s="27"/>
      <c r="J1556" s="27"/>
      <c r="K1556" s="27"/>
      <c r="L1556" s="27"/>
      <c r="M1556" s="27">
        <v>4.0</v>
      </c>
      <c r="N1556" s="27">
        <v>11.0</v>
      </c>
      <c r="O1556" s="27">
        <v>2.0</v>
      </c>
      <c r="P1556" s="27">
        <v>4.0</v>
      </c>
      <c r="Q1556" s="17">
        <v>2.0</v>
      </c>
      <c r="R1556" s="17">
        <v>1.0</v>
      </c>
      <c r="S1556" s="17">
        <v>2.0</v>
      </c>
      <c r="T1556" s="14">
        <f t="shared" si="75"/>
        <v>26</v>
      </c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28"/>
      <c r="AE1556" s="28"/>
      <c r="AF1556" s="28"/>
      <c r="AG1556" s="28"/>
      <c r="AH1556" s="28"/>
      <c r="AI1556" s="28"/>
    </row>
    <row r="1557" ht="15.75" customHeight="1">
      <c r="A1557" s="45" t="s">
        <v>1821</v>
      </c>
      <c r="B1557" s="40" t="s">
        <v>152</v>
      </c>
      <c r="C1557" s="16"/>
      <c r="D1557" s="17"/>
      <c r="E1557" s="18"/>
      <c r="F1557" s="14"/>
      <c r="G1557" s="14"/>
      <c r="H1557" s="14"/>
      <c r="I1557" s="14"/>
      <c r="J1557" s="14"/>
      <c r="K1557" s="14"/>
      <c r="L1557" s="34">
        <v>1.0</v>
      </c>
      <c r="M1557" s="34"/>
      <c r="N1557" s="34"/>
      <c r="O1557" s="34">
        <v>1.0</v>
      </c>
      <c r="P1557" s="34"/>
      <c r="Q1557" s="34"/>
      <c r="R1557" s="34"/>
      <c r="S1557" s="34"/>
      <c r="T1557" s="34">
        <f t="shared" si="75"/>
        <v>2</v>
      </c>
      <c r="U1557" s="22"/>
      <c r="V1557" s="22"/>
      <c r="W1557" s="22"/>
      <c r="X1557" s="22"/>
      <c r="Y1557" s="22"/>
      <c r="Z1557" s="22"/>
      <c r="AA1557" s="22"/>
      <c r="AB1557" s="22"/>
      <c r="AC1557" s="22"/>
      <c r="AD1557" s="22"/>
      <c r="AE1557" s="22"/>
      <c r="AF1557" s="22"/>
      <c r="AG1557" s="22"/>
      <c r="AH1557" s="22"/>
      <c r="AI1557" s="22"/>
    </row>
    <row r="1558" ht="15.75" customHeight="1">
      <c r="A1558" s="49" t="s">
        <v>1822</v>
      </c>
      <c r="B1558" s="35"/>
      <c r="C1558" s="25"/>
      <c r="D1558" s="17"/>
      <c r="E1558" s="18"/>
      <c r="F1558" s="27"/>
      <c r="G1558" s="27"/>
      <c r="H1558" s="27"/>
      <c r="I1558" s="27"/>
      <c r="J1558" s="27"/>
      <c r="K1558" s="27"/>
      <c r="L1558" s="35"/>
      <c r="M1558" s="35"/>
      <c r="N1558" s="35"/>
      <c r="O1558" s="35"/>
      <c r="P1558" s="35"/>
      <c r="Q1558" s="41"/>
      <c r="R1558" s="41"/>
      <c r="S1558" s="41"/>
      <c r="T1558" s="35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28"/>
      <c r="AE1558" s="28"/>
      <c r="AF1558" s="28"/>
      <c r="AG1558" s="28"/>
      <c r="AH1558" s="28"/>
      <c r="AI1558" s="28"/>
    </row>
    <row r="1559" ht="15.75" customHeight="1">
      <c r="A1559" s="14" t="s">
        <v>1823</v>
      </c>
      <c r="B1559" s="19" t="s">
        <v>129</v>
      </c>
      <c r="C1559" s="16"/>
      <c r="D1559" s="17"/>
      <c r="E1559" s="18"/>
      <c r="F1559" s="14"/>
      <c r="G1559" s="14"/>
      <c r="H1559" s="14"/>
      <c r="I1559" s="14"/>
      <c r="J1559" s="14"/>
      <c r="K1559" s="14">
        <v>1.0</v>
      </c>
      <c r="L1559" s="14"/>
      <c r="M1559" s="14"/>
      <c r="N1559" s="14"/>
      <c r="O1559" s="14"/>
      <c r="P1559" s="14"/>
      <c r="Q1559" s="14"/>
      <c r="R1559" s="14"/>
      <c r="S1559" s="14"/>
      <c r="T1559" s="14">
        <f t="shared" ref="T1559:T1618" si="76">SUM(I1559:S1559)</f>
        <v>1</v>
      </c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  <c r="AF1559" s="22"/>
      <c r="AG1559" s="22"/>
      <c r="AH1559" s="22"/>
      <c r="AI1559" s="22"/>
    </row>
    <row r="1560" ht="15.75" customHeight="1">
      <c r="A1560" s="14" t="s">
        <v>1824</v>
      </c>
      <c r="B1560" s="19" t="s">
        <v>562</v>
      </c>
      <c r="C1560" s="16"/>
      <c r="D1560" s="17"/>
      <c r="E1560" s="18"/>
      <c r="F1560" s="14"/>
      <c r="G1560" s="14"/>
      <c r="H1560" s="14"/>
      <c r="I1560" s="14"/>
      <c r="J1560" s="14"/>
      <c r="K1560" s="14"/>
      <c r="L1560" s="14"/>
      <c r="M1560" s="14">
        <v>3.0</v>
      </c>
      <c r="N1560" s="14"/>
      <c r="O1560" s="14">
        <v>1.0</v>
      </c>
      <c r="P1560" s="14"/>
      <c r="Q1560" s="14"/>
      <c r="R1560" s="14"/>
      <c r="S1560" s="14"/>
      <c r="T1560" s="14">
        <f t="shared" si="76"/>
        <v>4</v>
      </c>
      <c r="U1560" s="22"/>
      <c r="V1560" s="22"/>
      <c r="W1560" s="22"/>
      <c r="X1560" s="22"/>
      <c r="Y1560" s="22"/>
      <c r="Z1560" s="22"/>
      <c r="AA1560" s="22"/>
      <c r="AB1560" s="22"/>
      <c r="AC1560" s="22"/>
      <c r="AD1560" s="22"/>
      <c r="AE1560" s="22"/>
      <c r="AF1560" s="22"/>
      <c r="AG1560" s="22"/>
      <c r="AH1560" s="22"/>
      <c r="AI1560" s="22"/>
    </row>
    <row r="1561" ht="15.75" customHeight="1">
      <c r="A1561" s="27" t="s">
        <v>1825</v>
      </c>
      <c r="B1561" s="27" t="s">
        <v>25</v>
      </c>
      <c r="C1561" s="25"/>
      <c r="D1561" s="17"/>
      <c r="E1561" s="18"/>
      <c r="F1561" s="27"/>
      <c r="G1561" s="27"/>
      <c r="H1561" s="27"/>
      <c r="I1561" s="27"/>
      <c r="J1561" s="27"/>
      <c r="K1561" s="27">
        <v>1.0</v>
      </c>
      <c r="L1561" s="27"/>
      <c r="M1561" s="27">
        <v>1.0</v>
      </c>
      <c r="N1561" s="27"/>
      <c r="O1561" s="27"/>
      <c r="P1561" s="27"/>
      <c r="Q1561" s="27"/>
      <c r="R1561" s="27"/>
      <c r="S1561" s="27"/>
      <c r="T1561" s="14">
        <f t="shared" si="76"/>
        <v>2</v>
      </c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28"/>
      <c r="AE1561" s="28"/>
      <c r="AF1561" s="28"/>
      <c r="AG1561" s="28"/>
      <c r="AH1561" s="28"/>
      <c r="AI1561" s="28"/>
    </row>
    <row r="1562" ht="15.75" customHeight="1">
      <c r="A1562" s="14" t="s">
        <v>1826</v>
      </c>
      <c r="B1562" s="19" t="s">
        <v>62</v>
      </c>
      <c r="C1562" s="16"/>
      <c r="D1562" s="17"/>
      <c r="E1562" s="18"/>
      <c r="F1562" s="14"/>
      <c r="G1562" s="14" t="s">
        <v>40</v>
      </c>
      <c r="H1562" s="14" t="s">
        <v>1827</v>
      </c>
      <c r="I1562" s="14"/>
      <c r="J1562" s="14">
        <v>2.0</v>
      </c>
      <c r="K1562" s="14">
        <v>1.0</v>
      </c>
      <c r="L1562" s="14"/>
      <c r="M1562" s="14">
        <v>1.0</v>
      </c>
      <c r="N1562" s="14"/>
      <c r="O1562" s="14"/>
      <c r="P1562" s="14"/>
      <c r="Q1562" s="14"/>
      <c r="R1562" s="14"/>
      <c r="S1562" s="14"/>
      <c r="T1562" s="14">
        <f t="shared" si="76"/>
        <v>4</v>
      </c>
      <c r="U1562" s="22"/>
      <c r="V1562" s="22"/>
      <c r="W1562" s="22"/>
      <c r="X1562" s="22"/>
      <c r="Y1562" s="22"/>
      <c r="Z1562" s="22"/>
      <c r="AA1562" s="22"/>
      <c r="AB1562" s="22"/>
      <c r="AC1562" s="22"/>
      <c r="AD1562" s="22"/>
      <c r="AE1562" s="22"/>
      <c r="AF1562" s="22"/>
      <c r="AG1562" s="22"/>
      <c r="AH1562" s="22"/>
      <c r="AI1562" s="22"/>
    </row>
    <row r="1563" ht="15.75" customHeight="1">
      <c r="A1563" s="19" t="s">
        <v>1828</v>
      </c>
      <c r="B1563" s="19" t="s">
        <v>143</v>
      </c>
      <c r="C1563" s="24" t="s">
        <v>400</v>
      </c>
      <c r="D1563" s="17"/>
      <c r="E1563" s="18"/>
      <c r="F1563" s="19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9">
        <v>5.0</v>
      </c>
      <c r="T1563" s="14">
        <f t="shared" si="76"/>
        <v>5</v>
      </c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  <c r="AF1563" s="22"/>
      <c r="AG1563" s="22"/>
      <c r="AH1563" s="22"/>
      <c r="AI1563" s="22"/>
    </row>
    <row r="1564" ht="15.75" customHeight="1">
      <c r="A1564" s="27" t="s">
        <v>1829</v>
      </c>
      <c r="B1564" s="17" t="s">
        <v>535</v>
      </c>
      <c r="C1564" s="25"/>
      <c r="D1564" s="17"/>
      <c r="E1564" s="18"/>
      <c r="F1564" s="27"/>
      <c r="G1564" s="27"/>
      <c r="H1564" s="27"/>
      <c r="I1564" s="27"/>
      <c r="J1564" s="27"/>
      <c r="K1564" s="27"/>
      <c r="L1564" s="27">
        <v>2.0</v>
      </c>
      <c r="M1564" s="27"/>
      <c r="N1564" s="27"/>
      <c r="O1564" s="27"/>
      <c r="P1564" s="27"/>
      <c r="Q1564" s="27"/>
      <c r="R1564" s="27"/>
      <c r="S1564" s="27"/>
      <c r="T1564" s="14">
        <f t="shared" si="76"/>
        <v>2</v>
      </c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28"/>
      <c r="AE1564" s="28"/>
      <c r="AF1564" s="28"/>
      <c r="AG1564" s="28"/>
      <c r="AH1564" s="28"/>
      <c r="AI1564" s="28"/>
    </row>
    <row r="1565" ht="15.75" customHeight="1">
      <c r="A1565" s="17" t="s">
        <v>1830</v>
      </c>
      <c r="B1565" s="17" t="s">
        <v>149</v>
      </c>
      <c r="C1565" s="30" t="s">
        <v>150</v>
      </c>
      <c r="D1565" s="17"/>
      <c r="E1565" s="18"/>
      <c r="F1565" s="1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17">
        <v>5.0</v>
      </c>
      <c r="T1565" s="14">
        <f t="shared" si="76"/>
        <v>5</v>
      </c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28"/>
      <c r="AE1565" s="28"/>
      <c r="AF1565" s="28"/>
      <c r="AG1565" s="28"/>
      <c r="AH1565" s="28"/>
      <c r="AI1565" s="28"/>
    </row>
    <row r="1566" ht="15.75" customHeight="1">
      <c r="A1566" s="19" t="s">
        <v>1831</v>
      </c>
      <c r="B1566" s="19" t="s">
        <v>62</v>
      </c>
      <c r="C1566" s="16"/>
      <c r="D1566" s="17"/>
      <c r="E1566" s="18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>
        <f t="shared" si="76"/>
        <v>0</v>
      </c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F1566" s="22"/>
      <c r="AG1566" s="22"/>
      <c r="AH1566" s="22"/>
      <c r="AI1566" s="22"/>
    </row>
    <row r="1567" ht="15.75" customHeight="1">
      <c r="A1567" s="14" t="s">
        <v>1832</v>
      </c>
      <c r="B1567" s="19" t="s">
        <v>182</v>
      </c>
      <c r="C1567" s="16"/>
      <c r="D1567" s="17"/>
      <c r="E1567" s="48"/>
      <c r="F1567" s="14"/>
      <c r="G1567" s="14"/>
      <c r="H1567" s="14"/>
      <c r="I1567" s="14"/>
      <c r="J1567" s="14"/>
      <c r="K1567" s="14"/>
      <c r="L1567" s="14"/>
      <c r="M1567" s="14"/>
      <c r="N1567" s="14">
        <v>2.0</v>
      </c>
      <c r="O1567" s="14">
        <v>1.0</v>
      </c>
      <c r="P1567" s="14"/>
      <c r="Q1567" s="19">
        <v>2.0</v>
      </c>
      <c r="R1567" s="14"/>
      <c r="S1567" s="19">
        <v>1.0</v>
      </c>
      <c r="T1567" s="14">
        <f t="shared" si="76"/>
        <v>6</v>
      </c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  <c r="AF1567" s="22"/>
      <c r="AG1567" s="22"/>
      <c r="AH1567" s="22"/>
      <c r="AI1567" s="22"/>
    </row>
    <row r="1568" ht="15.75" customHeight="1">
      <c r="A1568" s="27" t="s">
        <v>1833</v>
      </c>
      <c r="B1568" s="17" t="s">
        <v>225</v>
      </c>
      <c r="C1568" s="25"/>
      <c r="D1568" s="17"/>
      <c r="E1568" s="18"/>
      <c r="F1568" s="27"/>
      <c r="G1568" s="27"/>
      <c r="H1568" s="27"/>
      <c r="I1568" s="27"/>
      <c r="J1568" s="27"/>
      <c r="K1568" s="27">
        <v>2.0</v>
      </c>
      <c r="L1568" s="27"/>
      <c r="M1568" s="27">
        <v>1.0</v>
      </c>
      <c r="N1568" s="27"/>
      <c r="O1568" s="27">
        <v>2.0</v>
      </c>
      <c r="P1568" s="27"/>
      <c r="Q1568" s="17">
        <v>1.0</v>
      </c>
      <c r="R1568" s="27"/>
      <c r="S1568" s="17">
        <v>1.0</v>
      </c>
      <c r="T1568" s="14">
        <f t="shared" si="76"/>
        <v>7</v>
      </c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28"/>
      <c r="AE1568" s="28"/>
      <c r="AF1568" s="28"/>
      <c r="AG1568" s="28"/>
      <c r="AH1568" s="28"/>
      <c r="AI1568" s="28"/>
    </row>
    <row r="1569" ht="15.75" customHeight="1">
      <c r="A1569" s="14" t="s">
        <v>1834</v>
      </c>
      <c r="B1569" s="19" t="s">
        <v>386</v>
      </c>
      <c r="C1569" s="16"/>
      <c r="D1569" s="17"/>
      <c r="E1569" s="18"/>
      <c r="F1569" s="14"/>
      <c r="G1569" s="23" t="s">
        <v>1835</v>
      </c>
      <c r="H1569" s="14"/>
      <c r="I1569" s="14"/>
      <c r="J1569" s="14"/>
      <c r="K1569" s="14"/>
      <c r="L1569" s="14"/>
      <c r="M1569" s="14"/>
      <c r="N1569" s="14">
        <v>9.0</v>
      </c>
      <c r="O1569" s="14">
        <v>4.0</v>
      </c>
      <c r="P1569" s="14">
        <v>5.0</v>
      </c>
      <c r="Q1569" s="19">
        <v>1.0</v>
      </c>
      <c r="R1569" s="14"/>
      <c r="S1569" s="19">
        <v>1.0</v>
      </c>
      <c r="T1569" s="14">
        <f t="shared" si="76"/>
        <v>20</v>
      </c>
      <c r="U1569" s="22"/>
      <c r="V1569" s="22"/>
      <c r="W1569" s="22"/>
      <c r="X1569" s="22"/>
      <c r="Y1569" s="22"/>
      <c r="Z1569" s="22"/>
      <c r="AA1569" s="22"/>
      <c r="AB1569" s="22"/>
      <c r="AC1569" s="22"/>
      <c r="AD1569" s="22"/>
      <c r="AE1569" s="22"/>
      <c r="AF1569" s="22"/>
      <c r="AG1569" s="22"/>
      <c r="AH1569" s="22"/>
      <c r="AI1569" s="22"/>
    </row>
    <row r="1570" ht="15.75" customHeight="1">
      <c r="A1570" s="27" t="s">
        <v>1836</v>
      </c>
      <c r="B1570" s="17" t="s">
        <v>155</v>
      </c>
      <c r="C1570" s="25"/>
      <c r="D1570" s="17"/>
      <c r="E1570" s="17"/>
      <c r="F1570" s="27"/>
      <c r="G1570" s="26"/>
      <c r="H1570" s="27"/>
      <c r="I1570" s="27"/>
      <c r="J1570" s="27"/>
      <c r="K1570" s="27"/>
      <c r="L1570" s="27"/>
      <c r="M1570" s="27"/>
      <c r="N1570" s="27"/>
      <c r="O1570" s="27">
        <v>1.0</v>
      </c>
      <c r="P1570" s="27"/>
      <c r="Q1570" s="27"/>
      <c r="R1570" s="27"/>
      <c r="S1570" s="27"/>
      <c r="T1570" s="14">
        <f t="shared" si="76"/>
        <v>1</v>
      </c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28"/>
      <c r="AE1570" s="28"/>
      <c r="AF1570" s="28"/>
      <c r="AG1570" s="28"/>
      <c r="AH1570" s="28"/>
      <c r="AI1570" s="28"/>
    </row>
    <row r="1571" ht="15.75" customHeight="1">
      <c r="A1571" s="19" t="s">
        <v>1837</v>
      </c>
      <c r="B1571" s="19" t="s">
        <v>169</v>
      </c>
      <c r="C1571" s="16"/>
      <c r="D1571" s="47"/>
      <c r="E1571" s="48"/>
      <c r="F1571" s="67"/>
      <c r="G1571" s="20"/>
      <c r="H1571" s="14"/>
      <c r="I1571" s="14"/>
      <c r="J1571" s="14"/>
      <c r="K1571" s="14"/>
      <c r="L1571" s="14"/>
      <c r="M1571" s="14"/>
      <c r="N1571" s="14"/>
      <c r="O1571" s="14"/>
      <c r="P1571" s="14"/>
      <c r="Q1571" s="19">
        <v>1.0</v>
      </c>
      <c r="R1571" s="17">
        <v>1.0</v>
      </c>
      <c r="S1571" s="17">
        <v>1.0</v>
      </c>
      <c r="T1571" s="14">
        <f t="shared" si="76"/>
        <v>3</v>
      </c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  <c r="AF1571" s="22"/>
      <c r="AG1571" s="22"/>
      <c r="AH1571" s="22"/>
      <c r="AI1571" s="22"/>
    </row>
    <row r="1572" ht="15.75" customHeight="1">
      <c r="A1572" s="14" t="s">
        <v>1838</v>
      </c>
      <c r="B1572" s="19" t="s">
        <v>535</v>
      </c>
      <c r="C1572" s="16"/>
      <c r="D1572" s="47"/>
      <c r="E1572" s="18"/>
      <c r="F1572" s="67"/>
      <c r="G1572" s="20"/>
      <c r="H1572" s="14"/>
      <c r="I1572" s="14">
        <v>3.0</v>
      </c>
      <c r="J1572" s="14">
        <v>3.0</v>
      </c>
      <c r="K1572" s="14"/>
      <c r="L1572" s="14">
        <v>1.0</v>
      </c>
      <c r="M1572" s="14">
        <v>1.0</v>
      </c>
      <c r="N1572" s="14">
        <v>1.0</v>
      </c>
      <c r="O1572" s="14"/>
      <c r="P1572" s="14"/>
      <c r="Q1572" s="19">
        <v>1.0</v>
      </c>
      <c r="R1572" s="14"/>
      <c r="S1572" s="14"/>
      <c r="T1572" s="14">
        <f t="shared" si="76"/>
        <v>10</v>
      </c>
      <c r="U1572" s="22"/>
      <c r="V1572" s="22"/>
      <c r="W1572" s="22"/>
      <c r="X1572" s="22"/>
      <c r="Y1572" s="22"/>
      <c r="Z1572" s="22"/>
      <c r="AA1572" s="22"/>
      <c r="AB1572" s="22"/>
      <c r="AC1572" s="22"/>
      <c r="AD1572" s="22"/>
      <c r="AE1572" s="22"/>
      <c r="AF1572" s="22"/>
      <c r="AG1572" s="22"/>
      <c r="AH1572" s="22"/>
      <c r="AI1572" s="22"/>
    </row>
    <row r="1573" ht="15.75" customHeight="1">
      <c r="A1573" s="19" t="s">
        <v>1839</v>
      </c>
      <c r="B1573" s="19" t="s">
        <v>21</v>
      </c>
      <c r="C1573" s="24" t="s">
        <v>1096</v>
      </c>
      <c r="D1573" s="17"/>
      <c r="E1573" s="18"/>
      <c r="F1573" s="19"/>
      <c r="G1573" s="19" t="s">
        <v>40</v>
      </c>
      <c r="H1573" s="90">
        <v>45882.0</v>
      </c>
      <c r="I1573" s="14"/>
      <c r="J1573" s="14"/>
      <c r="K1573" s="14"/>
      <c r="L1573" s="14"/>
      <c r="M1573" s="14"/>
      <c r="N1573" s="14"/>
      <c r="O1573" s="14"/>
      <c r="P1573" s="14"/>
      <c r="Q1573" s="19"/>
      <c r="R1573" s="19">
        <v>5.0</v>
      </c>
      <c r="S1573" s="19">
        <v>3.0</v>
      </c>
      <c r="T1573" s="14">
        <f t="shared" si="76"/>
        <v>8</v>
      </c>
      <c r="U1573" s="22"/>
      <c r="V1573" s="22"/>
      <c r="W1573" s="22"/>
      <c r="X1573" s="22"/>
      <c r="Y1573" s="22"/>
      <c r="Z1573" s="22"/>
      <c r="AA1573" s="22"/>
      <c r="AB1573" s="22"/>
      <c r="AC1573" s="22"/>
      <c r="AD1573" s="22"/>
      <c r="AE1573" s="22"/>
      <c r="AF1573" s="22"/>
      <c r="AG1573" s="22"/>
      <c r="AH1573" s="22"/>
      <c r="AI1573" s="22"/>
    </row>
    <row r="1574" ht="15.75" customHeight="1">
      <c r="A1574" s="27" t="s">
        <v>1840</v>
      </c>
      <c r="B1574" s="17" t="s">
        <v>65</v>
      </c>
      <c r="C1574" s="25"/>
      <c r="D1574" s="17"/>
      <c r="E1574" s="18"/>
      <c r="F1574" s="27"/>
      <c r="G1574" s="27"/>
      <c r="H1574" s="27"/>
      <c r="I1574" s="27"/>
      <c r="J1574" s="27"/>
      <c r="K1574" s="27"/>
      <c r="L1574" s="27"/>
      <c r="M1574" s="27"/>
      <c r="N1574" s="27">
        <v>2.0</v>
      </c>
      <c r="O1574" s="27"/>
      <c r="P1574" s="27"/>
      <c r="Q1574" s="27"/>
      <c r="R1574" s="27"/>
      <c r="S1574" s="27"/>
      <c r="T1574" s="14">
        <f t="shared" si="76"/>
        <v>2</v>
      </c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28"/>
      <c r="AE1574" s="28"/>
      <c r="AF1574" s="28"/>
      <c r="AG1574" s="28"/>
      <c r="AH1574" s="28"/>
      <c r="AI1574" s="28"/>
    </row>
    <row r="1575" ht="15.75" customHeight="1">
      <c r="A1575" s="14" t="s">
        <v>1841</v>
      </c>
      <c r="B1575" s="19" t="s">
        <v>198</v>
      </c>
      <c r="C1575" s="16"/>
      <c r="D1575" s="17"/>
      <c r="E1575" s="18"/>
      <c r="F1575" s="14"/>
      <c r="G1575" s="14" t="s">
        <v>40</v>
      </c>
      <c r="H1575" s="14"/>
      <c r="I1575" s="14"/>
      <c r="J1575" s="14"/>
      <c r="K1575" s="14"/>
      <c r="L1575" s="14">
        <v>1.0</v>
      </c>
      <c r="M1575" s="14">
        <v>1.0</v>
      </c>
      <c r="N1575" s="14"/>
      <c r="O1575" s="14"/>
      <c r="P1575" s="14"/>
      <c r="Q1575" s="19">
        <v>1.0</v>
      </c>
      <c r="R1575" s="19">
        <v>1.0</v>
      </c>
      <c r="S1575" s="19"/>
      <c r="T1575" s="14">
        <f t="shared" si="76"/>
        <v>4</v>
      </c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F1575" s="22"/>
      <c r="AG1575" s="22"/>
      <c r="AH1575" s="22"/>
      <c r="AI1575" s="22"/>
    </row>
    <row r="1576" ht="15.75" customHeight="1">
      <c r="A1576" s="27" t="s">
        <v>1842</v>
      </c>
      <c r="B1576" s="17" t="s">
        <v>209</v>
      </c>
      <c r="C1576" s="25"/>
      <c r="D1576" s="17"/>
      <c r="E1576" s="18"/>
      <c r="F1576" s="27"/>
      <c r="G1576" s="26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14">
        <f t="shared" si="76"/>
        <v>0</v>
      </c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28"/>
      <c r="AE1576" s="28"/>
      <c r="AF1576" s="28"/>
      <c r="AG1576" s="28"/>
      <c r="AH1576" s="28"/>
      <c r="AI1576" s="28"/>
    </row>
    <row r="1577" ht="15.75" customHeight="1">
      <c r="A1577" s="14" t="s">
        <v>1843</v>
      </c>
      <c r="B1577" s="19" t="s">
        <v>125</v>
      </c>
      <c r="C1577" s="16"/>
      <c r="D1577" s="17"/>
      <c r="E1577" s="18"/>
      <c r="F1577" s="14"/>
      <c r="G1577" s="20"/>
      <c r="H1577" s="14"/>
      <c r="I1577" s="14">
        <v>1.0</v>
      </c>
      <c r="J1577" s="14">
        <v>5.0</v>
      </c>
      <c r="K1577" s="14">
        <v>1.0</v>
      </c>
      <c r="L1577" s="14"/>
      <c r="M1577" s="14">
        <v>2.0</v>
      </c>
      <c r="N1577" s="14">
        <v>2.0</v>
      </c>
      <c r="O1577" s="14">
        <v>3.0</v>
      </c>
      <c r="P1577" s="14">
        <v>4.0</v>
      </c>
      <c r="Q1577" s="14"/>
      <c r="R1577" s="19">
        <v>1.0</v>
      </c>
      <c r="S1577" s="19">
        <v>1.0</v>
      </c>
      <c r="T1577" s="14">
        <f t="shared" si="76"/>
        <v>20</v>
      </c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  <c r="AF1577" s="22"/>
      <c r="AG1577" s="22"/>
      <c r="AH1577" s="22"/>
      <c r="AI1577" s="22"/>
    </row>
    <row r="1578" ht="15.75" customHeight="1">
      <c r="A1578" s="17" t="s">
        <v>1844</v>
      </c>
      <c r="B1578" s="17" t="s">
        <v>42</v>
      </c>
      <c r="C1578" s="25"/>
      <c r="D1578" s="17"/>
      <c r="E1578" s="18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14"/>
      <c r="S1578" s="14"/>
      <c r="T1578" s="14">
        <f t="shared" si="76"/>
        <v>0</v>
      </c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28"/>
      <c r="AE1578" s="28"/>
      <c r="AF1578" s="28"/>
      <c r="AG1578" s="28"/>
      <c r="AH1578" s="28"/>
      <c r="AI1578" s="28"/>
    </row>
    <row r="1579" ht="15.75" customHeight="1">
      <c r="A1579" s="17" t="s">
        <v>1845</v>
      </c>
      <c r="B1579" s="17" t="s">
        <v>157</v>
      </c>
      <c r="C1579" s="30" t="s">
        <v>1625</v>
      </c>
      <c r="D1579" s="17"/>
      <c r="E1579" s="18"/>
      <c r="F1579" s="1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19">
        <v>7.0</v>
      </c>
      <c r="S1579" s="19">
        <v>3.0</v>
      </c>
      <c r="T1579" s="14">
        <f t="shared" si="76"/>
        <v>10</v>
      </c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28"/>
      <c r="AE1579" s="28"/>
      <c r="AF1579" s="28"/>
      <c r="AG1579" s="28"/>
      <c r="AH1579" s="28"/>
      <c r="AI1579" s="28"/>
    </row>
    <row r="1580" ht="15.75" customHeight="1">
      <c r="A1580" s="27" t="s">
        <v>1846</v>
      </c>
      <c r="B1580" s="17" t="s">
        <v>1271</v>
      </c>
      <c r="C1580" s="25"/>
      <c r="D1580" s="17"/>
      <c r="E1580" s="18"/>
      <c r="F1580" s="27"/>
      <c r="G1580" s="27"/>
      <c r="H1580" s="27"/>
      <c r="I1580" s="27"/>
      <c r="J1580" s="27"/>
      <c r="K1580" s="27"/>
      <c r="L1580" s="27">
        <v>1.0</v>
      </c>
      <c r="M1580" s="27"/>
      <c r="N1580" s="27">
        <v>1.0</v>
      </c>
      <c r="O1580" s="27">
        <v>2.0</v>
      </c>
      <c r="P1580" s="27"/>
      <c r="Q1580" s="27"/>
      <c r="R1580" s="27"/>
      <c r="S1580" s="27"/>
      <c r="T1580" s="14">
        <f t="shared" si="76"/>
        <v>4</v>
      </c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28"/>
      <c r="AE1580" s="28"/>
      <c r="AF1580" s="28"/>
      <c r="AG1580" s="28"/>
      <c r="AH1580" s="28"/>
      <c r="AI1580" s="28"/>
    </row>
    <row r="1581" ht="15.75" customHeight="1">
      <c r="A1581" s="14" t="s">
        <v>1847</v>
      </c>
      <c r="B1581" s="19" t="s">
        <v>87</v>
      </c>
      <c r="C1581" s="16"/>
      <c r="D1581" s="17"/>
      <c r="E1581" s="18"/>
      <c r="F1581" s="14"/>
      <c r="G1581" s="20"/>
      <c r="H1581" s="14"/>
      <c r="I1581" s="14"/>
      <c r="J1581" s="14">
        <v>3.0</v>
      </c>
      <c r="K1581" s="14">
        <v>3.0</v>
      </c>
      <c r="L1581" s="14"/>
      <c r="M1581" s="14"/>
      <c r="N1581" s="14"/>
      <c r="O1581" s="14">
        <v>4.0</v>
      </c>
      <c r="P1581" s="14">
        <v>1.0</v>
      </c>
      <c r="Q1581" s="14"/>
      <c r="R1581" s="19">
        <v>2.0</v>
      </c>
      <c r="S1581" s="19">
        <v>3.0</v>
      </c>
      <c r="T1581" s="14">
        <f t="shared" si="76"/>
        <v>16</v>
      </c>
      <c r="U1581" s="22"/>
      <c r="V1581" s="22"/>
      <c r="W1581" s="22"/>
      <c r="X1581" s="22"/>
      <c r="Y1581" s="22"/>
      <c r="Z1581" s="22"/>
      <c r="AA1581" s="22"/>
      <c r="AB1581" s="22"/>
      <c r="AC1581" s="22"/>
      <c r="AD1581" s="22"/>
      <c r="AE1581" s="22"/>
      <c r="AF1581" s="22"/>
      <c r="AG1581" s="22"/>
      <c r="AH1581" s="22"/>
      <c r="AI1581" s="22"/>
    </row>
    <row r="1582" ht="15.75" customHeight="1">
      <c r="A1582" s="17" t="s">
        <v>1848</v>
      </c>
      <c r="B1582" s="17" t="s">
        <v>129</v>
      </c>
      <c r="C1582" s="25"/>
      <c r="D1582" s="17"/>
      <c r="E1582" s="18"/>
      <c r="F1582" s="27"/>
      <c r="G1582" s="26"/>
      <c r="H1582" s="27"/>
      <c r="I1582" s="27"/>
      <c r="J1582" s="27"/>
      <c r="K1582" s="27"/>
      <c r="L1582" s="27"/>
      <c r="M1582" s="27"/>
      <c r="N1582" s="27"/>
      <c r="O1582" s="27"/>
      <c r="P1582" s="27"/>
      <c r="Q1582" s="17">
        <v>2.0</v>
      </c>
      <c r="R1582" s="19">
        <v>1.0</v>
      </c>
      <c r="S1582" s="19">
        <v>2.0</v>
      </c>
      <c r="T1582" s="14">
        <f t="shared" si="76"/>
        <v>5</v>
      </c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28"/>
      <c r="AE1582" s="28"/>
      <c r="AF1582" s="28"/>
      <c r="AG1582" s="28"/>
      <c r="AH1582" s="28"/>
      <c r="AI1582" s="28"/>
    </row>
    <row r="1583" ht="15.75" customHeight="1">
      <c r="A1583" s="17" t="s">
        <v>1849</v>
      </c>
      <c r="B1583" s="17" t="s">
        <v>189</v>
      </c>
      <c r="C1583" s="25"/>
      <c r="D1583" s="17"/>
      <c r="E1583" s="18"/>
      <c r="F1583" s="27"/>
      <c r="G1583" s="26"/>
      <c r="H1583" s="27"/>
      <c r="I1583" s="27"/>
      <c r="J1583" s="27">
        <v>1.0</v>
      </c>
      <c r="K1583" s="27"/>
      <c r="L1583" s="27"/>
      <c r="M1583" s="27">
        <v>1.0</v>
      </c>
      <c r="N1583" s="27">
        <v>2.0</v>
      </c>
      <c r="O1583" s="27">
        <v>4.0</v>
      </c>
      <c r="P1583" s="27">
        <v>1.0</v>
      </c>
      <c r="Q1583" s="27"/>
      <c r="R1583" s="17">
        <v>2.0</v>
      </c>
      <c r="S1583" s="17">
        <v>2.0</v>
      </c>
      <c r="T1583" s="14">
        <f t="shared" si="76"/>
        <v>13</v>
      </c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28"/>
      <c r="AE1583" s="28"/>
      <c r="AF1583" s="28"/>
      <c r="AG1583" s="28"/>
      <c r="AH1583" s="28"/>
      <c r="AI1583" s="28"/>
    </row>
    <row r="1584" ht="15.75" customHeight="1">
      <c r="A1584" s="14" t="s">
        <v>1850</v>
      </c>
      <c r="B1584" s="19" t="s">
        <v>361</v>
      </c>
      <c r="C1584" s="16"/>
      <c r="D1584" s="17"/>
      <c r="E1584" s="18"/>
      <c r="F1584" s="14"/>
      <c r="G1584" s="20"/>
      <c r="H1584" s="14"/>
      <c r="I1584" s="14"/>
      <c r="J1584" s="14">
        <v>4.0</v>
      </c>
      <c r="K1584" s="14">
        <v>2.0</v>
      </c>
      <c r="L1584" s="14">
        <v>1.0</v>
      </c>
      <c r="M1584" s="14">
        <v>1.0</v>
      </c>
      <c r="N1584" s="14">
        <v>3.0</v>
      </c>
      <c r="O1584" s="14"/>
      <c r="P1584" s="14">
        <v>1.0</v>
      </c>
      <c r="Q1584" s="14"/>
      <c r="R1584" s="14"/>
      <c r="S1584" s="14"/>
      <c r="T1584" s="14">
        <f t="shared" si="76"/>
        <v>12</v>
      </c>
      <c r="U1584" s="22"/>
      <c r="V1584" s="22"/>
      <c r="W1584" s="22"/>
      <c r="X1584" s="22"/>
      <c r="Y1584" s="22"/>
      <c r="Z1584" s="22"/>
      <c r="AA1584" s="22"/>
      <c r="AB1584" s="22"/>
      <c r="AC1584" s="22"/>
      <c r="AD1584" s="22"/>
      <c r="AE1584" s="22"/>
      <c r="AF1584" s="22"/>
      <c r="AG1584" s="22"/>
      <c r="AH1584" s="22"/>
      <c r="AI1584" s="22"/>
    </row>
    <row r="1585" ht="15.75" customHeight="1">
      <c r="A1585" s="27" t="s">
        <v>1851</v>
      </c>
      <c r="B1585" s="27" t="s">
        <v>42</v>
      </c>
      <c r="C1585" s="25"/>
      <c r="D1585" s="17"/>
      <c r="E1585" s="18"/>
      <c r="F1585" s="27"/>
      <c r="G1585" s="26"/>
      <c r="H1585" s="27"/>
      <c r="I1585" s="27"/>
      <c r="J1585" s="27"/>
      <c r="K1585" s="27"/>
      <c r="L1585" s="27">
        <v>1.0</v>
      </c>
      <c r="M1585" s="27"/>
      <c r="N1585" s="27">
        <v>1.0</v>
      </c>
      <c r="O1585" s="27"/>
      <c r="P1585" s="27"/>
      <c r="Q1585" s="27"/>
      <c r="R1585" s="27"/>
      <c r="S1585" s="27"/>
      <c r="T1585" s="14">
        <f t="shared" si="76"/>
        <v>2</v>
      </c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28"/>
      <c r="AE1585" s="28"/>
      <c r="AF1585" s="28"/>
      <c r="AG1585" s="28"/>
      <c r="AH1585" s="28"/>
      <c r="AI1585" s="28"/>
    </row>
    <row r="1586" ht="15.75" customHeight="1">
      <c r="A1586" s="14" t="s">
        <v>1852</v>
      </c>
      <c r="B1586" s="15" t="s">
        <v>160</v>
      </c>
      <c r="C1586" s="60"/>
      <c r="D1586" s="17"/>
      <c r="E1586" s="18"/>
      <c r="F1586" s="45"/>
      <c r="G1586" s="20"/>
      <c r="H1586" s="14"/>
      <c r="I1586" s="14"/>
      <c r="J1586" s="14"/>
      <c r="K1586" s="14"/>
      <c r="L1586" s="14"/>
      <c r="M1586" s="14"/>
      <c r="N1586" s="14">
        <v>3.0</v>
      </c>
      <c r="O1586" s="14">
        <v>1.0</v>
      </c>
      <c r="P1586" s="14"/>
      <c r="Q1586" s="14"/>
      <c r="R1586" s="14"/>
      <c r="S1586" s="14"/>
      <c r="T1586" s="14">
        <f t="shared" si="76"/>
        <v>4</v>
      </c>
      <c r="U1586" s="22"/>
      <c r="V1586" s="22"/>
      <c r="W1586" s="22"/>
      <c r="X1586" s="22"/>
      <c r="Y1586" s="22"/>
      <c r="Z1586" s="22"/>
      <c r="AA1586" s="22"/>
      <c r="AB1586" s="22"/>
      <c r="AC1586" s="22"/>
      <c r="AD1586" s="22"/>
      <c r="AE1586" s="22"/>
      <c r="AF1586" s="22"/>
      <c r="AG1586" s="22"/>
      <c r="AH1586" s="22"/>
      <c r="AI1586" s="22"/>
    </row>
    <row r="1587" ht="15.75" customHeight="1">
      <c r="A1587" s="27" t="s">
        <v>1853</v>
      </c>
      <c r="B1587" s="37" t="s">
        <v>234</v>
      </c>
      <c r="C1587" s="59"/>
      <c r="D1587" s="17"/>
      <c r="E1587" s="18"/>
      <c r="F1587" s="49"/>
      <c r="G1587" s="26"/>
      <c r="H1587" s="27"/>
      <c r="I1587" s="27"/>
      <c r="J1587" s="27"/>
      <c r="K1587" s="27"/>
      <c r="L1587" s="27"/>
      <c r="M1587" s="27"/>
      <c r="N1587" s="27">
        <v>1.0</v>
      </c>
      <c r="O1587" s="27"/>
      <c r="P1587" s="27"/>
      <c r="Q1587" s="27"/>
      <c r="R1587" s="27"/>
      <c r="S1587" s="27"/>
      <c r="T1587" s="14">
        <f t="shared" si="76"/>
        <v>1</v>
      </c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28"/>
      <c r="AE1587" s="28"/>
      <c r="AF1587" s="28"/>
      <c r="AG1587" s="28"/>
      <c r="AH1587" s="28"/>
      <c r="AI1587" s="28"/>
    </row>
    <row r="1588" ht="15.75" customHeight="1">
      <c r="A1588" s="14" t="s">
        <v>1854</v>
      </c>
      <c r="B1588" s="19" t="s">
        <v>65</v>
      </c>
      <c r="C1588" s="60"/>
      <c r="D1588" s="17"/>
      <c r="E1588" s="18"/>
      <c r="F1588" s="45"/>
      <c r="G1588" s="20"/>
      <c r="H1588" s="14"/>
      <c r="I1588" s="14">
        <v>1.0</v>
      </c>
      <c r="J1588" s="14">
        <v>1.0</v>
      </c>
      <c r="K1588" s="14">
        <v>2.0</v>
      </c>
      <c r="L1588" s="14"/>
      <c r="M1588" s="14">
        <v>1.0</v>
      </c>
      <c r="N1588" s="14"/>
      <c r="O1588" s="14"/>
      <c r="P1588" s="14">
        <v>2.0</v>
      </c>
      <c r="Q1588" s="14"/>
      <c r="R1588" s="14"/>
      <c r="S1588" s="14"/>
      <c r="T1588" s="14">
        <f t="shared" si="76"/>
        <v>7</v>
      </c>
      <c r="U1588" s="22"/>
      <c r="V1588" s="22"/>
      <c r="W1588" s="22"/>
      <c r="X1588" s="22"/>
      <c r="Y1588" s="22"/>
      <c r="Z1588" s="22"/>
      <c r="AA1588" s="22"/>
      <c r="AB1588" s="22"/>
      <c r="AC1588" s="22"/>
      <c r="AD1588" s="22"/>
      <c r="AE1588" s="22"/>
      <c r="AF1588" s="22"/>
      <c r="AG1588" s="22"/>
      <c r="AH1588" s="22"/>
      <c r="AI1588" s="22"/>
    </row>
    <row r="1589" ht="15.75" customHeight="1">
      <c r="A1589" s="27" t="s">
        <v>1855</v>
      </c>
      <c r="B1589" s="17" t="s">
        <v>580</v>
      </c>
      <c r="C1589" s="25"/>
      <c r="D1589" s="17"/>
      <c r="E1589" s="18"/>
      <c r="F1589" s="27"/>
      <c r="G1589" s="27" t="s">
        <v>40</v>
      </c>
      <c r="H1589" s="27" t="s">
        <v>1856</v>
      </c>
      <c r="I1589" s="27"/>
      <c r="J1589" s="27">
        <v>1.0</v>
      </c>
      <c r="K1589" s="27"/>
      <c r="L1589" s="27">
        <v>1.0</v>
      </c>
      <c r="M1589" s="27"/>
      <c r="N1589" s="27">
        <v>2.0</v>
      </c>
      <c r="O1589" s="27"/>
      <c r="P1589" s="27"/>
      <c r="Q1589" s="27"/>
      <c r="R1589" s="27"/>
      <c r="S1589" s="27"/>
      <c r="T1589" s="14">
        <f t="shared" si="76"/>
        <v>4</v>
      </c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28"/>
      <c r="AE1589" s="28"/>
      <c r="AF1589" s="28"/>
      <c r="AG1589" s="28"/>
      <c r="AH1589" s="28"/>
      <c r="AI1589" s="28"/>
    </row>
    <row r="1590" ht="15.75" customHeight="1">
      <c r="A1590" s="14" t="s">
        <v>1857</v>
      </c>
      <c r="B1590" s="19" t="s">
        <v>65</v>
      </c>
      <c r="C1590" s="16"/>
      <c r="D1590" s="17"/>
      <c r="E1590" s="18"/>
      <c r="F1590" s="14"/>
      <c r="G1590" s="23" t="s">
        <v>1858</v>
      </c>
      <c r="H1590" s="52"/>
      <c r="I1590" s="14"/>
      <c r="J1590" s="14"/>
      <c r="K1590" s="14"/>
      <c r="L1590" s="14"/>
      <c r="M1590" s="14"/>
      <c r="N1590" s="14"/>
      <c r="O1590" s="14">
        <v>3.0</v>
      </c>
      <c r="P1590" s="14">
        <v>2.0</v>
      </c>
      <c r="Q1590" s="14"/>
      <c r="R1590" s="19">
        <v>1.0</v>
      </c>
      <c r="S1590" s="19"/>
      <c r="T1590" s="14">
        <f t="shared" si="76"/>
        <v>6</v>
      </c>
      <c r="U1590" s="22"/>
      <c r="V1590" s="22"/>
      <c r="W1590" s="22"/>
      <c r="X1590" s="22"/>
      <c r="Y1590" s="22"/>
      <c r="Z1590" s="22"/>
      <c r="AA1590" s="22"/>
      <c r="AB1590" s="22"/>
      <c r="AC1590" s="22"/>
      <c r="AD1590" s="22"/>
      <c r="AE1590" s="22"/>
      <c r="AF1590" s="22"/>
      <c r="AG1590" s="22"/>
      <c r="AH1590" s="22"/>
      <c r="AI1590" s="22"/>
    </row>
    <row r="1591" ht="15.75" customHeight="1">
      <c r="A1591" s="27" t="s">
        <v>1859</v>
      </c>
      <c r="B1591" s="17" t="s">
        <v>21</v>
      </c>
      <c r="C1591" s="25"/>
      <c r="D1591" s="47"/>
      <c r="E1591" s="18"/>
      <c r="F1591" s="27"/>
      <c r="G1591" s="27" t="s">
        <v>40</v>
      </c>
      <c r="H1591" s="27" t="s">
        <v>280</v>
      </c>
      <c r="I1591" s="27"/>
      <c r="J1591" s="27"/>
      <c r="K1591" s="27">
        <v>2.0</v>
      </c>
      <c r="L1591" s="27">
        <v>1.0</v>
      </c>
      <c r="M1591" s="27">
        <v>1.0</v>
      </c>
      <c r="N1591" s="27">
        <v>1.0</v>
      </c>
      <c r="O1591" s="27"/>
      <c r="P1591" s="27">
        <v>2.0</v>
      </c>
      <c r="Q1591" s="17">
        <v>2.0</v>
      </c>
      <c r="R1591" s="27"/>
      <c r="S1591" s="27"/>
      <c r="T1591" s="14">
        <f t="shared" si="76"/>
        <v>9</v>
      </c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28"/>
      <c r="AE1591" s="28"/>
      <c r="AF1591" s="28"/>
      <c r="AG1591" s="28"/>
      <c r="AH1591" s="28"/>
      <c r="AI1591" s="28"/>
    </row>
    <row r="1592" ht="15.75" customHeight="1">
      <c r="A1592" s="14" t="s">
        <v>1860</v>
      </c>
      <c r="B1592" s="19" t="s">
        <v>250</v>
      </c>
      <c r="C1592" s="16"/>
      <c r="D1592" s="47"/>
      <c r="E1592" s="48"/>
      <c r="F1592" s="14"/>
      <c r="G1592" s="14"/>
      <c r="H1592" s="14" t="s">
        <v>1861</v>
      </c>
      <c r="I1592" s="14"/>
      <c r="J1592" s="14"/>
      <c r="K1592" s="14"/>
      <c r="L1592" s="14"/>
      <c r="M1592" s="14"/>
      <c r="N1592" s="14"/>
      <c r="O1592" s="14"/>
      <c r="P1592" s="14">
        <v>4.0</v>
      </c>
      <c r="Q1592" s="19">
        <v>2.0</v>
      </c>
      <c r="R1592" s="19">
        <v>1.0</v>
      </c>
      <c r="S1592" s="19">
        <v>2.0</v>
      </c>
      <c r="T1592" s="14">
        <f t="shared" si="76"/>
        <v>9</v>
      </c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  <c r="AF1592" s="22"/>
      <c r="AG1592" s="22"/>
      <c r="AH1592" s="22"/>
      <c r="AI1592" s="22"/>
    </row>
    <row r="1593" ht="15.75" customHeight="1">
      <c r="A1593" s="17" t="s">
        <v>1862</v>
      </c>
      <c r="B1593" s="17" t="s">
        <v>250</v>
      </c>
      <c r="C1593" s="25"/>
      <c r="D1593" s="17"/>
      <c r="E1593" s="18"/>
      <c r="F1593" s="27"/>
      <c r="G1593" s="27"/>
      <c r="H1593" s="53"/>
      <c r="I1593" s="27"/>
      <c r="J1593" s="27"/>
      <c r="K1593" s="27"/>
      <c r="L1593" s="27"/>
      <c r="M1593" s="27"/>
      <c r="N1593" s="27"/>
      <c r="O1593" s="27"/>
      <c r="P1593" s="27"/>
      <c r="Q1593" s="17">
        <v>3.0</v>
      </c>
      <c r="R1593" s="19">
        <v>3.0</v>
      </c>
      <c r="S1593" s="19">
        <v>4.0</v>
      </c>
      <c r="T1593" s="14">
        <f t="shared" si="76"/>
        <v>10</v>
      </c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28"/>
      <c r="AE1593" s="28"/>
      <c r="AF1593" s="28"/>
      <c r="AG1593" s="28"/>
      <c r="AH1593" s="28"/>
      <c r="AI1593" s="28"/>
    </row>
    <row r="1594" ht="15.75" customHeight="1">
      <c r="A1594" s="17" t="s">
        <v>1863</v>
      </c>
      <c r="B1594" s="17" t="s">
        <v>100</v>
      </c>
      <c r="C1594" s="25"/>
      <c r="D1594" s="47"/>
      <c r="E1594" s="48"/>
      <c r="F1594" s="27"/>
      <c r="G1594" s="27"/>
      <c r="H1594" s="53"/>
      <c r="I1594" s="27"/>
      <c r="J1594" s="27"/>
      <c r="K1594" s="27"/>
      <c r="L1594" s="27"/>
      <c r="M1594" s="27"/>
      <c r="N1594" s="27">
        <v>11.0</v>
      </c>
      <c r="O1594" s="27">
        <v>4.0</v>
      </c>
      <c r="P1594" s="27">
        <v>3.0</v>
      </c>
      <c r="Q1594" s="17">
        <v>1.0</v>
      </c>
      <c r="R1594" s="17">
        <v>2.0</v>
      </c>
      <c r="S1594" s="17"/>
      <c r="T1594" s="14">
        <f t="shared" si="76"/>
        <v>21</v>
      </c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28"/>
      <c r="AE1594" s="28"/>
      <c r="AF1594" s="28"/>
      <c r="AG1594" s="28"/>
      <c r="AH1594" s="28"/>
      <c r="AI1594" s="28"/>
    </row>
    <row r="1595" ht="15.75" customHeight="1">
      <c r="A1595" s="19" t="s">
        <v>1864</v>
      </c>
      <c r="B1595" s="108"/>
      <c r="C1595" s="16"/>
      <c r="D1595" s="17"/>
      <c r="E1595" s="18"/>
      <c r="F1595" s="14"/>
      <c r="G1595" s="14"/>
      <c r="H1595" s="52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>
        <f t="shared" si="76"/>
        <v>0</v>
      </c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  <c r="AF1595" s="22"/>
      <c r="AG1595" s="22"/>
      <c r="AH1595" s="22"/>
      <c r="AI1595" s="22"/>
    </row>
    <row r="1596" ht="15.75" customHeight="1">
      <c r="A1596" s="14" t="s">
        <v>1865</v>
      </c>
      <c r="B1596" s="14" t="s">
        <v>107</v>
      </c>
      <c r="C1596" s="16"/>
      <c r="D1596" s="17"/>
      <c r="E1596" s="18"/>
      <c r="F1596" s="14"/>
      <c r="G1596" s="14"/>
      <c r="H1596" s="52">
        <v>43867.0</v>
      </c>
      <c r="I1596" s="14"/>
      <c r="J1596" s="14"/>
      <c r="K1596" s="14"/>
      <c r="L1596" s="14"/>
      <c r="M1596" s="14"/>
      <c r="N1596" s="14"/>
      <c r="O1596" s="14">
        <v>5.0</v>
      </c>
      <c r="P1596" s="14"/>
      <c r="Q1596" s="14"/>
      <c r="R1596" s="19">
        <v>1.0</v>
      </c>
      <c r="S1596" s="19"/>
      <c r="T1596" s="14">
        <f t="shared" si="76"/>
        <v>6</v>
      </c>
      <c r="U1596" s="22"/>
      <c r="V1596" s="22"/>
      <c r="W1596" s="22"/>
      <c r="X1596" s="22"/>
      <c r="Y1596" s="22"/>
      <c r="Z1596" s="22"/>
      <c r="AA1596" s="22"/>
      <c r="AB1596" s="22"/>
      <c r="AC1596" s="22"/>
      <c r="AD1596" s="22"/>
      <c r="AE1596" s="22"/>
      <c r="AF1596" s="22"/>
      <c r="AG1596" s="22"/>
      <c r="AH1596" s="22"/>
      <c r="AI1596" s="22"/>
    </row>
    <row r="1597" ht="15.75" customHeight="1">
      <c r="A1597" s="27" t="s">
        <v>1866</v>
      </c>
      <c r="B1597" s="27" t="s">
        <v>107</v>
      </c>
      <c r="C1597" s="25"/>
      <c r="D1597" s="17"/>
      <c r="E1597" s="18"/>
      <c r="F1597" s="27"/>
      <c r="G1597" s="27"/>
      <c r="H1597" s="53"/>
      <c r="I1597" s="27"/>
      <c r="J1597" s="27"/>
      <c r="K1597" s="27"/>
      <c r="L1597" s="27"/>
      <c r="M1597" s="27"/>
      <c r="N1597" s="27"/>
      <c r="O1597" s="27">
        <v>3.0</v>
      </c>
      <c r="P1597" s="27"/>
      <c r="Q1597" s="27"/>
      <c r="R1597" s="27"/>
      <c r="S1597" s="27"/>
      <c r="T1597" s="14">
        <f t="shared" si="76"/>
        <v>3</v>
      </c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28"/>
      <c r="AE1597" s="28"/>
      <c r="AF1597" s="28"/>
      <c r="AG1597" s="28"/>
      <c r="AH1597" s="28"/>
      <c r="AI1597" s="28"/>
    </row>
    <row r="1598" ht="15.75" customHeight="1">
      <c r="A1598" s="14" t="s">
        <v>1867</v>
      </c>
      <c r="B1598" s="19" t="s">
        <v>182</v>
      </c>
      <c r="C1598" s="16"/>
      <c r="D1598" s="17"/>
      <c r="E1598" s="18"/>
      <c r="F1598" s="14"/>
      <c r="G1598" s="14"/>
      <c r="H1598" s="52"/>
      <c r="I1598" s="14"/>
      <c r="J1598" s="14"/>
      <c r="K1598" s="14"/>
      <c r="L1598" s="14"/>
      <c r="M1598" s="14">
        <v>6.0</v>
      </c>
      <c r="N1598" s="14">
        <v>5.0</v>
      </c>
      <c r="O1598" s="14">
        <v>1.0</v>
      </c>
      <c r="P1598" s="14">
        <v>2.0</v>
      </c>
      <c r="Q1598" s="14"/>
      <c r="R1598" s="19">
        <v>1.0</v>
      </c>
      <c r="S1598" s="19"/>
      <c r="T1598" s="14">
        <f t="shared" si="76"/>
        <v>15</v>
      </c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  <c r="AF1598" s="22"/>
      <c r="AG1598" s="22"/>
      <c r="AH1598" s="22"/>
      <c r="AI1598" s="22"/>
    </row>
    <row r="1599" ht="15.75" customHeight="1">
      <c r="A1599" s="19" t="s">
        <v>1868</v>
      </c>
      <c r="B1599" s="19" t="s">
        <v>73</v>
      </c>
      <c r="C1599" s="24" t="s">
        <v>1140</v>
      </c>
      <c r="D1599" s="17"/>
      <c r="E1599" s="54"/>
      <c r="F1599" s="19" t="s">
        <v>74</v>
      </c>
      <c r="G1599" s="14"/>
      <c r="H1599" s="52"/>
      <c r="I1599" s="14"/>
      <c r="J1599" s="14"/>
      <c r="K1599" s="14"/>
      <c r="L1599" s="14"/>
      <c r="M1599" s="14"/>
      <c r="N1599" s="14"/>
      <c r="O1599" s="14"/>
      <c r="P1599" s="14"/>
      <c r="Q1599" s="14"/>
      <c r="R1599" s="19"/>
      <c r="S1599" s="19"/>
      <c r="T1599" s="14">
        <f t="shared" si="76"/>
        <v>0</v>
      </c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F1599" s="22"/>
      <c r="AG1599" s="22"/>
      <c r="AH1599" s="22"/>
      <c r="AI1599" s="22"/>
    </row>
    <row r="1600" ht="15.75" customHeight="1">
      <c r="A1600" s="17" t="s">
        <v>1869</v>
      </c>
      <c r="B1600" s="17" t="s">
        <v>781</v>
      </c>
      <c r="C1600" s="25"/>
      <c r="D1600" s="17"/>
      <c r="E1600" s="48"/>
      <c r="F1600" s="27"/>
      <c r="G1600" s="27"/>
      <c r="H1600" s="53"/>
      <c r="I1600" s="27"/>
      <c r="J1600" s="27"/>
      <c r="K1600" s="27"/>
      <c r="L1600" s="27"/>
      <c r="M1600" s="27"/>
      <c r="N1600" s="27"/>
      <c r="O1600" s="27"/>
      <c r="P1600" s="27"/>
      <c r="Q1600" s="17">
        <v>3.0</v>
      </c>
      <c r="R1600" s="19">
        <v>1.0</v>
      </c>
      <c r="S1600" s="19">
        <v>6.0</v>
      </c>
      <c r="T1600" s="14">
        <f t="shared" si="76"/>
        <v>10</v>
      </c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28"/>
      <c r="AE1600" s="28"/>
      <c r="AF1600" s="28"/>
      <c r="AG1600" s="28"/>
      <c r="AH1600" s="100" t="s">
        <v>1870</v>
      </c>
      <c r="AI1600" s="28"/>
    </row>
    <row r="1601" ht="15.75" customHeight="1">
      <c r="A1601" s="17" t="s">
        <v>1871</v>
      </c>
      <c r="B1601" s="27" t="s">
        <v>781</v>
      </c>
      <c r="C1601" s="25"/>
      <c r="D1601" s="17" t="s">
        <v>942</v>
      </c>
      <c r="E1601" s="48">
        <v>45938.0</v>
      </c>
      <c r="F1601" s="27"/>
      <c r="G1601" s="27"/>
      <c r="H1601" s="53"/>
      <c r="I1601" s="27"/>
      <c r="J1601" s="27"/>
      <c r="K1601" s="27"/>
      <c r="L1601" s="27"/>
      <c r="M1601" s="27">
        <v>4.0</v>
      </c>
      <c r="N1601" s="27">
        <v>10.0</v>
      </c>
      <c r="O1601" s="27">
        <v>3.0</v>
      </c>
      <c r="P1601" s="27">
        <v>3.0</v>
      </c>
      <c r="Q1601" s="17">
        <v>3.0</v>
      </c>
      <c r="R1601" s="17">
        <v>3.0</v>
      </c>
      <c r="S1601" s="17">
        <v>2.0</v>
      </c>
      <c r="T1601" s="14">
        <f t="shared" si="76"/>
        <v>28</v>
      </c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28"/>
      <c r="AE1601" s="28"/>
      <c r="AF1601" s="28"/>
      <c r="AG1601" s="28"/>
      <c r="AH1601" s="28"/>
      <c r="AI1601" s="28"/>
    </row>
    <row r="1602" ht="15.75" customHeight="1">
      <c r="A1602" s="19" t="s">
        <v>1872</v>
      </c>
      <c r="B1602" s="14" t="s">
        <v>781</v>
      </c>
      <c r="C1602" s="16"/>
      <c r="D1602" s="17"/>
      <c r="E1602" s="18"/>
      <c r="F1602" s="14"/>
      <c r="G1602" s="14"/>
      <c r="H1602" s="52"/>
      <c r="I1602" s="14"/>
      <c r="J1602" s="14"/>
      <c r="K1602" s="14"/>
      <c r="L1602" s="14"/>
      <c r="M1602" s="14"/>
      <c r="N1602" s="14"/>
      <c r="O1602" s="14">
        <v>6.0</v>
      </c>
      <c r="P1602" s="14">
        <v>5.0</v>
      </c>
      <c r="Q1602" s="19">
        <v>1.0</v>
      </c>
      <c r="R1602" s="19">
        <v>2.0</v>
      </c>
      <c r="S1602" s="19">
        <v>3.0</v>
      </c>
      <c r="T1602" s="14">
        <f t="shared" si="76"/>
        <v>17</v>
      </c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  <c r="AF1602" s="22"/>
      <c r="AG1602" s="22"/>
      <c r="AH1602" s="22"/>
      <c r="AI1602" s="22"/>
    </row>
    <row r="1603" ht="15.75" customHeight="1">
      <c r="A1603" s="19" t="s">
        <v>1873</v>
      </c>
      <c r="B1603" s="19" t="s">
        <v>781</v>
      </c>
      <c r="C1603" s="24" t="s">
        <v>711</v>
      </c>
      <c r="D1603" s="17"/>
      <c r="E1603" s="54"/>
      <c r="F1603" s="19"/>
      <c r="G1603" s="14"/>
      <c r="H1603" s="52"/>
      <c r="I1603" s="14"/>
      <c r="J1603" s="14"/>
      <c r="K1603" s="14"/>
      <c r="L1603" s="14"/>
      <c r="M1603" s="14"/>
      <c r="N1603" s="14"/>
      <c r="O1603" s="14"/>
      <c r="P1603" s="14"/>
      <c r="Q1603" s="19"/>
      <c r="R1603" s="19"/>
      <c r="S1603" s="19"/>
      <c r="T1603" s="14">
        <f t="shared" si="76"/>
        <v>0</v>
      </c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  <c r="AF1603" s="22"/>
      <c r="AG1603" s="22"/>
      <c r="AH1603" s="22"/>
      <c r="AI1603" s="22"/>
    </row>
    <row r="1604" ht="15.75" customHeight="1">
      <c r="A1604" s="19" t="s">
        <v>1874</v>
      </c>
      <c r="B1604" s="19" t="s">
        <v>781</v>
      </c>
      <c r="C1604" s="24"/>
      <c r="D1604" s="47" t="s">
        <v>942</v>
      </c>
      <c r="E1604" s="48">
        <v>45938.0</v>
      </c>
      <c r="F1604" s="14"/>
      <c r="G1604" s="14"/>
      <c r="H1604" s="52"/>
      <c r="I1604" s="14"/>
      <c r="J1604" s="14"/>
      <c r="K1604" s="14"/>
      <c r="L1604" s="14"/>
      <c r="M1604" s="14"/>
      <c r="N1604" s="14"/>
      <c r="O1604" s="14"/>
      <c r="P1604" s="14"/>
      <c r="Q1604" s="19">
        <v>3.0</v>
      </c>
      <c r="R1604" s="19">
        <v>6.0</v>
      </c>
      <c r="S1604" s="19">
        <v>5.0</v>
      </c>
      <c r="T1604" s="14">
        <f t="shared" si="76"/>
        <v>14</v>
      </c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  <c r="AF1604" s="22"/>
      <c r="AG1604" s="22"/>
      <c r="AH1604" s="22"/>
      <c r="AI1604" s="22"/>
    </row>
    <row r="1605" ht="15.75" customHeight="1">
      <c r="A1605" s="19" t="s">
        <v>1875</v>
      </c>
      <c r="B1605" s="14" t="s">
        <v>781</v>
      </c>
      <c r="C1605" s="16"/>
      <c r="D1605" s="47"/>
      <c r="E1605" s="48"/>
      <c r="F1605" s="14"/>
      <c r="G1605" s="14"/>
      <c r="H1605" s="52"/>
      <c r="I1605" s="14"/>
      <c r="J1605" s="14"/>
      <c r="K1605" s="14"/>
      <c r="L1605" s="14"/>
      <c r="M1605" s="14">
        <v>7.0</v>
      </c>
      <c r="N1605" s="14">
        <v>7.0</v>
      </c>
      <c r="O1605" s="14">
        <v>5.0</v>
      </c>
      <c r="P1605" s="14">
        <v>3.0</v>
      </c>
      <c r="Q1605" s="19">
        <v>3.0</v>
      </c>
      <c r="R1605" s="19">
        <v>2.0</v>
      </c>
      <c r="S1605" s="19">
        <v>2.0</v>
      </c>
      <c r="T1605" s="14">
        <f t="shared" si="76"/>
        <v>29</v>
      </c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  <c r="AF1605" s="22"/>
      <c r="AG1605" s="22"/>
      <c r="AH1605" s="22"/>
      <c r="AI1605" s="22"/>
    </row>
    <row r="1606" ht="15.75" customHeight="1">
      <c r="A1606" s="19" t="s">
        <v>1876</v>
      </c>
      <c r="B1606" s="14" t="s">
        <v>781</v>
      </c>
      <c r="C1606" s="16"/>
      <c r="D1606" s="17"/>
      <c r="E1606" s="48"/>
      <c r="F1606" s="14"/>
      <c r="G1606" s="19" t="s">
        <v>40</v>
      </c>
      <c r="H1606" s="43">
        <v>45837.0</v>
      </c>
      <c r="I1606" s="14"/>
      <c r="J1606" s="14"/>
      <c r="K1606" s="14"/>
      <c r="L1606" s="14"/>
      <c r="M1606" s="14"/>
      <c r="N1606" s="14"/>
      <c r="O1606" s="14"/>
      <c r="P1606" s="14"/>
      <c r="Q1606" s="14"/>
      <c r="R1606" s="19">
        <v>1.0</v>
      </c>
      <c r="S1606" s="19">
        <v>5.0</v>
      </c>
      <c r="T1606" s="14">
        <f t="shared" si="76"/>
        <v>6</v>
      </c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  <c r="AF1606" s="22"/>
      <c r="AG1606" s="22"/>
      <c r="AH1606" s="22"/>
      <c r="AI1606" s="22"/>
    </row>
    <row r="1607" ht="15.75" customHeight="1">
      <c r="A1607" s="17" t="s">
        <v>1877</v>
      </c>
      <c r="B1607" s="27" t="s">
        <v>781</v>
      </c>
      <c r="C1607" s="25"/>
      <c r="D1607" s="47"/>
      <c r="E1607" s="48"/>
      <c r="F1607" s="27"/>
      <c r="G1607" s="27"/>
      <c r="H1607" s="53"/>
      <c r="I1607" s="27"/>
      <c r="J1607" s="27"/>
      <c r="K1607" s="27"/>
      <c r="L1607" s="27"/>
      <c r="M1607" s="27">
        <v>4.0</v>
      </c>
      <c r="N1607" s="27">
        <v>8.0</v>
      </c>
      <c r="O1607" s="27">
        <v>3.0</v>
      </c>
      <c r="P1607" s="27"/>
      <c r="Q1607" s="17">
        <v>2.0</v>
      </c>
      <c r="R1607" s="17">
        <v>1.0</v>
      </c>
      <c r="S1607" s="17">
        <v>4.0</v>
      </c>
      <c r="T1607" s="14">
        <f t="shared" si="76"/>
        <v>22</v>
      </c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28"/>
      <c r="AE1607" s="28"/>
      <c r="AF1607" s="28"/>
      <c r="AG1607" s="28"/>
      <c r="AH1607" s="28"/>
      <c r="AI1607" s="28"/>
    </row>
    <row r="1608" ht="15.75" customHeight="1">
      <c r="A1608" s="17" t="s">
        <v>1878</v>
      </c>
      <c r="B1608" s="27" t="s">
        <v>781</v>
      </c>
      <c r="C1608" s="25"/>
      <c r="D1608" s="17"/>
      <c r="E1608" s="18"/>
      <c r="F1608" s="27"/>
      <c r="G1608" s="27"/>
      <c r="H1608" s="53"/>
      <c r="I1608" s="27"/>
      <c r="J1608" s="27"/>
      <c r="K1608" s="27"/>
      <c r="L1608" s="27"/>
      <c r="M1608" s="27"/>
      <c r="N1608" s="27"/>
      <c r="O1608" s="27"/>
      <c r="P1608" s="27">
        <v>7.0</v>
      </c>
      <c r="Q1608" s="17">
        <v>1.0</v>
      </c>
      <c r="R1608" s="17">
        <v>1.0</v>
      </c>
      <c r="S1608" s="17">
        <v>3.0</v>
      </c>
      <c r="T1608" s="14">
        <f t="shared" si="76"/>
        <v>12</v>
      </c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28"/>
      <c r="AE1608" s="28"/>
      <c r="AF1608" s="28"/>
      <c r="AG1608" s="28"/>
      <c r="AH1608" s="28"/>
      <c r="AI1608" s="28"/>
    </row>
    <row r="1609" ht="15.75" customHeight="1">
      <c r="A1609" s="19" t="s">
        <v>1879</v>
      </c>
      <c r="B1609" s="19" t="s">
        <v>781</v>
      </c>
      <c r="C1609" s="16"/>
      <c r="D1609" s="17"/>
      <c r="E1609" s="18"/>
      <c r="F1609" s="14"/>
      <c r="G1609" s="19" t="s">
        <v>40</v>
      </c>
      <c r="H1609" s="43">
        <v>45853.0</v>
      </c>
      <c r="I1609" s="14"/>
      <c r="J1609" s="14"/>
      <c r="K1609" s="14"/>
      <c r="L1609" s="14"/>
      <c r="M1609" s="14"/>
      <c r="N1609" s="14"/>
      <c r="O1609" s="14"/>
      <c r="P1609" s="14"/>
      <c r="Q1609" s="19">
        <v>2.0</v>
      </c>
      <c r="R1609" s="14"/>
      <c r="S1609" s="19">
        <v>1.0</v>
      </c>
      <c r="T1609" s="14">
        <f t="shared" si="76"/>
        <v>3</v>
      </c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  <c r="AG1609" s="22"/>
      <c r="AH1609" s="22"/>
      <c r="AI1609" s="22"/>
    </row>
    <row r="1610" ht="15.75" customHeight="1">
      <c r="A1610" s="19" t="s">
        <v>1880</v>
      </c>
      <c r="B1610" s="14" t="s">
        <v>182</v>
      </c>
      <c r="C1610" s="16"/>
      <c r="D1610" s="17" t="s">
        <v>633</v>
      </c>
      <c r="E1610" s="48">
        <v>45953.0</v>
      </c>
      <c r="F1610" s="14"/>
      <c r="G1610" s="14"/>
      <c r="H1610" s="52"/>
      <c r="I1610" s="14"/>
      <c r="J1610" s="14"/>
      <c r="K1610" s="14"/>
      <c r="L1610" s="14"/>
      <c r="M1610" s="14"/>
      <c r="N1610" s="14"/>
      <c r="O1610" s="14"/>
      <c r="P1610" s="14"/>
      <c r="Q1610" s="19">
        <v>2.0</v>
      </c>
      <c r="R1610" s="19">
        <v>2.0</v>
      </c>
      <c r="S1610" s="19">
        <v>3.0</v>
      </c>
      <c r="T1610" s="14">
        <f t="shared" si="76"/>
        <v>7</v>
      </c>
      <c r="U1610" s="22"/>
      <c r="V1610" s="22"/>
      <c r="W1610" s="22"/>
      <c r="X1610" s="22"/>
      <c r="Y1610" s="22"/>
      <c r="Z1610" s="22"/>
      <c r="AA1610" s="22"/>
      <c r="AB1610" s="22"/>
      <c r="AC1610" s="22"/>
      <c r="AD1610" s="22"/>
      <c r="AE1610" s="22"/>
      <c r="AF1610" s="22"/>
      <c r="AG1610" s="22"/>
      <c r="AH1610" s="22"/>
      <c r="AI1610" s="22"/>
    </row>
    <row r="1611" ht="15.75" customHeight="1">
      <c r="A1611" s="14" t="s">
        <v>1881</v>
      </c>
      <c r="B1611" s="19" t="s">
        <v>157</v>
      </c>
      <c r="C1611" s="16"/>
      <c r="D1611" s="17"/>
      <c r="E1611" s="48"/>
      <c r="F1611" s="14"/>
      <c r="G1611" s="14"/>
      <c r="H1611" s="52"/>
      <c r="I1611" s="14"/>
      <c r="J1611" s="14"/>
      <c r="K1611" s="14"/>
      <c r="L1611" s="14"/>
      <c r="M1611" s="14"/>
      <c r="N1611" s="14"/>
      <c r="O1611" s="14"/>
      <c r="P1611" s="14"/>
      <c r="Q1611" s="19">
        <v>1.0</v>
      </c>
      <c r="R1611" s="19">
        <v>1.0</v>
      </c>
      <c r="S1611" s="19"/>
      <c r="T1611" s="14">
        <f t="shared" si="76"/>
        <v>2</v>
      </c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  <c r="AF1611" s="22"/>
      <c r="AG1611" s="22"/>
      <c r="AH1611" s="22"/>
      <c r="AI1611" s="22"/>
    </row>
    <row r="1612" ht="15.75" customHeight="1">
      <c r="A1612" s="17" t="s">
        <v>1882</v>
      </c>
      <c r="B1612" s="17" t="s">
        <v>192</v>
      </c>
      <c r="C1612" s="25"/>
      <c r="D1612" s="17"/>
      <c r="E1612" s="18"/>
      <c r="F1612" s="27"/>
      <c r="G1612" s="27"/>
      <c r="H1612" s="53"/>
      <c r="I1612" s="27"/>
      <c r="J1612" s="27"/>
      <c r="K1612" s="27"/>
      <c r="L1612" s="27"/>
      <c r="M1612" s="27"/>
      <c r="N1612" s="27"/>
      <c r="O1612" s="27"/>
      <c r="P1612" s="27"/>
      <c r="Q1612" s="27"/>
      <c r="R1612" s="14"/>
      <c r="S1612" s="14"/>
      <c r="T1612" s="14">
        <f t="shared" si="76"/>
        <v>0</v>
      </c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28"/>
      <c r="AE1612" s="28"/>
      <c r="AF1612" s="28"/>
      <c r="AG1612" s="28"/>
      <c r="AH1612" s="28"/>
      <c r="AI1612" s="28"/>
    </row>
    <row r="1613" ht="15.75" customHeight="1">
      <c r="A1613" s="17" t="s">
        <v>1883</v>
      </c>
      <c r="B1613" s="17" t="s">
        <v>192</v>
      </c>
      <c r="C1613" s="25"/>
      <c r="D1613" s="17"/>
      <c r="E1613" s="18"/>
      <c r="F1613" s="27"/>
      <c r="G1613" s="27"/>
      <c r="H1613" s="53"/>
      <c r="I1613" s="27"/>
      <c r="J1613" s="27"/>
      <c r="K1613" s="27"/>
      <c r="L1613" s="27"/>
      <c r="M1613" s="27"/>
      <c r="N1613" s="27"/>
      <c r="O1613" s="27"/>
      <c r="P1613" s="27"/>
      <c r="Q1613" s="17">
        <v>3.0</v>
      </c>
      <c r="R1613" s="14"/>
      <c r="S1613" s="19">
        <v>1.0</v>
      </c>
      <c r="T1613" s="14">
        <f t="shared" si="76"/>
        <v>4</v>
      </c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28"/>
      <c r="AE1613" s="28"/>
      <c r="AF1613" s="28"/>
      <c r="AG1613" s="28"/>
      <c r="AH1613" s="28"/>
      <c r="AI1613" s="28"/>
    </row>
    <row r="1614" ht="15.75" customHeight="1">
      <c r="A1614" s="19" t="s">
        <v>1884</v>
      </c>
      <c r="B1614" s="19" t="s">
        <v>85</v>
      </c>
      <c r="C1614" s="24" t="s">
        <v>23</v>
      </c>
      <c r="D1614" s="17"/>
      <c r="E1614" s="18"/>
      <c r="F1614" s="19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>
        <f t="shared" si="76"/>
        <v>0</v>
      </c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  <c r="AF1614" s="22"/>
      <c r="AG1614" s="22"/>
      <c r="AH1614" s="22"/>
      <c r="AI1614" s="22"/>
    </row>
    <row r="1615" ht="15.75" customHeight="1">
      <c r="A1615" s="14" t="s">
        <v>1885</v>
      </c>
      <c r="B1615" s="19" t="s">
        <v>62</v>
      </c>
      <c r="C1615" s="16"/>
      <c r="D1615" s="17"/>
      <c r="E1615" s="18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>
        <f t="shared" si="76"/>
        <v>0</v>
      </c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  <c r="AF1615" s="22"/>
      <c r="AG1615" s="22"/>
      <c r="AH1615" s="22"/>
      <c r="AI1615" s="22"/>
    </row>
    <row r="1616" ht="15.75" customHeight="1">
      <c r="A1616" s="27" t="s">
        <v>1886</v>
      </c>
      <c r="B1616" s="17" t="s">
        <v>258</v>
      </c>
      <c r="C1616" s="25"/>
      <c r="D1616" s="17"/>
      <c r="E1616" s="18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>
        <v>1.0</v>
      </c>
      <c r="Q1616" s="27"/>
      <c r="R1616" s="27"/>
      <c r="S1616" s="27"/>
      <c r="T1616" s="14">
        <f t="shared" si="76"/>
        <v>1</v>
      </c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28"/>
      <c r="AE1616" s="28"/>
      <c r="AF1616" s="28"/>
      <c r="AG1616" s="28"/>
      <c r="AH1616" s="28"/>
      <c r="AI1616" s="28"/>
    </row>
    <row r="1617" ht="15.75" customHeight="1">
      <c r="A1617" s="17" t="s">
        <v>1887</v>
      </c>
      <c r="B1617" s="17" t="s">
        <v>73</v>
      </c>
      <c r="C1617" s="30" t="s">
        <v>32</v>
      </c>
      <c r="D1617" s="17"/>
      <c r="E1617" s="18"/>
      <c r="F1617" s="17" t="s">
        <v>74</v>
      </c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33"/>
      <c r="R1617" s="33"/>
      <c r="S1617" s="33"/>
      <c r="T1617" s="14">
        <f t="shared" si="76"/>
        <v>0</v>
      </c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28"/>
      <c r="AE1617" s="28"/>
      <c r="AF1617" s="28"/>
      <c r="AG1617" s="28"/>
      <c r="AH1617" s="28"/>
      <c r="AI1617" s="28"/>
    </row>
    <row r="1618" ht="15.75" customHeight="1">
      <c r="A1618" s="14" t="s">
        <v>1888</v>
      </c>
      <c r="B1618" s="19" t="s">
        <v>62</v>
      </c>
      <c r="C1618" s="16"/>
      <c r="D1618" s="17"/>
      <c r="E1618" s="18"/>
      <c r="F1618" s="14"/>
      <c r="G1618" s="14" t="s">
        <v>40</v>
      </c>
      <c r="H1618" s="14" t="s">
        <v>491</v>
      </c>
      <c r="I1618" s="14"/>
      <c r="J1618" s="34">
        <v>1.0</v>
      </c>
      <c r="K1618" s="34">
        <v>1.0</v>
      </c>
      <c r="L1618" s="34"/>
      <c r="M1618" s="34">
        <v>1.0</v>
      </c>
      <c r="N1618" s="34">
        <v>1.0</v>
      </c>
      <c r="O1618" s="34"/>
      <c r="P1618" s="34"/>
      <c r="Q1618" s="34"/>
      <c r="R1618" s="34"/>
      <c r="S1618" s="34"/>
      <c r="T1618" s="34">
        <f t="shared" si="76"/>
        <v>4</v>
      </c>
      <c r="U1618" s="22"/>
      <c r="V1618" s="22"/>
      <c r="W1618" s="22"/>
      <c r="X1618" s="22"/>
      <c r="Y1618" s="22"/>
      <c r="Z1618" s="22"/>
      <c r="AA1618" s="22"/>
      <c r="AB1618" s="22"/>
      <c r="AC1618" s="22"/>
      <c r="AD1618" s="22"/>
      <c r="AE1618" s="22"/>
      <c r="AF1618" s="22"/>
      <c r="AG1618" s="22"/>
      <c r="AH1618" s="22"/>
      <c r="AI1618" s="22"/>
    </row>
    <row r="1619" ht="15.75" customHeight="1">
      <c r="A1619" s="27" t="s">
        <v>1888</v>
      </c>
      <c r="B1619" s="17" t="s">
        <v>62</v>
      </c>
      <c r="C1619" s="25"/>
      <c r="D1619" s="17"/>
      <c r="E1619" s="18"/>
      <c r="F1619" s="27"/>
      <c r="G1619" s="26"/>
      <c r="H1619" s="27"/>
      <c r="I1619" s="27"/>
      <c r="J1619" s="35"/>
      <c r="K1619" s="35"/>
      <c r="L1619" s="35"/>
      <c r="M1619" s="35"/>
      <c r="N1619" s="35"/>
      <c r="O1619" s="35"/>
      <c r="P1619" s="35"/>
      <c r="Q1619" s="41"/>
      <c r="R1619" s="41"/>
      <c r="S1619" s="41"/>
      <c r="T1619" s="35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28"/>
      <c r="AE1619" s="28"/>
      <c r="AF1619" s="28"/>
      <c r="AG1619" s="28"/>
      <c r="AH1619" s="28"/>
      <c r="AI1619" s="28"/>
    </row>
    <row r="1620" ht="15.75" customHeight="1">
      <c r="A1620" s="14" t="s">
        <v>1889</v>
      </c>
      <c r="B1620" s="14" t="s">
        <v>338</v>
      </c>
      <c r="C1620" s="16"/>
      <c r="D1620" s="17"/>
      <c r="E1620" s="18"/>
      <c r="F1620" s="14"/>
      <c r="G1620" s="20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9">
        <v>1.0</v>
      </c>
      <c r="S1620" s="19"/>
      <c r="T1620" s="14">
        <f t="shared" ref="T1620:T1633" si="77">SUM(I1620:S1620)</f>
        <v>1</v>
      </c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  <c r="AF1620" s="22"/>
      <c r="AG1620" s="22"/>
      <c r="AH1620" s="22"/>
      <c r="AI1620" s="22"/>
    </row>
    <row r="1621" ht="15.75" customHeight="1">
      <c r="A1621" s="17" t="s">
        <v>1890</v>
      </c>
      <c r="B1621" s="17" t="s">
        <v>21</v>
      </c>
      <c r="C1621" s="25"/>
      <c r="D1621" s="17"/>
      <c r="E1621" s="18"/>
      <c r="F1621" s="27"/>
      <c r="G1621" s="26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14"/>
      <c r="S1621" s="19">
        <v>1.0</v>
      </c>
      <c r="T1621" s="14">
        <f t="shared" si="77"/>
        <v>1</v>
      </c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28"/>
      <c r="AE1621" s="28"/>
      <c r="AF1621" s="28"/>
      <c r="AG1621" s="28"/>
      <c r="AH1621" s="28"/>
      <c r="AI1621" s="28"/>
    </row>
    <row r="1622" ht="15.75" customHeight="1">
      <c r="A1622" s="17" t="s">
        <v>1891</v>
      </c>
      <c r="B1622" s="17" t="s">
        <v>51</v>
      </c>
      <c r="C1622" s="25"/>
      <c r="D1622" s="17"/>
      <c r="E1622" s="18"/>
      <c r="F1622" s="27"/>
      <c r="G1622" s="26"/>
      <c r="H1622" s="27"/>
      <c r="I1622" s="27"/>
      <c r="J1622" s="27"/>
      <c r="K1622" s="27"/>
      <c r="L1622" s="27"/>
      <c r="M1622" s="27"/>
      <c r="N1622" s="27"/>
      <c r="O1622" s="27"/>
      <c r="P1622" s="27"/>
      <c r="Q1622" s="17">
        <v>2.0</v>
      </c>
      <c r="R1622" s="14"/>
      <c r="S1622" s="14"/>
      <c r="T1622" s="14">
        <f t="shared" si="77"/>
        <v>2</v>
      </c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28"/>
      <c r="AE1622" s="28"/>
      <c r="AF1622" s="28"/>
      <c r="AG1622" s="28"/>
      <c r="AH1622" s="28"/>
      <c r="AI1622" s="28"/>
    </row>
    <row r="1623" ht="15.75" customHeight="1">
      <c r="A1623" s="27" t="s">
        <v>1892</v>
      </c>
      <c r="B1623" s="27" t="s">
        <v>160</v>
      </c>
      <c r="C1623" s="25"/>
      <c r="D1623" s="17"/>
      <c r="E1623" s="18"/>
      <c r="F1623" s="27"/>
      <c r="G1623" s="26"/>
      <c r="H1623" s="27"/>
      <c r="I1623" s="27"/>
      <c r="J1623" s="27">
        <v>1.0</v>
      </c>
      <c r="K1623" s="27"/>
      <c r="L1623" s="27"/>
      <c r="M1623" s="27"/>
      <c r="N1623" s="27"/>
      <c r="O1623" s="27"/>
      <c r="P1623" s="27"/>
      <c r="Q1623" s="27"/>
      <c r="R1623" s="27"/>
      <c r="S1623" s="27"/>
      <c r="T1623" s="14">
        <f t="shared" si="77"/>
        <v>1</v>
      </c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28"/>
      <c r="AE1623" s="28"/>
      <c r="AF1623" s="28"/>
      <c r="AG1623" s="28"/>
      <c r="AH1623" s="28"/>
      <c r="AI1623" s="28"/>
    </row>
    <row r="1624" ht="15.75" customHeight="1">
      <c r="A1624" s="14" t="s">
        <v>1893</v>
      </c>
      <c r="B1624" s="19" t="s">
        <v>234</v>
      </c>
      <c r="C1624" s="16"/>
      <c r="D1624" s="17"/>
      <c r="E1624" s="18"/>
      <c r="F1624" s="14"/>
      <c r="G1624" s="20"/>
      <c r="H1624" s="14"/>
      <c r="I1624" s="14"/>
      <c r="J1624" s="14"/>
      <c r="K1624" s="14"/>
      <c r="L1624" s="14"/>
      <c r="M1624" s="14"/>
      <c r="N1624" s="14">
        <v>1.0</v>
      </c>
      <c r="O1624" s="14"/>
      <c r="P1624" s="14"/>
      <c r="Q1624" s="14"/>
      <c r="R1624" s="14"/>
      <c r="S1624" s="14"/>
      <c r="T1624" s="14">
        <f t="shared" si="77"/>
        <v>1</v>
      </c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  <c r="AF1624" s="22"/>
      <c r="AG1624" s="22"/>
      <c r="AH1624" s="22"/>
      <c r="AI1624" s="22"/>
    </row>
    <row r="1625" ht="15.75" customHeight="1">
      <c r="A1625" s="27" t="s">
        <v>1894</v>
      </c>
      <c r="B1625" s="27" t="s">
        <v>62</v>
      </c>
      <c r="C1625" s="25"/>
      <c r="D1625" s="17"/>
      <c r="E1625" s="18"/>
      <c r="F1625" s="27"/>
      <c r="G1625" s="26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14">
        <f t="shared" si="77"/>
        <v>0</v>
      </c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28"/>
      <c r="AE1625" s="28"/>
      <c r="AF1625" s="28"/>
      <c r="AG1625" s="28"/>
      <c r="AH1625" s="28"/>
      <c r="AI1625" s="28"/>
    </row>
    <row r="1626" ht="15.75" customHeight="1">
      <c r="A1626" s="17" t="s">
        <v>1895</v>
      </c>
      <c r="B1626" s="17" t="s">
        <v>230</v>
      </c>
      <c r="C1626" s="25"/>
      <c r="D1626" s="17"/>
      <c r="E1626" s="18"/>
      <c r="F1626" s="17"/>
      <c r="G1626" s="26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17">
        <v>2.0</v>
      </c>
      <c r="T1626" s="14">
        <f t="shared" si="77"/>
        <v>2</v>
      </c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28"/>
      <c r="AE1626" s="28"/>
      <c r="AF1626" s="28"/>
      <c r="AG1626" s="28"/>
      <c r="AH1626" s="28"/>
      <c r="AI1626" s="28"/>
    </row>
    <row r="1627" ht="15.75" customHeight="1">
      <c r="A1627" s="14" t="s">
        <v>1896</v>
      </c>
      <c r="B1627" s="14" t="s">
        <v>102</v>
      </c>
      <c r="C1627" s="16"/>
      <c r="D1627" s="17"/>
      <c r="E1627" s="18"/>
      <c r="F1627" s="14"/>
      <c r="G1627" s="14" t="s">
        <v>40</v>
      </c>
      <c r="H1627" s="14" t="s">
        <v>116</v>
      </c>
      <c r="I1627" s="14"/>
      <c r="J1627" s="14">
        <v>1.0</v>
      </c>
      <c r="K1627" s="14"/>
      <c r="L1627" s="14"/>
      <c r="M1627" s="14"/>
      <c r="N1627" s="14"/>
      <c r="O1627" s="14"/>
      <c r="P1627" s="14">
        <v>1.0</v>
      </c>
      <c r="Q1627" s="14"/>
      <c r="R1627" s="14"/>
      <c r="S1627" s="14"/>
      <c r="T1627" s="14">
        <f t="shared" si="77"/>
        <v>2</v>
      </c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  <c r="AF1627" s="22"/>
      <c r="AG1627" s="22"/>
      <c r="AH1627" s="22"/>
      <c r="AI1627" s="22"/>
    </row>
    <row r="1628" ht="15.75" customHeight="1">
      <c r="A1628" s="27" t="s">
        <v>1897</v>
      </c>
      <c r="B1628" s="17" t="s">
        <v>42</v>
      </c>
      <c r="C1628" s="25"/>
      <c r="D1628" s="17"/>
      <c r="E1628" s="18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>
        <v>1.0</v>
      </c>
      <c r="Q1628" s="27"/>
      <c r="R1628" s="27"/>
      <c r="S1628" s="27"/>
      <c r="T1628" s="14">
        <f t="shared" si="77"/>
        <v>1</v>
      </c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28"/>
      <c r="AE1628" s="28"/>
      <c r="AF1628" s="28"/>
      <c r="AG1628" s="28"/>
      <c r="AH1628" s="28"/>
      <c r="AI1628" s="28"/>
    </row>
    <row r="1629" ht="15.75" customHeight="1">
      <c r="A1629" s="19" t="s">
        <v>1898</v>
      </c>
      <c r="B1629" s="19" t="s">
        <v>471</v>
      </c>
      <c r="C1629" s="16"/>
      <c r="D1629" s="17"/>
      <c r="E1629" s="18"/>
      <c r="F1629" s="14"/>
      <c r="G1629" s="14" t="s">
        <v>40</v>
      </c>
      <c r="H1629" s="14"/>
      <c r="I1629" s="14"/>
      <c r="J1629" s="14"/>
      <c r="K1629" s="14">
        <v>1.0</v>
      </c>
      <c r="L1629" s="14"/>
      <c r="M1629" s="14">
        <v>2.0</v>
      </c>
      <c r="N1629" s="14"/>
      <c r="O1629" s="14">
        <v>1.0</v>
      </c>
      <c r="P1629" s="14">
        <v>1.0</v>
      </c>
      <c r="Q1629" s="14"/>
      <c r="R1629" s="14"/>
      <c r="S1629" s="14"/>
      <c r="T1629" s="14">
        <f t="shared" si="77"/>
        <v>5</v>
      </c>
      <c r="U1629" s="22"/>
      <c r="V1629" s="22"/>
      <c r="W1629" s="22"/>
      <c r="X1629" s="22"/>
      <c r="Y1629" s="22"/>
      <c r="Z1629" s="22"/>
      <c r="AA1629" s="22"/>
      <c r="AB1629" s="22"/>
      <c r="AC1629" s="22"/>
      <c r="AD1629" s="22"/>
      <c r="AE1629" s="22"/>
      <c r="AF1629" s="22"/>
      <c r="AG1629" s="22"/>
      <c r="AH1629" s="22"/>
      <c r="AI1629" s="22"/>
    </row>
    <row r="1630" ht="15.75" customHeight="1">
      <c r="A1630" s="27" t="s">
        <v>1899</v>
      </c>
      <c r="B1630" s="17" t="s">
        <v>291</v>
      </c>
      <c r="C1630" s="25"/>
      <c r="D1630" s="17"/>
      <c r="E1630" s="18"/>
      <c r="F1630" s="51"/>
      <c r="G1630" s="27" t="s">
        <v>40</v>
      </c>
      <c r="H1630" s="27" t="s">
        <v>435</v>
      </c>
      <c r="I1630" s="27"/>
      <c r="J1630" s="27">
        <v>2.0</v>
      </c>
      <c r="K1630" s="27">
        <v>1.0</v>
      </c>
      <c r="L1630" s="27">
        <v>2.0</v>
      </c>
      <c r="M1630" s="27">
        <v>4.0</v>
      </c>
      <c r="N1630" s="27">
        <v>1.0</v>
      </c>
      <c r="O1630" s="27">
        <v>1.0</v>
      </c>
      <c r="P1630" s="27"/>
      <c r="Q1630" s="27"/>
      <c r="R1630" s="17">
        <v>1.0</v>
      </c>
      <c r="S1630" s="17"/>
      <c r="T1630" s="14">
        <f t="shared" si="77"/>
        <v>12</v>
      </c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28"/>
      <c r="AE1630" s="28"/>
      <c r="AF1630" s="28"/>
      <c r="AG1630" s="28"/>
      <c r="AH1630" s="28"/>
      <c r="AI1630" s="28"/>
    </row>
    <row r="1631" ht="15.75" customHeight="1">
      <c r="A1631" s="14" t="s">
        <v>1900</v>
      </c>
      <c r="B1631" s="19" t="s">
        <v>21</v>
      </c>
      <c r="C1631" s="16"/>
      <c r="D1631" s="17"/>
      <c r="E1631" s="18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9">
        <v>1.0</v>
      </c>
      <c r="S1631" s="19"/>
      <c r="T1631" s="14">
        <f t="shared" si="77"/>
        <v>1</v>
      </c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  <c r="AF1631" s="22"/>
      <c r="AG1631" s="22"/>
      <c r="AH1631" s="22"/>
      <c r="AI1631" s="22"/>
    </row>
    <row r="1632" ht="15.75" customHeight="1">
      <c r="A1632" s="27" t="s">
        <v>1901</v>
      </c>
      <c r="B1632" s="17" t="s">
        <v>149</v>
      </c>
      <c r="C1632" s="25"/>
      <c r="D1632" s="17"/>
      <c r="E1632" s="18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>
        <v>5.0</v>
      </c>
      <c r="P1632" s="27">
        <v>4.0</v>
      </c>
      <c r="Q1632" s="27"/>
      <c r="R1632" s="17">
        <v>1.0</v>
      </c>
      <c r="S1632" s="17"/>
      <c r="T1632" s="14">
        <f t="shared" si="77"/>
        <v>10</v>
      </c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28"/>
      <c r="AE1632" s="28"/>
      <c r="AF1632" s="28"/>
      <c r="AG1632" s="28"/>
      <c r="AH1632" s="28"/>
      <c r="AI1632" s="28"/>
    </row>
    <row r="1633" ht="15.75" customHeight="1">
      <c r="A1633" s="14" t="s">
        <v>1902</v>
      </c>
      <c r="B1633" s="40" t="s">
        <v>83</v>
      </c>
      <c r="C1633" s="16"/>
      <c r="D1633" s="17"/>
      <c r="E1633" s="18"/>
      <c r="F1633" s="14"/>
      <c r="G1633" s="14"/>
      <c r="H1633" s="14"/>
      <c r="I1633" s="14"/>
      <c r="J1633" s="14"/>
      <c r="K1633" s="14"/>
      <c r="L1633" s="14"/>
      <c r="M1633" s="34">
        <v>2.0</v>
      </c>
      <c r="N1633" s="34">
        <v>1.0</v>
      </c>
      <c r="O1633" s="34">
        <v>2.0</v>
      </c>
      <c r="P1633" s="34"/>
      <c r="Q1633" s="34"/>
      <c r="R1633" s="34"/>
      <c r="S1633" s="34"/>
      <c r="T1633" s="34">
        <f t="shared" si="77"/>
        <v>5</v>
      </c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F1633" s="22"/>
      <c r="AG1633" s="22"/>
      <c r="AH1633" s="22"/>
      <c r="AI1633" s="22"/>
    </row>
    <row r="1634" ht="15.75" customHeight="1">
      <c r="A1634" s="27" t="s">
        <v>1903</v>
      </c>
      <c r="B1634" s="35"/>
      <c r="C1634" s="25"/>
      <c r="D1634" s="17"/>
      <c r="E1634" s="18"/>
      <c r="F1634" s="27"/>
      <c r="G1634" s="27"/>
      <c r="H1634" s="27"/>
      <c r="I1634" s="27"/>
      <c r="J1634" s="27"/>
      <c r="K1634" s="27"/>
      <c r="L1634" s="27"/>
      <c r="M1634" s="35"/>
      <c r="N1634" s="35"/>
      <c r="O1634" s="35"/>
      <c r="P1634" s="35"/>
      <c r="Q1634" s="41"/>
      <c r="R1634" s="41"/>
      <c r="S1634" s="41"/>
      <c r="T1634" s="35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28"/>
      <c r="AE1634" s="28"/>
      <c r="AF1634" s="28"/>
      <c r="AG1634" s="28"/>
      <c r="AH1634" s="28"/>
      <c r="AI1634" s="28"/>
    </row>
    <row r="1635" ht="15.75" customHeight="1">
      <c r="A1635" s="14" t="s">
        <v>1904</v>
      </c>
      <c r="B1635" s="19" t="s">
        <v>152</v>
      </c>
      <c r="C1635" s="16"/>
      <c r="D1635" s="17"/>
      <c r="E1635" s="18"/>
      <c r="F1635" s="14"/>
      <c r="G1635" s="14"/>
      <c r="H1635" s="14"/>
      <c r="I1635" s="14"/>
      <c r="J1635" s="14"/>
      <c r="K1635" s="14"/>
      <c r="L1635" s="14">
        <v>1.0</v>
      </c>
      <c r="M1635" s="14"/>
      <c r="N1635" s="14"/>
      <c r="O1635" s="14"/>
      <c r="P1635" s="14"/>
      <c r="Q1635" s="14"/>
      <c r="R1635" s="14"/>
      <c r="S1635" s="14"/>
      <c r="T1635" s="14">
        <f t="shared" ref="T1635:T1636" si="78">SUM(I1635:S1635)</f>
        <v>1</v>
      </c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  <c r="AF1635" s="22"/>
      <c r="AG1635" s="22"/>
      <c r="AH1635" s="22"/>
      <c r="AI1635" s="22"/>
    </row>
    <row r="1636" ht="15.75" customHeight="1">
      <c r="A1636" s="27" t="s">
        <v>1905</v>
      </c>
      <c r="B1636" s="17" t="s">
        <v>21</v>
      </c>
      <c r="C1636" s="25"/>
      <c r="D1636" s="17"/>
      <c r="E1636" s="18"/>
      <c r="F1636" s="51"/>
      <c r="G1636" s="27" t="s">
        <v>40</v>
      </c>
      <c r="H1636" s="27"/>
      <c r="I1636" s="27"/>
      <c r="J1636" s="27"/>
      <c r="K1636" s="27">
        <v>4.0</v>
      </c>
      <c r="L1636" s="27">
        <v>3.0</v>
      </c>
      <c r="M1636" s="27">
        <v>3.0</v>
      </c>
      <c r="N1636" s="27">
        <v>5.0</v>
      </c>
      <c r="O1636" s="27">
        <v>1.0</v>
      </c>
      <c r="P1636" s="27"/>
      <c r="Q1636" s="33"/>
      <c r="R1636" s="33"/>
      <c r="S1636" s="33"/>
      <c r="T1636" s="34">
        <f t="shared" si="78"/>
        <v>16</v>
      </c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28"/>
      <c r="AE1636" s="28"/>
      <c r="AF1636" s="28"/>
      <c r="AG1636" s="28"/>
      <c r="AH1636" s="28"/>
      <c r="AI1636" s="28"/>
    </row>
    <row r="1637" ht="15.75" customHeight="1">
      <c r="A1637" s="14" t="s">
        <v>1905</v>
      </c>
      <c r="B1637" s="19" t="s">
        <v>21</v>
      </c>
      <c r="C1637" s="16"/>
      <c r="D1637" s="17"/>
      <c r="E1637" s="18"/>
      <c r="F1637" s="14"/>
      <c r="G1637" s="20"/>
      <c r="H1637" s="14"/>
      <c r="I1637" s="14"/>
      <c r="J1637" s="14"/>
      <c r="K1637" s="14"/>
      <c r="L1637" s="14"/>
      <c r="M1637" s="14"/>
      <c r="N1637" s="14"/>
      <c r="O1637" s="14"/>
      <c r="P1637" s="14"/>
      <c r="Q1637" s="41"/>
      <c r="R1637" s="33"/>
      <c r="S1637" s="33"/>
      <c r="T1637" s="35"/>
      <c r="U1637" s="22"/>
      <c r="V1637" s="22"/>
      <c r="W1637" s="22"/>
      <c r="X1637" s="22"/>
      <c r="Y1637" s="22"/>
      <c r="Z1637" s="22"/>
      <c r="AA1637" s="22"/>
      <c r="AB1637" s="22"/>
      <c r="AC1637" s="22"/>
      <c r="AD1637" s="22"/>
      <c r="AE1637" s="22"/>
      <c r="AF1637" s="22"/>
      <c r="AG1637" s="22"/>
      <c r="AH1637" s="22"/>
      <c r="AI1637" s="22"/>
    </row>
    <row r="1638" ht="15.75" customHeight="1">
      <c r="A1638" s="27" t="s">
        <v>1906</v>
      </c>
      <c r="B1638" s="17" t="s">
        <v>21</v>
      </c>
      <c r="C1638" s="25"/>
      <c r="D1638" s="17"/>
      <c r="E1638" s="18"/>
      <c r="F1638" s="27"/>
      <c r="G1638" s="26"/>
      <c r="H1638" s="27"/>
      <c r="I1638" s="27"/>
      <c r="J1638" s="27"/>
      <c r="K1638" s="27"/>
      <c r="L1638" s="27"/>
      <c r="M1638" s="27"/>
      <c r="N1638" s="27">
        <v>2.0</v>
      </c>
      <c r="O1638" s="27"/>
      <c r="P1638" s="27"/>
      <c r="Q1638" s="17">
        <v>1.0</v>
      </c>
      <c r="R1638" s="17">
        <v>1.0</v>
      </c>
      <c r="S1638" s="17"/>
      <c r="T1638" s="14">
        <f t="shared" ref="T1638:T1640" si="79">SUM(I1638:S1638)</f>
        <v>4</v>
      </c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28"/>
      <c r="AE1638" s="28"/>
      <c r="AF1638" s="28"/>
      <c r="AG1638" s="28"/>
      <c r="AH1638" s="28"/>
      <c r="AI1638" s="28"/>
    </row>
    <row r="1639" ht="15.75" customHeight="1">
      <c r="A1639" s="17" t="s">
        <v>1907</v>
      </c>
      <c r="B1639" s="17" t="s">
        <v>21</v>
      </c>
      <c r="C1639" s="30" t="s">
        <v>1908</v>
      </c>
      <c r="D1639" s="17"/>
      <c r="E1639" s="54"/>
      <c r="F1639" s="17"/>
      <c r="G1639" s="26"/>
      <c r="H1639" s="27"/>
      <c r="I1639" s="27"/>
      <c r="J1639" s="27"/>
      <c r="K1639" s="27"/>
      <c r="L1639" s="27"/>
      <c r="M1639" s="27"/>
      <c r="N1639" s="27"/>
      <c r="O1639" s="27"/>
      <c r="P1639" s="27"/>
      <c r="Q1639" s="46"/>
      <c r="R1639" s="46"/>
      <c r="S1639" s="46"/>
      <c r="T1639" s="14">
        <f t="shared" si="79"/>
        <v>0</v>
      </c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28"/>
      <c r="AE1639" s="28"/>
      <c r="AF1639" s="28"/>
      <c r="AG1639" s="28"/>
      <c r="AH1639" s="28"/>
      <c r="AI1639" s="28"/>
    </row>
    <row r="1640" ht="15.75" customHeight="1">
      <c r="A1640" s="19" t="s">
        <v>1909</v>
      </c>
      <c r="B1640" s="40" t="s">
        <v>247</v>
      </c>
      <c r="C1640" s="16"/>
      <c r="D1640" s="17"/>
      <c r="E1640" s="48"/>
      <c r="F1640" s="14"/>
      <c r="G1640" s="20"/>
      <c r="H1640" s="14"/>
      <c r="I1640" s="14"/>
      <c r="J1640" s="14"/>
      <c r="K1640" s="14"/>
      <c r="L1640" s="14"/>
      <c r="M1640" s="14"/>
      <c r="N1640" s="34">
        <v>5.0</v>
      </c>
      <c r="O1640" s="34">
        <v>2.0</v>
      </c>
      <c r="P1640" s="34">
        <v>2.0</v>
      </c>
      <c r="Q1640" s="34"/>
      <c r="R1640" s="40">
        <v>1.0</v>
      </c>
      <c r="S1640" s="40"/>
      <c r="T1640" s="34">
        <f t="shared" si="79"/>
        <v>10</v>
      </c>
      <c r="U1640" s="22"/>
      <c r="V1640" s="22"/>
      <c r="W1640" s="22"/>
      <c r="X1640" s="22"/>
      <c r="Y1640" s="22"/>
      <c r="Z1640" s="22"/>
      <c r="AA1640" s="22"/>
      <c r="AB1640" s="22"/>
      <c r="AC1640" s="22"/>
      <c r="AD1640" s="22"/>
      <c r="AE1640" s="22"/>
      <c r="AF1640" s="22"/>
      <c r="AG1640" s="22"/>
      <c r="AH1640" s="22"/>
      <c r="AI1640" s="22"/>
    </row>
    <row r="1641" ht="15.75" customHeight="1">
      <c r="A1641" s="27" t="s">
        <v>1910</v>
      </c>
      <c r="B1641" s="41"/>
      <c r="C1641" s="25"/>
      <c r="D1641" s="17"/>
      <c r="E1641" s="18"/>
      <c r="F1641" s="27"/>
      <c r="G1641" s="26"/>
      <c r="H1641" s="27"/>
      <c r="I1641" s="27"/>
      <c r="J1641" s="27"/>
      <c r="K1641" s="27"/>
      <c r="L1641" s="27"/>
      <c r="M1641" s="27"/>
      <c r="N1641" s="41"/>
      <c r="O1641" s="41"/>
      <c r="P1641" s="41"/>
      <c r="Q1641" s="41"/>
      <c r="R1641" s="41"/>
      <c r="S1641" s="41"/>
      <c r="T1641" s="41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28"/>
      <c r="AE1641" s="28"/>
      <c r="AF1641" s="28"/>
      <c r="AG1641" s="28"/>
      <c r="AH1641" s="28"/>
      <c r="AI1641" s="28"/>
    </row>
    <row r="1642" ht="15.75" customHeight="1">
      <c r="A1642" s="14" t="s">
        <v>1911</v>
      </c>
      <c r="B1642" s="35"/>
      <c r="C1642" s="16"/>
      <c r="D1642" s="17"/>
      <c r="E1642" s="18"/>
      <c r="F1642" s="14"/>
      <c r="G1642" s="20"/>
      <c r="H1642" s="14"/>
      <c r="I1642" s="14"/>
      <c r="J1642" s="14"/>
      <c r="K1642" s="14"/>
      <c r="L1642" s="14"/>
      <c r="M1642" s="14"/>
      <c r="N1642" s="35"/>
      <c r="O1642" s="35"/>
      <c r="P1642" s="35"/>
      <c r="Q1642" s="41"/>
      <c r="R1642" s="41"/>
      <c r="S1642" s="41"/>
      <c r="T1642" s="35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  <c r="AF1642" s="22"/>
      <c r="AG1642" s="22"/>
      <c r="AH1642" s="22"/>
      <c r="AI1642" s="22"/>
    </row>
    <row r="1643" ht="15.75" customHeight="1">
      <c r="A1643" s="17" t="s">
        <v>1912</v>
      </c>
      <c r="B1643" s="17" t="s">
        <v>21</v>
      </c>
      <c r="C1643" s="25"/>
      <c r="D1643" s="17"/>
      <c r="E1643" s="18"/>
      <c r="F1643" s="27"/>
      <c r="G1643" s="26"/>
      <c r="H1643" s="27"/>
      <c r="I1643" s="27"/>
      <c r="J1643" s="27"/>
      <c r="K1643" s="27"/>
      <c r="L1643" s="27"/>
      <c r="M1643" s="27"/>
      <c r="N1643" s="27"/>
      <c r="O1643" s="27"/>
      <c r="P1643" s="27"/>
      <c r="Q1643" s="33"/>
      <c r="R1643" s="46">
        <v>2.0</v>
      </c>
      <c r="S1643" s="46"/>
      <c r="T1643" s="14">
        <f t="shared" ref="T1643:T1661" si="80">SUM(I1643:S1643)</f>
        <v>2</v>
      </c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28"/>
      <c r="AE1643" s="28"/>
      <c r="AF1643" s="28"/>
      <c r="AG1643" s="28"/>
      <c r="AH1643" s="28"/>
      <c r="AI1643" s="28"/>
    </row>
    <row r="1644" ht="15.75" customHeight="1">
      <c r="A1644" s="19" t="s">
        <v>1913</v>
      </c>
      <c r="B1644" s="17" t="s">
        <v>21</v>
      </c>
      <c r="C1644" s="25"/>
      <c r="D1644" s="17"/>
      <c r="E1644" s="18"/>
      <c r="F1644" s="27"/>
      <c r="G1644" s="26"/>
      <c r="H1644" s="27"/>
      <c r="I1644" s="27"/>
      <c r="J1644" s="27"/>
      <c r="K1644" s="27"/>
      <c r="L1644" s="27"/>
      <c r="M1644" s="27"/>
      <c r="N1644" s="27"/>
      <c r="O1644" s="27"/>
      <c r="P1644" s="27"/>
      <c r="Q1644" s="33"/>
      <c r="R1644" s="46">
        <v>2.0</v>
      </c>
      <c r="S1644" s="46"/>
      <c r="T1644" s="14">
        <f t="shared" si="80"/>
        <v>2</v>
      </c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28"/>
      <c r="AE1644" s="28"/>
      <c r="AF1644" s="28"/>
      <c r="AG1644" s="28"/>
      <c r="AH1644" s="28"/>
      <c r="AI1644" s="28"/>
    </row>
    <row r="1645" ht="15.75" customHeight="1">
      <c r="A1645" s="27" t="s">
        <v>1914</v>
      </c>
      <c r="B1645" s="27" t="s">
        <v>46</v>
      </c>
      <c r="C1645" s="25"/>
      <c r="D1645" s="17"/>
      <c r="E1645" s="18"/>
      <c r="F1645" s="27"/>
      <c r="G1645" s="23" t="s">
        <v>1248</v>
      </c>
      <c r="H1645" s="27"/>
      <c r="I1645" s="27">
        <v>1.0</v>
      </c>
      <c r="J1645" s="27">
        <v>1.0</v>
      </c>
      <c r="K1645" s="27"/>
      <c r="L1645" s="27"/>
      <c r="M1645" s="27"/>
      <c r="N1645" s="27"/>
      <c r="O1645" s="27"/>
      <c r="P1645" s="27"/>
      <c r="Q1645" s="27"/>
      <c r="R1645" s="27"/>
      <c r="S1645" s="17">
        <v>1.0</v>
      </c>
      <c r="T1645" s="14">
        <f t="shared" si="80"/>
        <v>3</v>
      </c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28"/>
      <c r="AE1645" s="28"/>
      <c r="AF1645" s="28"/>
      <c r="AG1645" s="28"/>
      <c r="AH1645" s="28"/>
      <c r="AI1645" s="28"/>
    </row>
    <row r="1646" ht="15.75" customHeight="1">
      <c r="A1646" s="19" t="s">
        <v>1915</v>
      </c>
      <c r="B1646" s="19" t="s">
        <v>90</v>
      </c>
      <c r="C1646" s="16"/>
      <c r="D1646" s="17"/>
      <c r="E1646" s="18"/>
      <c r="F1646" s="14"/>
      <c r="G1646" s="20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>
        <f t="shared" si="80"/>
        <v>0</v>
      </c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  <c r="AF1646" s="22"/>
      <c r="AG1646" s="22"/>
      <c r="AH1646" s="22"/>
      <c r="AI1646" s="22"/>
    </row>
    <row r="1647" ht="15.75" customHeight="1">
      <c r="A1647" s="19" t="s">
        <v>1916</v>
      </c>
      <c r="B1647" s="19" t="s">
        <v>87</v>
      </c>
      <c r="C1647" s="24" t="s">
        <v>150</v>
      </c>
      <c r="D1647" s="17" t="s">
        <v>180</v>
      </c>
      <c r="E1647" s="18">
        <v>45933.0</v>
      </c>
      <c r="F1647" s="19"/>
      <c r="G1647" s="20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9">
        <v>2.0</v>
      </c>
      <c r="T1647" s="14">
        <f t="shared" si="80"/>
        <v>2</v>
      </c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  <c r="AF1647" s="22"/>
      <c r="AG1647" s="22"/>
      <c r="AH1647" s="22"/>
      <c r="AI1647" s="22"/>
    </row>
    <row r="1648" ht="15.75" customHeight="1">
      <c r="A1648" s="19" t="s">
        <v>1917</v>
      </c>
      <c r="B1648" s="19" t="s">
        <v>21</v>
      </c>
      <c r="C1648" s="16"/>
      <c r="D1648" s="17"/>
      <c r="E1648" s="18"/>
      <c r="F1648" s="14"/>
      <c r="G1648" s="20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27"/>
      <c r="S1648" s="27"/>
      <c r="T1648" s="14">
        <f t="shared" si="80"/>
        <v>0</v>
      </c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  <c r="AF1648" s="22"/>
      <c r="AG1648" s="22"/>
      <c r="AH1648" s="22"/>
      <c r="AI1648" s="22"/>
    </row>
    <row r="1649" ht="15.75" customHeight="1">
      <c r="A1649" s="14" t="s">
        <v>1918</v>
      </c>
      <c r="B1649" s="19" t="s">
        <v>68</v>
      </c>
      <c r="C1649" s="16"/>
      <c r="D1649" s="17"/>
      <c r="E1649" s="18"/>
      <c r="F1649" s="14"/>
      <c r="G1649" s="20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>
        <f t="shared" si="80"/>
        <v>0</v>
      </c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  <c r="AF1649" s="22"/>
      <c r="AG1649" s="22"/>
      <c r="AH1649" s="22"/>
      <c r="AI1649" s="22"/>
    </row>
    <row r="1650" ht="15.75" customHeight="1">
      <c r="A1650" s="17" t="s">
        <v>1919</v>
      </c>
      <c r="B1650" s="17" t="s">
        <v>49</v>
      </c>
      <c r="C1650" s="25"/>
      <c r="D1650" s="17"/>
      <c r="E1650" s="48"/>
      <c r="F1650" s="27"/>
      <c r="G1650" s="26"/>
      <c r="H1650" s="27"/>
      <c r="I1650" s="27"/>
      <c r="J1650" s="27"/>
      <c r="K1650" s="27"/>
      <c r="L1650" s="27"/>
      <c r="M1650" s="27"/>
      <c r="N1650" s="27"/>
      <c r="O1650" s="27"/>
      <c r="P1650" s="27"/>
      <c r="Q1650" s="17">
        <v>2.0</v>
      </c>
      <c r="R1650" s="14"/>
      <c r="S1650" s="19">
        <v>1.0</v>
      </c>
      <c r="T1650" s="14">
        <f t="shared" si="80"/>
        <v>3</v>
      </c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28"/>
      <c r="AE1650" s="28"/>
      <c r="AF1650" s="28"/>
      <c r="AG1650" s="28"/>
      <c r="AH1650" s="28"/>
      <c r="AI1650" s="28"/>
    </row>
    <row r="1651" ht="15.75" customHeight="1">
      <c r="A1651" s="27" t="s">
        <v>1920</v>
      </c>
      <c r="B1651" s="17" t="s">
        <v>65</v>
      </c>
      <c r="C1651" s="25"/>
      <c r="D1651" s="17"/>
      <c r="E1651" s="18"/>
      <c r="F1651" s="27"/>
      <c r="G1651" s="26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14">
        <f t="shared" si="80"/>
        <v>0</v>
      </c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28"/>
      <c r="AE1651" s="28"/>
      <c r="AF1651" s="28"/>
      <c r="AG1651" s="28"/>
      <c r="AH1651" s="28"/>
      <c r="AI1651" s="28"/>
    </row>
    <row r="1652" ht="15.75" customHeight="1">
      <c r="A1652" s="19" t="s">
        <v>1921</v>
      </c>
      <c r="B1652" s="19" t="s">
        <v>230</v>
      </c>
      <c r="C1652" s="16"/>
      <c r="D1652" s="17"/>
      <c r="E1652" s="18"/>
      <c r="F1652" s="14"/>
      <c r="G1652" s="20"/>
      <c r="H1652" s="14"/>
      <c r="I1652" s="14"/>
      <c r="J1652" s="14"/>
      <c r="K1652" s="14"/>
      <c r="L1652" s="14"/>
      <c r="M1652" s="14"/>
      <c r="N1652" s="14"/>
      <c r="O1652" s="14">
        <v>1.0</v>
      </c>
      <c r="P1652" s="14">
        <v>2.0</v>
      </c>
      <c r="Q1652" s="14"/>
      <c r="R1652" s="14"/>
      <c r="S1652" s="19">
        <v>1.0</v>
      </c>
      <c r="T1652" s="14">
        <f t="shared" si="80"/>
        <v>4</v>
      </c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F1652" s="22"/>
      <c r="AG1652" s="22"/>
      <c r="AH1652" s="22"/>
      <c r="AI1652" s="22"/>
    </row>
    <row r="1653" ht="15.75" customHeight="1">
      <c r="A1653" s="27" t="s">
        <v>1922</v>
      </c>
      <c r="B1653" s="27" t="s">
        <v>62</v>
      </c>
      <c r="C1653" s="25"/>
      <c r="D1653" s="17"/>
      <c r="E1653" s="18"/>
      <c r="F1653" s="27"/>
      <c r="G1653" s="26"/>
      <c r="H1653" s="27"/>
      <c r="I1653" s="27"/>
      <c r="J1653" s="27">
        <v>1.0</v>
      </c>
      <c r="K1653" s="27"/>
      <c r="L1653" s="27"/>
      <c r="M1653" s="27"/>
      <c r="N1653" s="27"/>
      <c r="O1653" s="27">
        <v>1.0</v>
      </c>
      <c r="P1653" s="27"/>
      <c r="Q1653" s="27"/>
      <c r="R1653" s="27"/>
      <c r="S1653" s="27"/>
      <c r="T1653" s="14">
        <f t="shared" si="80"/>
        <v>2</v>
      </c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28"/>
      <c r="AE1653" s="28"/>
      <c r="AF1653" s="28"/>
      <c r="AG1653" s="28"/>
      <c r="AH1653" s="28"/>
      <c r="AI1653" s="28"/>
    </row>
    <row r="1654" ht="15.75" customHeight="1">
      <c r="A1654" s="23" t="s">
        <v>1923</v>
      </c>
      <c r="B1654" s="19" t="s">
        <v>22</v>
      </c>
      <c r="C1654" s="16"/>
      <c r="D1654" s="17"/>
      <c r="E1654" s="18"/>
      <c r="F1654" s="14"/>
      <c r="G1654" s="20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>
        <f t="shared" si="80"/>
        <v>0</v>
      </c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2"/>
    </row>
    <row r="1655" ht="15.75" customHeight="1">
      <c r="A1655" s="27" t="s">
        <v>1924</v>
      </c>
      <c r="B1655" s="17" t="s">
        <v>145</v>
      </c>
      <c r="C1655" s="25"/>
      <c r="D1655" s="17"/>
      <c r="E1655" s="18"/>
      <c r="F1655" s="27"/>
      <c r="G1655" s="26"/>
      <c r="H1655" s="27"/>
      <c r="I1655" s="27"/>
      <c r="J1655" s="27">
        <v>2.0</v>
      </c>
      <c r="K1655" s="27">
        <v>1.0</v>
      </c>
      <c r="L1655" s="27">
        <v>1.0</v>
      </c>
      <c r="M1655" s="27"/>
      <c r="N1655" s="27"/>
      <c r="O1655" s="27"/>
      <c r="P1655" s="27"/>
      <c r="Q1655" s="27"/>
      <c r="R1655" s="27"/>
      <c r="S1655" s="27"/>
      <c r="T1655" s="14">
        <f t="shared" si="80"/>
        <v>4</v>
      </c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28"/>
      <c r="AE1655" s="28"/>
      <c r="AF1655" s="28"/>
      <c r="AG1655" s="28"/>
      <c r="AH1655" s="28"/>
      <c r="AI1655" s="28"/>
    </row>
    <row r="1656" ht="15.75" customHeight="1">
      <c r="A1656" s="14" t="s">
        <v>1925</v>
      </c>
      <c r="B1656" s="19" t="s">
        <v>532</v>
      </c>
      <c r="C1656" s="16"/>
      <c r="D1656" s="17"/>
      <c r="E1656" s="18"/>
      <c r="F1656" s="14"/>
      <c r="G1656" s="14" t="s">
        <v>40</v>
      </c>
      <c r="H1656" s="14" t="s">
        <v>1926</v>
      </c>
      <c r="I1656" s="14"/>
      <c r="J1656" s="14"/>
      <c r="K1656" s="14"/>
      <c r="L1656" s="14"/>
      <c r="M1656" s="14"/>
      <c r="N1656" s="14">
        <v>1.0</v>
      </c>
      <c r="O1656" s="14"/>
      <c r="P1656" s="14"/>
      <c r="Q1656" s="14"/>
      <c r="R1656" s="14"/>
      <c r="S1656" s="14"/>
      <c r="T1656" s="14">
        <f t="shared" si="80"/>
        <v>1</v>
      </c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  <c r="AF1656" s="22"/>
      <c r="AG1656" s="22"/>
      <c r="AH1656" s="22"/>
      <c r="AI1656" s="22"/>
    </row>
    <row r="1657" ht="15.75" customHeight="1">
      <c r="A1657" s="17" t="s">
        <v>1927</v>
      </c>
      <c r="B1657" s="17" t="s">
        <v>90</v>
      </c>
      <c r="C1657" s="25"/>
      <c r="D1657" s="17"/>
      <c r="E1657" s="18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17">
        <v>1.0</v>
      </c>
      <c r="R1657" s="27"/>
      <c r="S1657" s="27"/>
      <c r="T1657" s="14">
        <f t="shared" si="80"/>
        <v>1</v>
      </c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28"/>
      <c r="AE1657" s="28"/>
      <c r="AF1657" s="28"/>
      <c r="AG1657" s="28"/>
      <c r="AH1657" s="28"/>
      <c r="AI1657" s="28"/>
    </row>
    <row r="1658" ht="15.75" customHeight="1">
      <c r="A1658" s="14" t="s">
        <v>1928</v>
      </c>
      <c r="B1658" s="19" t="s">
        <v>535</v>
      </c>
      <c r="C1658" s="16"/>
      <c r="D1658" s="17"/>
      <c r="E1658" s="18"/>
      <c r="F1658" s="67"/>
      <c r="G1658" s="14" t="s">
        <v>40</v>
      </c>
      <c r="H1658" s="14" t="s">
        <v>1929</v>
      </c>
      <c r="I1658" s="14"/>
      <c r="J1658" s="14"/>
      <c r="K1658" s="14">
        <v>4.0</v>
      </c>
      <c r="L1658" s="14">
        <v>3.0</v>
      </c>
      <c r="M1658" s="14">
        <v>1.0</v>
      </c>
      <c r="N1658" s="14"/>
      <c r="O1658" s="14">
        <v>1.0</v>
      </c>
      <c r="P1658" s="14"/>
      <c r="Q1658" s="14"/>
      <c r="R1658" s="14"/>
      <c r="S1658" s="14"/>
      <c r="T1658" s="14">
        <f t="shared" si="80"/>
        <v>9</v>
      </c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F1658" s="22"/>
      <c r="AG1658" s="22"/>
      <c r="AH1658" s="22"/>
      <c r="AI1658" s="22"/>
    </row>
    <row r="1659" ht="15.75" customHeight="1">
      <c r="A1659" s="19" t="s">
        <v>1930</v>
      </c>
      <c r="B1659" s="19" t="s">
        <v>206</v>
      </c>
      <c r="C1659" s="24" t="s">
        <v>43</v>
      </c>
      <c r="D1659" s="17"/>
      <c r="E1659" s="54"/>
      <c r="F1659" s="19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9">
        <v>1.0</v>
      </c>
      <c r="S1659" s="19">
        <v>1.0</v>
      </c>
      <c r="T1659" s="14">
        <f t="shared" si="80"/>
        <v>2</v>
      </c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F1659" s="22"/>
      <c r="AG1659" s="22"/>
      <c r="AH1659" s="22"/>
      <c r="AI1659" s="22"/>
    </row>
    <row r="1660" ht="15.75" customHeight="1">
      <c r="A1660" s="17" t="s">
        <v>1931</v>
      </c>
      <c r="B1660" s="27" t="s">
        <v>125</v>
      </c>
      <c r="C1660" s="25"/>
      <c r="D1660" s="47"/>
      <c r="E1660" s="48"/>
      <c r="F1660" s="27"/>
      <c r="G1660" s="26"/>
      <c r="H1660" s="27"/>
      <c r="I1660" s="27"/>
      <c r="J1660" s="27"/>
      <c r="K1660" s="27"/>
      <c r="L1660" s="27"/>
      <c r="M1660" s="27"/>
      <c r="N1660" s="27"/>
      <c r="O1660" s="27"/>
      <c r="P1660" s="27"/>
      <c r="Q1660" s="17">
        <v>5.0</v>
      </c>
      <c r="R1660" s="19">
        <v>2.0</v>
      </c>
      <c r="S1660" s="19">
        <v>2.0</v>
      </c>
      <c r="T1660" s="14">
        <f t="shared" si="80"/>
        <v>9</v>
      </c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28"/>
      <c r="AE1660" s="28"/>
      <c r="AF1660" s="28"/>
      <c r="AG1660" s="28"/>
      <c r="AH1660" s="28"/>
      <c r="AI1660" s="28"/>
    </row>
    <row r="1661" ht="15.75" customHeight="1">
      <c r="A1661" s="27" t="s">
        <v>1932</v>
      </c>
      <c r="B1661" s="46" t="s">
        <v>763</v>
      </c>
      <c r="C1661" s="25"/>
      <c r="D1661" s="17"/>
      <c r="E1661" s="18"/>
      <c r="F1661" s="27"/>
      <c r="G1661" s="26"/>
      <c r="H1661" s="27"/>
      <c r="I1661" s="27"/>
      <c r="J1661" s="27"/>
      <c r="K1661" s="27"/>
      <c r="L1661" s="27"/>
      <c r="M1661" s="27"/>
      <c r="N1661" s="27"/>
      <c r="O1661" s="27"/>
      <c r="P1661" s="33">
        <v>2.0</v>
      </c>
      <c r="Q1661" s="46">
        <v>1.0</v>
      </c>
      <c r="R1661" s="33"/>
      <c r="S1661" s="33"/>
      <c r="T1661" s="34">
        <f t="shared" si="80"/>
        <v>3</v>
      </c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28"/>
      <c r="AE1661" s="28"/>
      <c r="AF1661" s="28"/>
      <c r="AG1661" s="28"/>
      <c r="AH1661" s="28"/>
      <c r="AI1661" s="28"/>
    </row>
    <row r="1662" ht="15.75" customHeight="1">
      <c r="A1662" s="14" t="s">
        <v>1933</v>
      </c>
      <c r="B1662" s="41"/>
      <c r="C1662" s="16"/>
      <c r="D1662" s="17"/>
      <c r="E1662" s="18"/>
      <c r="F1662" s="14"/>
      <c r="G1662" s="20"/>
      <c r="H1662" s="14"/>
      <c r="I1662" s="14"/>
      <c r="J1662" s="14"/>
      <c r="K1662" s="14"/>
      <c r="L1662" s="14"/>
      <c r="M1662" s="14"/>
      <c r="N1662" s="14"/>
      <c r="O1662" s="14"/>
      <c r="P1662" s="41"/>
      <c r="Q1662" s="41"/>
      <c r="R1662" s="41"/>
      <c r="S1662" s="41"/>
      <c r="T1662" s="41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  <c r="AF1662" s="22"/>
      <c r="AG1662" s="22"/>
      <c r="AH1662" s="22"/>
      <c r="AI1662" s="22"/>
    </row>
    <row r="1663" ht="15.75" customHeight="1">
      <c r="A1663" s="27" t="s">
        <v>1934</v>
      </c>
      <c r="B1663" s="41"/>
      <c r="C1663" s="25"/>
      <c r="D1663" s="17"/>
      <c r="E1663" s="18"/>
      <c r="F1663" s="27"/>
      <c r="G1663" s="26"/>
      <c r="H1663" s="27"/>
      <c r="I1663" s="27"/>
      <c r="J1663" s="27"/>
      <c r="K1663" s="27"/>
      <c r="L1663" s="27"/>
      <c r="M1663" s="27"/>
      <c r="N1663" s="27"/>
      <c r="O1663" s="27"/>
      <c r="P1663" s="41"/>
      <c r="Q1663" s="41"/>
      <c r="R1663" s="41"/>
      <c r="S1663" s="41"/>
      <c r="T1663" s="41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28"/>
      <c r="AE1663" s="28"/>
      <c r="AF1663" s="28"/>
      <c r="AG1663" s="28"/>
      <c r="AH1663" s="28"/>
      <c r="AI1663" s="28"/>
    </row>
    <row r="1664" ht="15.75" customHeight="1">
      <c r="A1664" s="14" t="s">
        <v>1935</v>
      </c>
      <c r="B1664" s="41"/>
      <c r="C1664" s="16"/>
      <c r="D1664" s="17"/>
      <c r="E1664" s="18"/>
      <c r="F1664" s="14"/>
      <c r="G1664" s="20"/>
      <c r="H1664" s="14"/>
      <c r="I1664" s="14"/>
      <c r="J1664" s="14"/>
      <c r="K1664" s="14"/>
      <c r="L1664" s="14"/>
      <c r="M1664" s="14"/>
      <c r="N1664" s="14"/>
      <c r="O1664" s="14"/>
      <c r="P1664" s="41"/>
      <c r="Q1664" s="41"/>
      <c r="R1664" s="41"/>
      <c r="S1664" s="41"/>
      <c r="T1664" s="41"/>
      <c r="U1664" s="22"/>
      <c r="V1664" s="22"/>
      <c r="W1664" s="22"/>
      <c r="X1664" s="22"/>
      <c r="Y1664" s="22"/>
      <c r="Z1664" s="22"/>
      <c r="AA1664" s="22"/>
      <c r="AB1664" s="22"/>
      <c r="AC1664" s="22"/>
      <c r="AD1664" s="22"/>
      <c r="AE1664" s="22"/>
      <c r="AF1664" s="22"/>
      <c r="AG1664" s="22"/>
      <c r="AH1664" s="22"/>
      <c r="AI1664" s="22"/>
    </row>
    <row r="1665" ht="15.75" customHeight="1">
      <c r="A1665" s="17" t="s">
        <v>1936</v>
      </c>
      <c r="B1665" s="35"/>
      <c r="C1665" s="25"/>
      <c r="D1665" s="17"/>
      <c r="E1665" s="18"/>
      <c r="F1665" s="27"/>
      <c r="G1665" s="26"/>
      <c r="H1665" s="27"/>
      <c r="I1665" s="27"/>
      <c r="J1665" s="27"/>
      <c r="K1665" s="27"/>
      <c r="L1665" s="27"/>
      <c r="M1665" s="27"/>
      <c r="N1665" s="27"/>
      <c r="O1665" s="27"/>
      <c r="P1665" s="35"/>
      <c r="Q1665" s="35"/>
      <c r="R1665" s="35"/>
      <c r="S1665" s="35"/>
      <c r="T1665" s="35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28"/>
      <c r="AE1665" s="28"/>
      <c r="AF1665" s="28"/>
      <c r="AG1665" s="28"/>
      <c r="AH1665" s="28"/>
      <c r="AI1665" s="28"/>
    </row>
    <row r="1666" ht="15.75" customHeight="1">
      <c r="A1666" s="27" t="s">
        <v>1937</v>
      </c>
      <c r="B1666" s="17" t="s">
        <v>49</v>
      </c>
      <c r="C1666" s="25"/>
      <c r="D1666" s="17"/>
      <c r="E1666" s="18"/>
      <c r="F1666" s="27"/>
      <c r="G1666" s="26"/>
      <c r="H1666" s="27"/>
      <c r="I1666" s="27"/>
      <c r="J1666" s="27"/>
      <c r="K1666" s="27"/>
      <c r="L1666" s="27"/>
      <c r="M1666" s="27">
        <v>1.0</v>
      </c>
      <c r="N1666" s="27">
        <v>3.0</v>
      </c>
      <c r="O1666" s="27">
        <v>1.0</v>
      </c>
      <c r="P1666" s="27"/>
      <c r="Q1666" s="27"/>
      <c r="R1666" s="27"/>
      <c r="S1666" s="17">
        <v>1.0</v>
      </c>
      <c r="T1666" s="14">
        <f t="shared" ref="T1666:T1690" si="81">SUM(I1666:S1666)</f>
        <v>6</v>
      </c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28"/>
      <c r="AE1666" s="28"/>
      <c r="AF1666" s="28"/>
      <c r="AG1666" s="28"/>
      <c r="AH1666" s="28"/>
      <c r="AI1666" s="28"/>
    </row>
    <row r="1667" ht="15.75" customHeight="1">
      <c r="A1667" s="22" t="s">
        <v>1938</v>
      </c>
      <c r="B1667" s="19" t="s">
        <v>192</v>
      </c>
      <c r="C1667" s="16"/>
      <c r="D1667" s="17"/>
      <c r="E1667" s="18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>
        <v>5.0</v>
      </c>
      <c r="P1667" s="14">
        <v>2.0</v>
      </c>
      <c r="Q1667" s="19">
        <v>1.0</v>
      </c>
      <c r="R1667" s="19">
        <v>5.0</v>
      </c>
      <c r="S1667" s="19">
        <v>2.0</v>
      </c>
      <c r="T1667" s="14">
        <f t="shared" si="81"/>
        <v>15</v>
      </c>
      <c r="U1667" s="22"/>
      <c r="V1667" s="22"/>
      <c r="W1667" s="22"/>
      <c r="X1667" s="22"/>
      <c r="Y1667" s="22"/>
      <c r="Z1667" s="22"/>
      <c r="AA1667" s="22"/>
      <c r="AB1667" s="22"/>
      <c r="AC1667" s="22"/>
      <c r="AD1667" s="22"/>
      <c r="AE1667" s="22"/>
      <c r="AF1667" s="22"/>
      <c r="AG1667" s="22"/>
      <c r="AH1667" s="22"/>
      <c r="AI1667" s="22"/>
    </row>
    <row r="1668" ht="15.75" customHeight="1">
      <c r="A1668" s="27" t="s">
        <v>1939</v>
      </c>
      <c r="B1668" s="17" t="s">
        <v>263</v>
      </c>
      <c r="C1668" s="25"/>
      <c r="D1668" s="17"/>
      <c r="E1668" s="18"/>
      <c r="F1668" s="27"/>
      <c r="G1668" s="27"/>
      <c r="H1668" s="27"/>
      <c r="I1668" s="27"/>
      <c r="J1668" s="27"/>
      <c r="K1668" s="27"/>
      <c r="L1668" s="27"/>
      <c r="M1668" s="27">
        <v>1.0</v>
      </c>
      <c r="N1668" s="27"/>
      <c r="O1668" s="27"/>
      <c r="P1668" s="27"/>
      <c r="Q1668" s="27"/>
      <c r="R1668" s="27"/>
      <c r="S1668" s="27"/>
      <c r="T1668" s="14">
        <f t="shared" si="81"/>
        <v>1</v>
      </c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28"/>
      <c r="AE1668" s="28"/>
      <c r="AF1668" s="28"/>
      <c r="AG1668" s="28"/>
      <c r="AH1668" s="28"/>
      <c r="AI1668" s="28"/>
    </row>
    <row r="1669" ht="15.75" customHeight="1">
      <c r="A1669" s="17" t="s">
        <v>1940</v>
      </c>
      <c r="B1669" s="17" t="s">
        <v>488</v>
      </c>
      <c r="C1669" s="30" t="s">
        <v>1941</v>
      </c>
      <c r="D1669" s="17"/>
      <c r="E1669" s="18"/>
      <c r="F1669" s="1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14">
        <f t="shared" si="81"/>
        <v>0</v>
      </c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28"/>
      <c r="AE1669" s="28"/>
      <c r="AF1669" s="28"/>
      <c r="AG1669" s="28"/>
      <c r="AH1669" s="28"/>
      <c r="AI1669" s="28"/>
    </row>
    <row r="1670" ht="15.75" customHeight="1">
      <c r="A1670" s="19" t="s">
        <v>1942</v>
      </c>
      <c r="B1670" s="19" t="s">
        <v>263</v>
      </c>
      <c r="C1670" s="16"/>
      <c r="D1670" s="17"/>
      <c r="E1670" s="18"/>
      <c r="F1670" s="14"/>
      <c r="G1670" s="20"/>
      <c r="H1670" s="14"/>
      <c r="I1670" s="14"/>
      <c r="J1670" s="14"/>
      <c r="K1670" s="14"/>
      <c r="L1670" s="14"/>
      <c r="M1670" s="14"/>
      <c r="N1670" s="14"/>
      <c r="O1670" s="14"/>
      <c r="P1670" s="14"/>
      <c r="Q1670" s="19">
        <v>1.0</v>
      </c>
      <c r="R1670" s="19">
        <v>1.0</v>
      </c>
      <c r="S1670" s="19"/>
      <c r="T1670" s="14">
        <f t="shared" si="81"/>
        <v>2</v>
      </c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  <c r="AG1670" s="22"/>
      <c r="AH1670" s="22"/>
      <c r="AI1670" s="22"/>
    </row>
    <row r="1671" ht="15.75" customHeight="1">
      <c r="A1671" s="14" t="s">
        <v>1943</v>
      </c>
      <c r="B1671" s="14" t="s">
        <v>46</v>
      </c>
      <c r="C1671" s="16"/>
      <c r="D1671" s="17"/>
      <c r="E1671" s="18"/>
      <c r="F1671" s="14"/>
      <c r="G1671" s="14" t="s">
        <v>40</v>
      </c>
      <c r="H1671" s="14" t="s">
        <v>1944</v>
      </c>
      <c r="I1671" s="14"/>
      <c r="J1671" s="14"/>
      <c r="K1671" s="14"/>
      <c r="L1671" s="14"/>
      <c r="M1671" s="14">
        <v>1.0</v>
      </c>
      <c r="N1671" s="14"/>
      <c r="O1671" s="14">
        <v>1.0</v>
      </c>
      <c r="P1671" s="14"/>
      <c r="Q1671" s="14"/>
      <c r="R1671" s="19">
        <v>2.0</v>
      </c>
      <c r="S1671" s="19"/>
      <c r="T1671" s="14">
        <f t="shared" si="81"/>
        <v>4</v>
      </c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22"/>
      <c r="AG1671" s="22"/>
      <c r="AH1671" s="22"/>
      <c r="AI1671" s="22"/>
    </row>
    <row r="1672" ht="15.75" customHeight="1">
      <c r="A1672" s="27" t="s">
        <v>1945</v>
      </c>
      <c r="B1672" s="17" t="s">
        <v>60</v>
      </c>
      <c r="C1672" s="25"/>
      <c r="D1672" s="17"/>
      <c r="E1672" s="18"/>
      <c r="F1672" s="27"/>
      <c r="G1672" s="26"/>
      <c r="H1672" s="27"/>
      <c r="I1672" s="27"/>
      <c r="J1672" s="27"/>
      <c r="K1672" s="27"/>
      <c r="L1672" s="27"/>
      <c r="M1672" s="27">
        <v>5.0</v>
      </c>
      <c r="N1672" s="27">
        <v>4.0</v>
      </c>
      <c r="O1672" s="27"/>
      <c r="P1672" s="27"/>
      <c r="Q1672" s="27"/>
      <c r="R1672" s="27"/>
      <c r="S1672" s="27"/>
      <c r="T1672" s="14">
        <f t="shared" si="81"/>
        <v>9</v>
      </c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28"/>
      <c r="AE1672" s="28"/>
      <c r="AF1672" s="28"/>
      <c r="AG1672" s="28"/>
      <c r="AH1672" s="28"/>
      <c r="AI1672" s="28"/>
    </row>
    <row r="1673" ht="15.75" customHeight="1">
      <c r="A1673" s="17" t="s">
        <v>1946</v>
      </c>
      <c r="B1673" s="17" t="s">
        <v>73</v>
      </c>
      <c r="C1673" s="30" t="s">
        <v>335</v>
      </c>
      <c r="D1673" s="17"/>
      <c r="E1673" s="18"/>
      <c r="F1673" s="17" t="s">
        <v>74</v>
      </c>
      <c r="G1673" s="26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14">
        <f t="shared" si="81"/>
        <v>0</v>
      </c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28"/>
      <c r="AE1673" s="28"/>
      <c r="AF1673" s="28"/>
      <c r="AG1673" s="28"/>
      <c r="AH1673" s="28"/>
      <c r="AI1673" s="28"/>
    </row>
    <row r="1674" ht="15.75" customHeight="1">
      <c r="A1674" s="14" t="s">
        <v>1947</v>
      </c>
      <c r="B1674" s="19" t="s">
        <v>238</v>
      </c>
      <c r="C1674" s="16"/>
      <c r="D1674" s="17"/>
      <c r="E1674" s="18"/>
      <c r="F1674" s="14"/>
      <c r="G1674" s="20"/>
      <c r="H1674" s="14"/>
      <c r="I1674" s="14"/>
      <c r="J1674" s="14">
        <v>2.0</v>
      </c>
      <c r="K1674" s="14">
        <v>1.0</v>
      </c>
      <c r="L1674" s="14">
        <v>2.0</v>
      </c>
      <c r="M1674" s="14"/>
      <c r="N1674" s="14"/>
      <c r="O1674" s="14">
        <v>1.0</v>
      </c>
      <c r="P1674" s="14">
        <v>2.0</v>
      </c>
      <c r="Q1674" s="14"/>
      <c r="R1674" s="19">
        <v>1.0</v>
      </c>
      <c r="S1674" s="19"/>
      <c r="T1674" s="14">
        <f t="shared" si="81"/>
        <v>9</v>
      </c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22"/>
      <c r="AG1674" s="22"/>
      <c r="AH1674" s="22"/>
      <c r="AI1674" s="22"/>
    </row>
    <row r="1675" ht="15.75" customHeight="1">
      <c r="A1675" s="27" t="s">
        <v>1948</v>
      </c>
      <c r="B1675" s="17" t="s">
        <v>1271</v>
      </c>
      <c r="C1675" s="25"/>
      <c r="D1675" s="17"/>
      <c r="E1675" s="18"/>
      <c r="F1675" s="27"/>
      <c r="G1675" s="27"/>
      <c r="H1675" s="27"/>
      <c r="I1675" s="27"/>
      <c r="J1675" s="27"/>
      <c r="K1675" s="27"/>
      <c r="L1675" s="27"/>
      <c r="M1675" s="27">
        <v>1.0</v>
      </c>
      <c r="N1675" s="27">
        <v>1.0</v>
      </c>
      <c r="O1675" s="27">
        <v>1.0</v>
      </c>
      <c r="P1675" s="27"/>
      <c r="Q1675" s="27"/>
      <c r="R1675" s="27"/>
      <c r="S1675" s="27"/>
      <c r="T1675" s="14">
        <f t="shared" si="81"/>
        <v>3</v>
      </c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28"/>
      <c r="AE1675" s="28"/>
      <c r="AF1675" s="28"/>
      <c r="AG1675" s="28"/>
      <c r="AH1675" s="28"/>
      <c r="AI1675" s="28"/>
    </row>
    <row r="1676" ht="15.75" customHeight="1">
      <c r="A1676" s="14" t="s">
        <v>1949</v>
      </c>
      <c r="B1676" s="19" t="s">
        <v>392</v>
      </c>
      <c r="C1676" s="16"/>
      <c r="D1676" s="17"/>
      <c r="E1676" s="18"/>
      <c r="F1676" s="14"/>
      <c r="G1676" s="14"/>
      <c r="H1676" s="14"/>
      <c r="I1676" s="14"/>
      <c r="J1676" s="14"/>
      <c r="K1676" s="14"/>
      <c r="L1676" s="14"/>
      <c r="M1676" s="14">
        <v>1.0</v>
      </c>
      <c r="N1676" s="14">
        <v>2.0</v>
      </c>
      <c r="O1676" s="14"/>
      <c r="P1676" s="14"/>
      <c r="Q1676" s="14"/>
      <c r="R1676" s="14"/>
      <c r="S1676" s="14"/>
      <c r="T1676" s="14">
        <f t="shared" si="81"/>
        <v>3</v>
      </c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  <c r="AF1676" s="22"/>
      <c r="AG1676" s="22"/>
      <c r="AH1676" s="22"/>
      <c r="AI1676" s="22"/>
    </row>
    <row r="1677" ht="15.75" customHeight="1">
      <c r="A1677" s="19" t="s">
        <v>1950</v>
      </c>
      <c r="B1677" s="17" t="s">
        <v>136</v>
      </c>
      <c r="C1677" s="63" t="s">
        <v>222</v>
      </c>
      <c r="D1677" s="17" t="s">
        <v>691</v>
      </c>
      <c r="E1677" s="18">
        <v>45948.0</v>
      </c>
      <c r="F1677" s="17"/>
      <c r="G1677" s="26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19">
        <v>1.0</v>
      </c>
      <c r="S1677" s="19">
        <v>2.0</v>
      </c>
      <c r="T1677" s="14">
        <f t="shared" si="81"/>
        <v>3</v>
      </c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28"/>
      <c r="AE1677" s="28"/>
      <c r="AF1677" s="28"/>
      <c r="AG1677" s="28"/>
      <c r="AH1677" s="28"/>
      <c r="AI1677" s="28"/>
    </row>
    <row r="1678" ht="15.75" customHeight="1">
      <c r="A1678" s="17" t="s">
        <v>1951</v>
      </c>
      <c r="B1678" s="17" t="s">
        <v>21</v>
      </c>
      <c r="C1678" s="63" t="s">
        <v>317</v>
      </c>
      <c r="D1678" s="17"/>
      <c r="E1678" s="18"/>
      <c r="F1678" s="17"/>
      <c r="G1678" s="26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14"/>
      <c r="S1678" s="19">
        <v>1.0</v>
      </c>
      <c r="T1678" s="14">
        <f t="shared" si="81"/>
        <v>1</v>
      </c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28"/>
      <c r="AE1678" s="28"/>
      <c r="AF1678" s="28"/>
      <c r="AG1678" s="28"/>
      <c r="AH1678" s="28"/>
      <c r="AI1678" s="28"/>
    </row>
    <row r="1679" ht="15.75" customHeight="1">
      <c r="A1679" s="17" t="s">
        <v>1952</v>
      </c>
      <c r="B1679" s="17" t="s">
        <v>25</v>
      </c>
      <c r="C1679" s="63" t="s">
        <v>222</v>
      </c>
      <c r="D1679" s="17"/>
      <c r="E1679" s="18"/>
      <c r="F1679" s="27"/>
      <c r="G1679" s="26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17">
        <v>1.0</v>
      </c>
      <c r="S1679" s="17"/>
      <c r="T1679" s="14">
        <f t="shared" si="81"/>
        <v>1</v>
      </c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28"/>
      <c r="AE1679" s="28"/>
      <c r="AF1679" s="28"/>
      <c r="AG1679" s="28"/>
      <c r="AH1679" s="28"/>
      <c r="AI1679" s="28"/>
    </row>
    <row r="1680" ht="15.75" customHeight="1">
      <c r="A1680" s="27" t="s">
        <v>1953</v>
      </c>
      <c r="B1680" s="27" t="s">
        <v>25</v>
      </c>
      <c r="C1680" s="25"/>
      <c r="D1680" s="17"/>
      <c r="E1680" s="18"/>
      <c r="F1680" s="27"/>
      <c r="G1680" s="26"/>
      <c r="H1680" s="27"/>
      <c r="I1680" s="27"/>
      <c r="J1680" s="27"/>
      <c r="K1680" s="27"/>
      <c r="L1680" s="27"/>
      <c r="M1680" s="27">
        <v>1.0</v>
      </c>
      <c r="N1680" s="27"/>
      <c r="O1680" s="27"/>
      <c r="P1680" s="27"/>
      <c r="Q1680" s="27"/>
      <c r="R1680" s="27"/>
      <c r="S1680" s="27"/>
      <c r="T1680" s="14">
        <f t="shared" si="81"/>
        <v>1</v>
      </c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28"/>
      <c r="AE1680" s="28"/>
      <c r="AF1680" s="28"/>
      <c r="AG1680" s="28"/>
      <c r="AH1680" s="28"/>
      <c r="AI1680" s="28"/>
    </row>
    <row r="1681" ht="15.75" customHeight="1">
      <c r="A1681" s="19" t="s">
        <v>1954</v>
      </c>
      <c r="B1681" s="19" t="s">
        <v>214</v>
      </c>
      <c r="C1681" s="16"/>
      <c r="D1681" s="17"/>
      <c r="E1681" s="18"/>
      <c r="F1681" s="67"/>
      <c r="G1681" s="20"/>
      <c r="H1681" s="14"/>
      <c r="I1681" s="14"/>
      <c r="J1681" s="14"/>
      <c r="K1681" s="14"/>
      <c r="L1681" s="14"/>
      <c r="M1681" s="14"/>
      <c r="N1681" s="14"/>
      <c r="O1681" s="14"/>
      <c r="P1681" s="14"/>
      <c r="Q1681" s="19">
        <v>2.0</v>
      </c>
      <c r="R1681" s="14"/>
      <c r="S1681" s="14"/>
      <c r="T1681" s="14">
        <f t="shared" si="81"/>
        <v>2</v>
      </c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  <c r="AF1681" s="22"/>
      <c r="AG1681" s="22"/>
      <c r="AH1681" s="22"/>
      <c r="AI1681" s="22"/>
    </row>
    <row r="1682" ht="15.75" customHeight="1">
      <c r="A1682" s="19" t="s">
        <v>1955</v>
      </c>
      <c r="B1682" s="19" t="s">
        <v>338</v>
      </c>
      <c r="C1682" s="24" t="s">
        <v>1956</v>
      </c>
      <c r="D1682" s="17"/>
      <c r="E1682" s="18"/>
      <c r="F1682" s="19"/>
      <c r="G1682" s="20"/>
      <c r="H1682" s="14"/>
      <c r="I1682" s="14"/>
      <c r="J1682" s="14"/>
      <c r="K1682" s="14"/>
      <c r="L1682" s="14"/>
      <c r="M1682" s="14"/>
      <c r="N1682" s="14"/>
      <c r="O1682" s="14"/>
      <c r="P1682" s="14"/>
      <c r="Q1682" s="19"/>
      <c r="R1682" s="14"/>
      <c r="S1682" s="19">
        <v>1.0</v>
      </c>
      <c r="T1682" s="14">
        <f t="shared" si="81"/>
        <v>1</v>
      </c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  <c r="AF1682" s="22"/>
      <c r="AG1682" s="22"/>
      <c r="AH1682" s="22"/>
      <c r="AI1682" s="22"/>
    </row>
    <row r="1683" ht="15.75" customHeight="1">
      <c r="A1683" s="14" t="s">
        <v>1957</v>
      </c>
      <c r="B1683" s="19" t="s">
        <v>51</v>
      </c>
      <c r="C1683" s="16"/>
      <c r="D1683" s="17"/>
      <c r="E1683" s="18"/>
      <c r="F1683" s="67"/>
      <c r="G1683" s="20"/>
      <c r="H1683" s="14"/>
      <c r="I1683" s="14"/>
      <c r="J1683" s="14">
        <v>1.0</v>
      </c>
      <c r="K1683" s="14"/>
      <c r="L1683" s="14">
        <v>2.0</v>
      </c>
      <c r="M1683" s="14"/>
      <c r="N1683" s="14"/>
      <c r="O1683" s="14"/>
      <c r="P1683" s="14"/>
      <c r="Q1683" s="14"/>
      <c r="R1683" s="14"/>
      <c r="S1683" s="14"/>
      <c r="T1683" s="14">
        <f t="shared" si="81"/>
        <v>3</v>
      </c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22"/>
      <c r="AG1683" s="22"/>
      <c r="AH1683" s="22"/>
      <c r="AI1683" s="22"/>
    </row>
    <row r="1684" ht="15.75" customHeight="1">
      <c r="A1684" s="27" t="s">
        <v>1958</v>
      </c>
      <c r="B1684" s="17" t="s">
        <v>323</v>
      </c>
      <c r="C1684" s="25"/>
      <c r="D1684" s="17"/>
      <c r="E1684" s="18"/>
      <c r="F1684" s="17"/>
      <c r="G1684" s="26"/>
      <c r="H1684" s="27"/>
      <c r="I1684" s="27"/>
      <c r="J1684" s="27"/>
      <c r="K1684" s="27"/>
      <c r="L1684" s="27">
        <v>1.0</v>
      </c>
      <c r="M1684" s="27">
        <v>1.0</v>
      </c>
      <c r="N1684" s="27"/>
      <c r="O1684" s="27"/>
      <c r="P1684" s="27"/>
      <c r="Q1684" s="27"/>
      <c r="R1684" s="27"/>
      <c r="S1684" s="27"/>
      <c r="T1684" s="14">
        <f t="shared" si="81"/>
        <v>2</v>
      </c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28"/>
      <c r="AE1684" s="28"/>
      <c r="AF1684" s="28"/>
      <c r="AG1684" s="28"/>
      <c r="AH1684" s="28"/>
      <c r="AI1684" s="28"/>
    </row>
    <row r="1685" ht="15.75" customHeight="1">
      <c r="A1685" s="14" t="s">
        <v>1959</v>
      </c>
      <c r="B1685" s="14" t="s">
        <v>323</v>
      </c>
      <c r="C1685" s="16"/>
      <c r="D1685" s="17"/>
      <c r="E1685" s="18"/>
      <c r="F1685" s="19"/>
      <c r="G1685" s="20"/>
      <c r="H1685" s="14"/>
      <c r="I1685" s="14"/>
      <c r="J1685" s="14"/>
      <c r="K1685" s="14">
        <v>8.0</v>
      </c>
      <c r="L1685" s="14">
        <v>1.0</v>
      </c>
      <c r="M1685" s="14">
        <v>1.0</v>
      </c>
      <c r="N1685" s="14">
        <v>1.0</v>
      </c>
      <c r="O1685" s="14">
        <v>1.0</v>
      </c>
      <c r="P1685" s="14"/>
      <c r="Q1685" s="14"/>
      <c r="R1685" s="19">
        <v>3.0</v>
      </c>
      <c r="S1685" s="19"/>
      <c r="T1685" s="14">
        <f t="shared" si="81"/>
        <v>15</v>
      </c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  <c r="AF1685" s="22"/>
      <c r="AG1685" s="22"/>
      <c r="AH1685" s="22"/>
      <c r="AI1685" s="22"/>
    </row>
    <row r="1686" ht="15.75" customHeight="1">
      <c r="A1686" s="27" t="s">
        <v>1960</v>
      </c>
      <c r="B1686" s="27" t="s">
        <v>323</v>
      </c>
      <c r="C1686" s="25"/>
      <c r="D1686" s="17"/>
      <c r="E1686" s="18"/>
      <c r="F1686" s="17"/>
      <c r="G1686" s="26"/>
      <c r="H1686" s="27"/>
      <c r="I1686" s="27"/>
      <c r="J1686" s="27">
        <v>2.0</v>
      </c>
      <c r="K1686" s="27"/>
      <c r="L1686" s="27">
        <v>1.0</v>
      </c>
      <c r="M1686" s="27"/>
      <c r="N1686" s="27"/>
      <c r="O1686" s="27"/>
      <c r="P1686" s="27">
        <v>1.0</v>
      </c>
      <c r="Q1686" s="27"/>
      <c r="R1686" s="27"/>
      <c r="S1686" s="27"/>
      <c r="T1686" s="14">
        <f t="shared" si="81"/>
        <v>4</v>
      </c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28"/>
      <c r="AE1686" s="28"/>
      <c r="AF1686" s="28"/>
      <c r="AG1686" s="28"/>
      <c r="AH1686" s="28"/>
      <c r="AI1686" s="28"/>
    </row>
    <row r="1687" ht="15.75" customHeight="1">
      <c r="A1687" s="14" t="s">
        <v>1961</v>
      </c>
      <c r="B1687" s="19" t="s">
        <v>46</v>
      </c>
      <c r="C1687" s="16"/>
      <c r="D1687" s="17"/>
      <c r="E1687" s="18"/>
      <c r="F1687" s="19"/>
      <c r="G1687" s="20"/>
      <c r="H1687" s="14"/>
      <c r="I1687" s="14"/>
      <c r="J1687" s="14"/>
      <c r="K1687" s="14"/>
      <c r="L1687" s="14">
        <v>1.0</v>
      </c>
      <c r="M1687" s="14"/>
      <c r="N1687" s="14"/>
      <c r="O1687" s="14"/>
      <c r="P1687" s="14"/>
      <c r="Q1687" s="14"/>
      <c r="R1687" s="14"/>
      <c r="S1687" s="14"/>
      <c r="T1687" s="14">
        <f t="shared" si="81"/>
        <v>1</v>
      </c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22"/>
      <c r="AG1687" s="22"/>
      <c r="AH1687" s="22"/>
      <c r="AI1687" s="22"/>
    </row>
    <row r="1688" ht="15.75" customHeight="1">
      <c r="A1688" s="27" t="s">
        <v>1962</v>
      </c>
      <c r="B1688" s="17" t="s">
        <v>60</v>
      </c>
      <c r="C1688" s="25"/>
      <c r="D1688" s="17"/>
      <c r="E1688" s="18"/>
      <c r="F1688" s="27"/>
      <c r="G1688" s="26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17">
        <v>2.0</v>
      </c>
      <c r="T1688" s="14">
        <f t="shared" si="81"/>
        <v>2</v>
      </c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28"/>
      <c r="AE1688" s="28"/>
      <c r="AF1688" s="28"/>
      <c r="AG1688" s="28"/>
      <c r="AH1688" s="28"/>
      <c r="AI1688" s="28"/>
    </row>
    <row r="1689" ht="15.75" customHeight="1">
      <c r="A1689" s="14" t="s">
        <v>1963</v>
      </c>
      <c r="B1689" s="19" t="s">
        <v>62</v>
      </c>
      <c r="C1689" s="16"/>
      <c r="D1689" s="17"/>
      <c r="E1689" s="18"/>
      <c r="F1689" s="14"/>
      <c r="G1689" s="20"/>
      <c r="H1689" s="14"/>
      <c r="I1689" s="14"/>
      <c r="J1689" s="14"/>
      <c r="K1689" s="14"/>
      <c r="L1689" s="14"/>
      <c r="M1689" s="14"/>
      <c r="N1689" s="14"/>
      <c r="O1689" s="14">
        <v>2.0</v>
      </c>
      <c r="P1689" s="14">
        <v>2.0</v>
      </c>
      <c r="Q1689" s="14"/>
      <c r="R1689" s="14"/>
      <c r="S1689" s="14"/>
      <c r="T1689" s="14">
        <f t="shared" si="81"/>
        <v>4</v>
      </c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22"/>
      <c r="AG1689" s="22"/>
      <c r="AH1689" s="22"/>
      <c r="AI1689" s="22"/>
    </row>
    <row r="1690" ht="15.75" customHeight="1">
      <c r="A1690" s="27" t="s">
        <v>1964</v>
      </c>
      <c r="B1690" s="17" t="s">
        <v>42</v>
      </c>
      <c r="C1690" s="25"/>
      <c r="D1690" s="17"/>
      <c r="E1690" s="17"/>
      <c r="F1690" s="17"/>
      <c r="G1690" s="26"/>
      <c r="H1690" s="17"/>
      <c r="I1690" s="27"/>
      <c r="J1690" s="27"/>
      <c r="K1690" s="27"/>
      <c r="L1690" s="27"/>
      <c r="M1690" s="27"/>
      <c r="N1690" s="27"/>
      <c r="O1690" s="27"/>
      <c r="P1690" s="27">
        <v>1.0</v>
      </c>
      <c r="Q1690" s="27"/>
      <c r="R1690" s="27"/>
      <c r="S1690" s="27"/>
      <c r="T1690" s="14">
        <f t="shared" si="81"/>
        <v>1</v>
      </c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28"/>
      <c r="AE1690" s="28"/>
      <c r="AF1690" s="28"/>
      <c r="AG1690" s="28"/>
      <c r="AH1690" s="28"/>
      <c r="AI1690" s="28"/>
    </row>
    <row r="1691" ht="15.75" customHeight="1">
      <c r="A1691" s="96"/>
      <c r="B1691" s="136"/>
      <c r="C1691" s="137"/>
      <c r="D1691" s="136"/>
      <c r="E1691" s="136"/>
      <c r="F1691" s="136"/>
      <c r="G1691" s="136"/>
      <c r="H1691" s="136"/>
      <c r="I1691" s="136"/>
      <c r="J1691" s="136"/>
      <c r="K1691" s="136"/>
      <c r="L1691" s="136"/>
      <c r="M1691" s="136"/>
      <c r="N1691" s="136"/>
      <c r="O1691" s="136"/>
      <c r="P1691" s="136"/>
      <c r="Q1691" s="136"/>
      <c r="R1691" s="136"/>
      <c r="S1691" s="136"/>
      <c r="T1691" s="136">
        <f>SUM(T2:T1690)</f>
        <v>6741</v>
      </c>
      <c r="U1691" s="136"/>
      <c r="V1691" s="136"/>
      <c r="W1691" s="136"/>
      <c r="X1691" s="136"/>
      <c r="Y1691" s="136"/>
      <c r="Z1691" s="136"/>
      <c r="AA1691" s="136"/>
      <c r="AB1691" s="136"/>
      <c r="AC1691" s="136"/>
      <c r="AD1691" s="136"/>
      <c r="AE1691" s="136"/>
      <c r="AF1691" s="136"/>
      <c r="AG1691" s="136"/>
      <c r="AH1691" s="136"/>
      <c r="AI1691" s="136"/>
    </row>
    <row r="1692" ht="15.75" customHeight="1">
      <c r="A1692" s="138"/>
      <c r="B1692" s="139"/>
      <c r="C1692" s="140"/>
      <c r="D1692" s="139"/>
      <c r="E1692" s="139"/>
      <c r="F1692" s="139"/>
      <c r="G1692" s="139"/>
      <c r="H1692" s="139"/>
      <c r="I1692" s="139"/>
      <c r="J1692" s="139"/>
      <c r="K1692" s="139"/>
      <c r="L1692" s="139"/>
      <c r="M1692" s="139"/>
      <c r="N1692" s="139"/>
      <c r="O1692" s="139"/>
      <c r="P1692" s="139"/>
      <c r="Q1692" s="139"/>
      <c r="R1692" s="139"/>
      <c r="S1692" s="139"/>
      <c r="T1692" s="139"/>
      <c r="U1692" s="139"/>
      <c r="V1692" s="139"/>
      <c r="W1692" s="139"/>
      <c r="X1692" s="139"/>
      <c r="Y1692" s="139"/>
      <c r="Z1692" s="139"/>
      <c r="AA1692" s="139"/>
      <c r="AB1692" s="139"/>
      <c r="AC1692" s="139"/>
      <c r="AD1692" s="139"/>
      <c r="AE1692" s="139"/>
      <c r="AF1692" s="139"/>
      <c r="AG1692" s="139"/>
      <c r="AH1692" s="139"/>
      <c r="AI1692" s="139"/>
    </row>
    <row r="1693" ht="15.75" customHeight="1">
      <c r="A1693" s="22"/>
      <c r="B1693" s="22"/>
      <c r="C1693" s="119"/>
      <c r="D1693" s="22"/>
      <c r="E1693" s="22"/>
      <c r="F1693" s="22"/>
      <c r="G1693" s="141"/>
      <c r="H1693" s="22"/>
      <c r="I1693" s="142">
        <f t="shared" ref="I1693:S1693" si="82">SUM(I6:I1692)</f>
        <v>97</v>
      </c>
      <c r="J1693" s="142">
        <f t="shared" si="82"/>
        <v>521</v>
      </c>
      <c r="K1693" s="142">
        <f t="shared" si="82"/>
        <v>482</v>
      </c>
      <c r="L1693" s="142">
        <f t="shared" si="82"/>
        <v>591</v>
      </c>
      <c r="M1693" s="142">
        <f t="shared" si="82"/>
        <v>725</v>
      </c>
      <c r="N1693" s="142">
        <f t="shared" si="82"/>
        <v>1196</v>
      </c>
      <c r="O1693" s="142">
        <f t="shared" si="82"/>
        <v>762</v>
      </c>
      <c r="P1693" s="143">
        <f t="shared" si="82"/>
        <v>576</v>
      </c>
      <c r="Q1693" s="143">
        <f t="shared" si="82"/>
        <v>488</v>
      </c>
      <c r="R1693" s="143">
        <f t="shared" si="82"/>
        <v>650</v>
      </c>
      <c r="S1693" s="143">
        <f t="shared" si="82"/>
        <v>641</v>
      </c>
      <c r="T1693" s="143">
        <f>SUM(I1693:S1693)</f>
        <v>6729</v>
      </c>
      <c r="U1693" s="143"/>
      <c r="V1693" s="143"/>
      <c r="W1693" s="143"/>
      <c r="X1693" s="143"/>
      <c r="Y1693" s="143"/>
      <c r="Z1693" s="143"/>
      <c r="AA1693" s="143"/>
      <c r="AB1693" s="143"/>
      <c r="AC1693" s="143"/>
      <c r="AD1693" s="143"/>
      <c r="AE1693" s="143"/>
      <c r="AF1693" s="143"/>
      <c r="AG1693" s="143"/>
      <c r="AH1693" s="143"/>
      <c r="AI1693" s="143"/>
    </row>
    <row r="1694" ht="15.75" customHeight="1">
      <c r="A1694" s="28"/>
      <c r="B1694" s="28"/>
      <c r="C1694" s="120"/>
      <c r="D1694" s="28"/>
      <c r="E1694" s="28"/>
      <c r="F1694" s="28"/>
      <c r="G1694" s="89"/>
      <c r="H1694" s="89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28"/>
      <c r="AE1694" s="28"/>
      <c r="AF1694" s="28"/>
      <c r="AG1694" s="28"/>
      <c r="AH1694" s="28"/>
      <c r="AI1694" s="28"/>
    </row>
    <row r="1695" ht="15.75" customHeight="1">
      <c r="A1695" s="22"/>
      <c r="B1695" s="22"/>
      <c r="C1695" s="119"/>
      <c r="D1695" s="22"/>
      <c r="E1695" s="22"/>
      <c r="F1695" s="22"/>
      <c r="G1695" s="141"/>
      <c r="H1695" s="141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  <c r="AF1695" s="22"/>
      <c r="AG1695" s="22"/>
      <c r="AH1695" s="22"/>
      <c r="AI1695" s="22"/>
    </row>
  </sheetData>
  <customSheetViews>
    <customSheetView guid="{DB8EC755-B245-49D7-8157-0DC620AA3D89}" filter="1" showAutoFilter="1">
      <autoFilter ref="$A$1:$A$1695"/>
    </customSheetView>
  </customSheetViews>
  <mergeCells count="567">
    <mergeCell ref="Q114:Q115"/>
    <mergeCell ref="R114:R115"/>
    <mergeCell ref="S114:S115"/>
    <mergeCell ref="T114:T115"/>
    <mergeCell ref="S107:S109"/>
    <mergeCell ref="T107:T109"/>
    <mergeCell ref="R137:R138"/>
    <mergeCell ref="S137:S139"/>
    <mergeCell ref="T137:T139"/>
    <mergeCell ref="O142:O143"/>
    <mergeCell ref="P142:P143"/>
    <mergeCell ref="S142:S143"/>
    <mergeCell ref="T142:T143"/>
    <mergeCell ref="M229:M230"/>
    <mergeCell ref="Q248:Q249"/>
    <mergeCell ref="R248:R249"/>
    <mergeCell ref="S248:S249"/>
    <mergeCell ref="T248:T249"/>
    <mergeCell ref="R254:R255"/>
    <mergeCell ref="S254:S255"/>
    <mergeCell ref="T254:T255"/>
    <mergeCell ref="Q263:Q264"/>
    <mergeCell ref="R263:R264"/>
    <mergeCell ref="S263:S264"/>
    <mergeCell ref="T263:T264"/>
    <mergeCell ref="N282:N283"/>
    <mergeCell ref="O282:O283"/>
    <mergeCell ref="P282:P283"/>
    <mergeCell ref="Q282:Q283"/>
    <mergeCell ref="R282:R283"/>
    <mergeCell ref="S282:S283"/>
    <mergeCell ref="T282:T283"/>
    <mergeCell ref="M282:M283"/>
    <mergeCell ref="I285:I286"/>
    <mergeCell ref="J285:J286"/>
    <mergeCell ref="K285:K286"/>
    <mergeCell ref="L285:L286"/>
    <mergeCell ref="M285:M286"/>
    <mergeCell ref="N285:N286"/>
    <mergeCell ref="L439:L442"/>
    <mergeCell ref="M439:M442"/>
    <mergeCell ref="J461:J462"/>
    <mergeCell ref="K461:K462"/>
    <mergeCell ref="L461:L462"/>
    <mergeCell ref="M461:M462"/>
    <mergeCell ref="N461:N462"/>
    <mergeCell ref="O461:O462"/>
    <mergeCell ref="P461:P462"/>
    <mergeCell ref="Q461:Q462"/>
    <mergeCell ref="R461:R462"/>
    <mergeCell ref="S461:S462"/>
    <mergeCell ref="T461:T462"/>
    <mergeCell ref="Q474:Q475"/>
    <mergeCell ref="T474:T475"/>
    <mergeCell ref="N564:N565"/>
    <mergeCell ref="O564:O565"/>
    <mergeCell ref="O572:O574"/>
    <mergeCell ref="P572:P574"/>
    <mergeCell ref="Q572:Q574"/>
    <mergeCell ref="R572:R574"/>
    <mergeCell ref="S572:S574"/>
    <mergeCell ref="T572:T574"/>
    <mergeCell ref="R564:R565"/>
    <mergeCell ref="S564:S565"/>
    <mergeCell ref="R474:R475"/>
    <mergeCell ref="S474:S475"/>
    <mergeCell ref="Q521:Q523"/>
    <mergeCell ref="R521:R523"/>
    <mergeCell ref="S521:S523"/>
    <mergeCell ref="T521:T523"/>
    <mergeCell ref="M564:M565"/>
    <mergeCell ref="T564:T565"/>
    <mergeCell ref="P564:P565"/>
    <mergeCell ref="Q564:Q565"/>
    <mergeCell ref="J628:J629"/>
    <mergeCell ref="K628:K629"/>
    <mergeCell ref="L628:L629"/>
    <mergeCell ref="M628:M629"/>
    <mergeCell ref="N628:N629"/>
    <mergeCell ref="Q628:Q629"/>
    <mergeCell ref="O628:O629"/>
    <mergeCell ref="P628:P629"/>
    <mergeCell ref="R628:R629"/>
    <mergeCell ref="S628:S629"/>
    <mergeCell ref="T628:T629"/>
    <mergeCell ref="S644:S645"/>
    <mergeCell ref="T644:T645"/>
    <mergeCell ref="Q654:Q655"/>
    <mergeCell ref="R654:R655"/>
    <mergeCell ref="S654:S655"/>
    <mergeCell ref="T654:T655"/>
    <mergeCell ref="R670:R671"/>
    <mergeCell ref="S670:S671"/>
    <mergeCell ref="T670:T671"/>
    <mergeCell ref="L829:L830"/>
    <mergeCell ref="M829:M830"/>
    <mergeCell ref="N829:N830"/>
    <mergeCell ref="O829:O830"/>
    <mergeCell ref="P829:P830"/>
    <mergeCell ref="Q829:Q830"/>
    <mergeCell ref="R829:R830"/>
    <mergeCell ref="M870:M871"/>
    <mergeCell ref="N870:N871"/>
    <mergeCell ref="O870:O871"/>
    <mergeCell ref="P870:P871"/>
    <mergeCell ref="Q870:Q871"/>
    <mergeCell ref="R870:R871"/>
    <mergeCell ref="S870:S871"/>
    <mergeCell ref="T870:T871"/>
    <mergeCell ref="S829:S830"/>
    <mergeCell ref="T829:T830"/>
    <mergeCell ref="Q856:Q857"/>
    <mergeCell ref="R856:R857"/>
    <mergeCell ref="S856:S857"/>
    <mergeCell ref="T856:T857"/>
    <mergeCell ref="J870:J871"/>
    <mergeCell ref="Q670:Q671"/>
    <mergeCell ref="P700:P701"/>
    <mergeCell ref="Q700:Q701"/>
    <mergeCell ref="R700:R701"/>
    <mergeCell ref="S700:S701"/>
    <mergeCell ref="T700:T701"/>
    <mergeCell ref="Q709:Q711"/>
    <mergeCell ref="T709:T711"/>
    <mergeCell ref="R709:R711"/>
    <mergeCell ref="S709:S711"/>
    <mergeCell ref="Q725:Q726"/>
    <mergeCell ref="R725:R726"/>
    <mergeCell ref="S725:S726"/>
    <mergeCell ref="T725:T726"/>
    <mergeCell ref="Q776:Q777"/>
    <mergeCell ref="T776:T777"/>
    <mergeCell ref="R779:R782"/>
    <mergeCell ref="S779:S782"/>
    <mergeCell ref="T779:T782"/>
    <mergeCell ref="R776:R777"/>
    <mergeCell ref="S776:S777"/>
    <mergeCell ref="M779:M782"/>
    <mergeCell ref="N779:N782"/>
    <mergeCell ref="O779:O782"/>
    <mergeCell ref="P779:P782"/>
    <mergeCell ref="Q779:Q782"/>
    <mergeCell ref="Q793:Q794"/>
    <mergeCell ref="R793:R794"/>
    <mergeCell ref="S793:S794"/>
    <mergeCell ref="T793:T794"/>
    <mergeCell ref="J793:J794"/>
    <mergeCell ref="K793:K794"/>
    <mergeCell ref="L793:L794"/>
    <mergeCell ref="M793:M794"/>
    <mergeCell ref="N793:N794"/>
    <mergeCell ref="O793:O794"/>
    <mergeCell ref="P793:P794"/>
    <mergeCell ref="K870:K871"/>
    <mergeCell ref="L870:L871"/>
    <mergeCell ref="Q1092:Q1094"/>
    <mergeCell ref="Q1114:Q1115"/>
    <mergeCell ref="R1114:R1115"/>
    <mergeCell ref="S1114:S1115"/>
    <mergeCell ref="T1114:T1115"/>
    <mergeCell ref="Q1012:Q1013"/>
    <mergeCell ref="R1012:R1013"/>
    <mergeCell ref="Q1080:Q1081"/>
    <mergeCell ref="R1080:R1081"/>
    <mergeCell ref="Q1084:Q1085"/>
    <mergeCell ref="R1084:R1085"/>
    <mergeCell ref="R1092:R1094"/>
    <mergeCell ref="S1012:S1013"/>
    <mergeCell ref="T1012:T1013"/>
    <mergeCell ref="S989:S991"/>
    <mergeCell ref="T989:T991"/>
    <mergeCell ref="J1012:J1013"/>
    <mergeCell ref="K1012:K1013"/>
    <mergeCell ref="L1012:L1013"/>
    <mergeCell ref="M1012:M1013"/>
    <mergeCell ref="N1012:N1013"/>
    <mergeCell ref="S1046:S1047"/>
    <mergeCell ref="T1046:T1047"/>
    <mergeCell ref="S1080:S1081"/>
    <mergeCell ref="T1080:T1081"/>
    <mergeCell ref="S1084:S1085"/>
    <mergeCell ref="T1084:T1085"/>
    <mergeCell ref="S1092:S1094"/>
    <mergeCell ref="T1092:T1094"/>
    <mergeCell ref="O1012:O1013"/>
    <mergeCell ref="P1012:P1013"/>
    <mergeCell ref="N1046:N1047"/>
    <mergeCell ref="O1046:O1047"/>
    <mergeCell ref="P1046:P1047"/>
    <mergeCell ref="Q1046:Q1047"/>
    <mergeCell ref="R1046:R1047"/>
    <mergeCell ref="N1058:N1059"/>
    <mergeCell ref="O1058:O1059"/>
    <mergeCell ref="P1058:P1059"/>
    <mergeCell ref="Q1058:Q1059"/>
    <mergeCell ref="R1058:R1059"/>
    <mergeCell ref="S1058:S1059"/>
    <mergeCell ref="T1058:T1059"/>
    <mergeCell ref="S1100:S1102"/>
    <mergeCell ref="T1100:T1102"/>
    <mergeCell ref="L1100:L1102"/>
    <mergeCell ref="M1100:M1102"/>
    <mergeCell ref="N1100:N1102"/>
    <mergeCell ref="O1100:O1102"/>
    <mergeCell ref="P1100:P1102"/>
    <mergeCell ref="Q1100:Q1102"/>
    <mergeCell ref="R1100:R1102"/>
    <mergeCell ref="R1233:R1234"/>
    <mergeCell ref="S1233:S1234"/>
    <mergeCell ref="P1251:P1255"/>
    <mergeCell ref="Q1251:Q1255"/>
    <mergeCell ref="R1251:R1255"/>
    <mergeCell ref="S1251:S1255"/>
    <mergeCell ref="T1251:T1255"/>
    <mergeCell ref="O1251:O1255"/>
    <mergeCell ref="O1279:O1280"/>
    <mergeCell ref="P1279:P1280"/>
    <mergeCell ref="Q1279:Q1280"/>
    <mergeCell ref="R1279:R1280"/>
    <mergeCell ref="S1279:S1280"/>
    <mergeCell ref="T1279:T1280"/>
    <mergeCell ref="Q1151:Q1152"/>
    <mergeCell ref="R1151:R1152"/>
    <mergeCell ref="S1151:S1152"/>
    <mergeCell ref="T1151:T1152"/>
    <mergeCell ref="R1154:R1155"/>
    <mergeCell ref="S1154:S1155"/>
    <mergeCell ref="T1154:T1155"/>
    <mergeCell ref="Q1154:Q1155"/>
    <mergeCell ref="K1158:K1159"/>
    <mergeCell ref="L1158:L1159"/>
    <mergeCell ref="M1158:M1159"/>
    <mergeCell ref="N1158:N1159"/>
    <mergeCell ref="O1158:O1159"/>
    <mergeCell ref="P1158:P1159"/>
    <mergeCell ref="Q1158:Q1159"/>
    <mergeCell ref="R1158:R1159"/>
    <mergeCell ref="S1158:S1159"/>
    <mergeCell ref="T1158:T1159"/>
    <mergeCell ref="R1178:R1179"/>
    <mergeCell ref="S1178:S1179"/>
    <mergeCell ref="T1178:T1179"/>
    <mergeCell ref="Q1178:Q1179"/>
    <mergeCell ref="O1202:O1206"/>
    <mergeCell ref="P1202:P1206"/>
    <mergeCell ref="Q1202:Q1206"/>
    <mergeCell ref="R1202:R1206"/>
    <mergeCell ref="S1202:S1206"/>
    <mergeCell ref="T1202:T1206"/>
    <mergeCell ref="R1230:R1231"/>
    <mergeCell ref="S1230:S1231"/>
    <mergeCell ref="T1230:T1231"/>
    <mergeCell ref="N1233:N1234"/>
    <mergeCell ref="O1233:O1234"/>
    <mergeCell ref="P1233:P1234"/>
    <mergeCell ref="Q1233:Q1234"/>
    <mergeCell ref="T1233:T1234"/>
    <mergeCell ref="N1279:N1280"/>
    <mergeCell ref="C1285:C1287"/>
    <mergeCell ref="S1285:S1287"/>
    <mergeCell ref="T1285:T1287"/>
    <mergeCell ref="B1046:B1047"/>
    <mergeCell ref="B1080:B1081"/>
    <mergeCell ref="B1084:B1085"/>
    <mergeCell ref="B1092:B1094"/>
    <mergeCell ref="B1151:B1152"/>
    <mergeCell ref="B1202:B1206"/>
    <mergeCell ref="B1230:B1231"/>
    <mergeCell ref="B1233:B1234"/>
    <mergeCell ref="B1251:B1255"/>
    <mergeCell ref="B1279:B1280"/>
    <mergeCell ref="B1285:B1287"/>
    <mergeCell ref="B1312:B1313"/>
    <mergeCell ref="B1338:B1339"/>
    <mergeCell ref="B1343:B1344"/>
    <mergeCell ref="B90:B91"/>
    <mergeCell ref="B92:B93"/>
    <mergeCell ref="B107:B109"/>
    <mergeCell ref="B114:B115"/>
    <mergeCell ref="B137:B139"/>
    <mergeCell ref="B142:B143"/>
    <mergeCell ref="B154:B155"/>
    <mergeCell ref="B156:B157"/>
    <mergeCell ref="B229:B230"/>
    <mergeCell ref="B248:B249"/>
    <mergeCell ref="B254:B255"/>
    <mergeCell ref="B263:B264"/>
    <mergeCell ref="B282:B283"/>
    <mergeCell ref="B285:B286"/>
    <mergeCell ref="B349:B350"/>
    <mergeCell ref="B372:B375"/>
    <mergeCell ref="B385:B389"/>
    <mergeCell ref="B399:B400"/>
    <mergeCell ref="B425:B426"/>
    <mergeCell ref="B439:B442"/>
    <mergeCell ref="B474:B475"/>
    <mergeCell ref="B521:B523"/>
    <mergeCell ref="B564:B565"/>
    <mergeCell ref="B572:B574"/>
    <mergeCell ref="B644:B645"/>
    <mergeCell ref="B654:B655"/>
    <mergeCell ref="B670:B671"/>
    <mergeCell ref="B700:B701"/>
    <mergeCell ref="B709:B711"/>
    <mergeCell ref="B776:B777"/>
    <mergeCell ref="B779:B782"/>
    <mergeCell ref="B815:B816"/>
    <mergeCell ref="B821:B822"/>
    <mergeCell ref="B856:B857"/>
    <mergeCell ref="B870:B871"/>
    <mergeCell ref="B882:B883"/>
    <mergeCell ref="B885:B889"/>
    <mergeCell ref="B893:B894"/>
    <mergeCell ref="B928:B929"/>
    <mergeCell ref="B974:B975"/>
    <mergeCell ref="B989:B991"/>
    <mergeCell ref="B1012:B1013"/>
    <mergeCell ref="B1557:B1558"/>
    <mergeCell ref="B1633:B1634"/>
    <mergeCell ref="B1640:B1642"/>
    <mergeCell ref="B1661:B1665"/>
    <mergeCell ref="B1353:B1354"/>
    <mergeCell ref="B1396:B1397"/>
    <mergeCell ref="B1474:B1476"/>
    <mergeCell ref="B1485:B1487"/>
    <mergeCell ref="B1492:B1497"/>
    <mergeCell ref="B1513:B1514"/>
    <mergeCell ref="B1525:B1526"/>
    <mergeCell ref="O1353:O1354"/>
    <mergeCell ref="P1353:P1354"/>
    <mergeCell ref="M1353:M1354"/>
    <mergeCell ref="N1353:N1354"/>
    <mergeCell ref="M1474:M1476"/>
    <mergeCell ref="N1474:N1476"/>
    <mergeCell ref="O1474:O1476"/>
    <mergeCell ref="P1474:P1476"/>
    <mergeCell ref="Q1474:Q1476"/>
    <mergeCell ref="S1557:S1558"/>
    <mergeCell ref="T1557:T1558"/>
    <mergeCell ref="L1557:L1558"/>
    <mergeCell ref="M1557:M1558"/>
    <mergeCell ref="N1557:N1558"/>
    <mergeCell ref="O1557:O1558"/>
    <mergeCell ref="P1557:P1558"/>
    <mergeCell ref="Q1557:Q1558"/>
    <mergeCell ref="R1557:R1558"/>
    <mergeCell ref="Q1618:Q1619"/>
    <mergeCell ref="R1618:R1619"/>
    <mergeCell ref="S1618:S1619"/>
    <mergeCell ref="T1618:T1619"/>
    <mergeCell ref="J1618:J1619"/>
    <mergeCell ref="K1618:K1619"/>
    <mergeCell ref="L1618:L1619"/>
    <mergeCell ref="M1618:M1619"/>
    <mergeCell ref="N1618:N1619"/>
    <mergeCell ref="O1618:O1619"/>
    <mergeCell ref="P1618:P1619"/>
    <mergeCell ref="M1633:M1634"/>
    <mergeCell ref="N1633:N1634"/>
    <mergeCell ref="O1633:O1634"/>
    <mergeCell ref="P1633:P1634"/>
    <mergeCell ref="R1633:R1634"/>
    <mergeCell ref="S1633:S1634"/>
    <mergeCell ref="T1633:T1634"/>
    <mergeCell ref="R1640:R1642"/>
    <mergeCell ref="S1640:S1642"/>
    <mergeCell ref="P1661:P1665"/>
    <mergeCell ref="Q1661:Q1665"/>
    <mergeCell ref="R1661:R1665"/>
    <mergeCell ref="S1661:S1665"/>
    <mergeCell ref="T1661:T1665"/>
    <mergeCell ref="Q1633:Q1634"/>
    <mergeCell ref="Q1636:Q1637"/>
    <mergeCell ref="T1636:T1637"/>
    <mergeCell ref="N1640:N1642"/>
    <mergeCell ref="O1640:O1642"/>
    <mergeCell ref="P1640:P1642"/>
    <mergeCell ref="Q1640:Q1642"/>
    <mergeCell ref="T1640:T1642"/>
    <mergeCell ref="R1338:R1339"/>
    <mergeCell ref="S1338:S1339"/>
    <mergeCell ref="O1312:O1313"/>
    <mergeCell ref="P1312:P1313"/>
    <mergeCell ref="Q1312:Q1313"/>
    <mergeCell ref="R1312:R1313"/>
    <mergeCell ref="S1312:S1313"/>
    <mergeCell ref="T1312:T1313"/>
    <mergeCell ref="O1338:O1339"/>
    <mergeCell ref="T1338:T1339"/>
    <mergeCell ref="Q1353:Q1354"/>
    <mergeCell ref="R1353:R1354"/>
    <mergeCell ref="Q1396:Q1397"/>
    <mergeCell ref="R1396:R1397"/>
    <mergeCell ref="S1396:S1397"/>
    <mergeCell ref="T1396:T1397"/>
    <mergeCell ref="S1353:S1354"/>
    <mergeCell ref="T1353:T1354"/>
    <mergeCell ref="P1338:P1339"/>
    <mergeCell ref="Q1338:Q1339"/>
    <mergeCell ref="Q1343:Q1344"/>
    <mergeCell ref="R1343:R1344"/>
    <mergeCell ref="S1343:S1344"/>
    <mergeCell ref="T1343:T1344"/>
    <mergeCell ref="L1353:L1354"/>
    <mergeCell ref="R1474:R1476"/>
    <mergeCell ref="S1474:S1476"/>
    <mergeCell ref="T1474:T1476"/>
    <mergeCell ref="Q1492:Q1497"/>
    <mergeCell ref="Q1513:Q1514"/>
    <mergeCell ref="R1513:R1514"/>
    <mergeCell ref="S1513:S1514"/>
    <mergeCell ref="T1513:T1514"/>
    <mergeCell ref="S1525:S1526"/>
    <mergeCell ref="T1525:T1526"/>
    <mergeCell ref="R90:R91"/>
    <mergeCell ref="S90:S91"/>
    <mergeCell ref="B65:B66"/>
    <mergeCell ref="Q65:Q66"/>
    <mergeCell ref="R65:R66"/>
    <mergeCell ref="S65:S66"/>
    <mergeCell ref="T65:T66"/>
    <mergeCell ref="O90:O91"/>
    <mergeCell ref="T90:T91"/>
    <mergeCell ref="Q92:Q93"/>
    <mergeCell ref="R92:R93"/>
    <mergeCell ref="S92:S93"/>
    <mergeCell ref="T92:T93"/>
    <mergeCell ref="P90:P91"/>
    <mergeCell ref="Q90:Q91"/>
    <mergeCell ref="J92:J93"/>
    <mergeCell ref="K92:K93"/>
    <mergeCell ref="L92:L93"/>
    <mergeCell ref="M92:M93"/>
    <mergeCell ref="N92:N93"/>
    <mergeCell ref="O92:O93"/>
    <mergeCell ref="P92:P93"/>
    <mergeCell ref="N107:N109"/>
    <mergeCell ref="O107:O109"/>
    <mergeCell ref="P107:P109"/>
    <mergeCell ref="Q107:Q109"/>
    <mergeCell ref="R107:R109"/>
    <mergeCell ref="S154:S155"/>
    <mergeCell ref="S156:S157"/>
    <mergeCell ref="T156:T157"/>
    <mergeCell ref="Q142:Q143"/>
    <mergeCell ref="R142:R143"/>
    <mergeCell ref="O154:O155"/>
    <mergeCell ref="P154:P155"/>
    <mergeCell ref="Q154:Q155"/>
    <mergeCell ref="R154:R155"/>
    <mergeCell ref="T154:T155"/>
    <mergeCell ref="O285:O286"/>
    <mergeCell ref="P285:P286"/>
    <mergeCell ref="Q285:Q286"/>
    <mergeCell ref="R285:R286"/>
    <mergeCell ref="S285:S286"/>
    <mergeCell ref="T285:T286"/>
    <mergeCell ref="M304:M305"/>
    <mergeCell ref="O304:O305"/>
    <mergeCell ref="P304:P305"/>
    <mergeCell ref="Q304:Q305"/>
    <mergeCell ref="R304:R305"/>
    <mergeCell ref="S304:S305"/>
    <mergeCell ref="T304:T305"/>
    <mergeCell ref="N304:N305"/>
    <mergeCell ref="O349:O350"/>
    <mergeCell ref="P349:P350"/>
    <mergeCell ref="Q349:Q350"/>
    <mergeCell ref="R349:R350"/>
    <mergeCell ref="S349:S350"/>
    <mergeCell ref="T349:T350"/>
    <mergeCell ref="N349:N350"/>
    <mergeCell ref="O362:O363"/>
    <mergeCell ref="P362:P363"/>
    <mergeCell ref="Q362:Q363"/>
    <mergeCell ref="R362:R363"/>
    <mergeCell ref="S362:S363"/>
    <mergeCell ref="T362:T363"/>
    <mergeCell ref="N362:N363"/>
    <mergeCell ref="N372:N375"/>
    <mergeCell ref="P372:P375"/>
    <mergeCell ref="Q372:Q375"/>
    <mergeCell ref="R372:R375"/>
    <mergeCell ref="S372:S375"/>
    <mergeCell ref="T372:T375"/>
    <mergeCell ref="S425:S426"/>
    <mergeCell ref="T425:T426"/>
    <mergeCell ref="O372:O375"/>
    <mergeCell ref="O385:O389"/>
    <mergeCell ref="P385:P389"/>
    <mergeCell ref="Q385:Q389"/>
    <mergeCell ref="R385:R389"/>
    <mergeCell ref="S385:S389"/>
    <mergeCell ref="T385:T389"/>
    <mergeCell ref="N439:N442"/>
    <mergeCell ref="O439:O442"/>
    <mergeCell ref="P439:P442"/>
    <mergeCell ref="Q439:Q442"/>
    <mergeCell ref="R439:R442"/>
    <mergeCell ref="S439:S442"/>
    <mergeCell ref="Q399:Q400"/>
    <mergeCell ref="R399:R400"/>
    <mergeCell ref="S399:S400"/>
    <mergeCell ref="T399:T400"/>
    <mergeCell ref="I439:I442"/>
    <mergeCell ref="J439:J442"/>
    <mergeCell ref="K439:K442"/>
    <mergeCell ref="T439:T442"/>
    <mergeCell ref="Q815:Q816"/>
    <mergeCell ref="R815:R816"/>
    <mergeCell ref="S815:S816"/>
    <mergeCell ref="T815:T816"/>
    <mergeCell ref="Q821:Q822"/>
    <mergeCell ref="R821:R822"/>
    <mergeCell ref="S821:S822"/>
    <mergeCell ref="T821:T822"/>
    <mergeCell ref="J815:J816"/>
    <mergeCell ref="K815:K816"/>
    <mergeCell ref="L815:L816"/>
    <mergeCell ref="M815:M816"/>
    <mergeCell ref="N815:N816"/>
    <mergeCell ref="O815:O816"/>
    <mergeCell ref="P815:P816"/>
    <mergeCell ref="K882:K883"/>
    <mergeCell ref="L882:L883"/>
    <mergeCell ref="M882:M883"/>
    <mergeCell ref="N882:N883"/>
    <mergeCell ref="O882:O883"/>
    <mergeCell ref="P882:P883"/>
    <mergeCell ref="Q882:Q883"/>
    <mergeCell ref="R882:R883"/>
    <mergeCell ref="S882:S883"/>
    <mergeCell ref="T882:T883"/>
    <mergeCell ref="Q885:Q889"/>
    <mergeCell ref="R885:R889"/>
    <mergeCell ref="S885:S889"/>
    <mergeCell ref="T885:T889"/>
    <mergeCell ref="S928:S929"/>
    <mergeCell ref="T928:T929"/>
    <mergeCell ref="Q893:Q894"/>
    <mergeCell ref="R893:R894"/>
    <mergeCell ref="S893:S894"/>
    <mergeCell ref="T893:T894"/>
    <mergeCell ref="P928:P929"/>
    <mergeCell ref="Q928:Q929"/>
    <mergeCell ref="R928:R929"/>
    <mergeCell ref="P974:P975"/>
    <mergeCell ref="Q974:Q975"/>
    <mergeCell ref="R974:R975"/>
    <mergeCell ref="S974:S975"/>
    <mergeCell ref="T974:T975"/>
    <mergeCell ref="Q989:Q991"/>
    <mergeCell ref="R989:R991"/>
    <mergeCell ref="N1485:N1486"/>
    <mergeCell ref="O1485:O1486"/>
    <mergeCell ref="P1485:P1486"/>
    <mergeCell ref="Q1485:Q1486"/>
    <mergeCell ref="R1485:R1487"/>
    <mergeCell ref="S1485:S1487"/>
    <mergeCell ref="T1485:T1487"/>
    <mergeCell ref="M1492:M1497"/>
    <mergeCell ref="N1492:N1497"/>
    <mergeCell ref="O1492:O1497"/>
    <mergeCell ref="P1492:P1497"/>
    <mergeCell ref="R1492:R1497"/>
    <mergeCell ref="S1492:S1497"/>
    <mergeCell ref="T1492:T1497"/>
  </mergeCells>
  <conditionalFormatting sqref="A4 A6 A9 A11 A13:A14 A16 A18 A20 A22 A24 A26:A27 A29:A30 A32:A33 A35 A37:A38 A40 A42 A44:A45 A47 A49 A52 A54 A56:A58 A60 A62:A63 A68 A70 A72 A74 A76 A78 A80 A84 A89 A95:A96 A99 A101 A103 A105 A218 A472 F680:G680 A860 A932 A973 A1006:A1008 A1146:A1147 A1327">
    <cfRule type="expression" dxfId="0" priority="1">
      <formula>$E4="N"</formula>
    </cfRule>
  </conditionalFormatting>
  <conditionalFormatting sqref="B104:B105">
    <cfRule type="expression" dxfId="0" priority="2">
      <formula>$F105="N"</formula>
    </cfRule>
  </conditionalFormatting>
  <conditionalFormatting sqref="B104:B105">
    <cfRule type="expression" dxfId="1" priority="3">
      <formula>($F105&lt;&gt;"")</formula>
    </cfRule>
  </conditionalFormatting>
  <conditionalFormatting sqref="D586:E586 D589:E589 C868:E868 D885:E885">
    <cfRule type="expression" dxfId="0" priority="4">
      <formula>$F569="N"</formula>
    </cfRule>
  </conditionalFormatting>
  <conditionalFormatting sqref="D586:E586 D589:E589 C868:E868 D885:E885">
    <cfRule type="expression" dxfId="1" priority="5">
      <formula>($F569&lt;&gt;"")</formula>
    </cfRule>
  </conditionalFormatting>
  <conditionalFormatting sqref="A306">
    <cfRule type="expression" dxfId="1" priority="6">
      <formula>($F307&lt;&gt;"")</formula>
    </cfRule>
  </conditionalFormatting>
  <conditionalFormatting sqref="A306">
    <cfRule type="expression" dxfId="0" priority="7">
      <formula>$F307="N"</formula>
    </cfRule>
  </conditionalFormatting>
  <conditionalFormatting sqref="A373">
    <cfRule type="expression" dxfId="1" priority="8">
      <formula>($F375&lt;&gt;"")</formula>
    </cfRule>
  </conditionalFormatting>
  <conditionalFormatting sqref="A373">
    <cfRule type="expression" dxfId="0" priority="9">
      <formula>$F375="N"</formula>
    </cfRule>
  </conditionalFormatting>
  <conditionalFormatting sqref="C179:D180">
    <cfRule type="expression" dxfId="0" priority="10">
      <formula>$F180="N"</formula>
    </cfRule>
  </conditionalFormatting>
  <conditionalFormatting sqref="C179:D180">
    <cfRule type="expression" dxfId="1" priority="11">
      <formula>($F180&lt;&gt;"")</formula>
    </cfRule>
  </conditionalFormatting>
  <conditionalFormatting sqref="C179:D180">
    <cfRule type="expression" dxfId="0" priority="12">
      <formula>$F180="N"</formula>
    </cfRule>
  </conditionalFormatting>
  <conditionalFormatting sqref="C179:D180">
    <cfRule type="expression" dxfId="1" priority="13">
      <formula>($F180&lt;&gt;"")</formula>
    </cfRule>
  </conditionalFormatting>
  <conditionalFormatting sqref="E869:E870 E1304:E1305">
    <cfRule type="expression" dxfId="0" priority="14">
      <formula>$F868="N"</formula>
    </cfRule>
  </conditionalFormatting>
  <conditionalFormatting sqref="E869:E870 E1304:E1305">
    <cfRule type="expression" dxfId="1" priority="15">
      <formula>($F868&lt;&gt;"")</formula>
    </cfRule>
  </conditionalFormatting>
  <conditionalFormatting sqref="C169:E169">
    <cfRule type="expression" dxfId="0" priority="16">
      <formula>$F204="N"</formula>
    </cfRule>
  </conditionalFormatting>
  <conditionalFormatting sqref="C169:E169">
    <cfRule type="expression" dxfId="1" priority="17">
      <formula>($F204&lt;&gt;"")</formula>
    </cfRule>
  </conditionalFormatting>
  <conditionalFormatting sqref="C1531:E1531">
    <cfRule type="expression" dxfId="0" priority="18">
      <formula>$F1532="N"</formula>
    </cfRule>
  </conditionalFormatting>
  <conditionalFormatting sqref="C1531:E1531">
    <cfRule type="expression" dxfId="1" priority="19">
      <formula>($F1532&lt;&gt;"")</formula>
    </cfRule>
  </conditionalFormatting>
  <conditionalFormatting sqref="B904:B906">
    <cfRule type="expression" dxfId="1" priority="20">
      <formula>($F906&lt;&gt;"")</formula>
    </cfRule>
  </conditionalFormatting>
  <conditionalFormatting sqref="B904:B906">
    <cfRule type="expression" dxfId="0" priority="21">
      <formula>$F906="N"</formula>
    </cfRule>
  </conditionalFormatting>
  <conditionalFormatting sqref="B399:D401 B541 B545 B557 B563 B627 B717">
    <cfRule type="expression" dxfId="0" priority="22">
      <formula>$F520="N"</formula>
    </cfRule>
  </conditionalFormatting>
  <conditionalFormatting sqref="B399:D401 B541 B545 B557 B563 B627 B717">
    <cfRule type="expression" dxfId="1" priority="23">
      <formula>($F520&lt;&gt;"")</formula>
    </cfRule>
  </conditionalFormatting>
  <conditionalFormatting sqref="B1693:D1693">
    <cfRule type="notContainsBlanks" dxfId="2" priority="24">
      <formula>LEN(TRIM(B1693))&gt;0</formula>
    </cfRule>
  </conditionalFormatting>
  <conditionalFormatting sqref="A2:A372 B2:B399 C2:C168 D2:T1695 C170:C178 C180:C398 A376:A1695 B402:B903 C402:C849 C851:C867 C869:C1695 B905 B907:B1695">
    <cfRule type="expression" dxfId="0" priority="25">
      <formula>$F2="N"</formula>
    </cfRule>
  </conditionalFormatting>
  <conditionalFormatting sqref="A2:A372 B2:B399 C2:C168 D2:T1695 C170:C178 C180:C398 A376:A1695 B402:B903 C402:C849 C851:C867 C869:C1695 B905 B907:B1695">
    <cfRule type="expression" dxfId="1" priority="26">
      <formula>($F2&lt;&gt;"")</formula>
    </cfRule>
  </conditionalFormatting>
  <conditionalFormatting sqref="U501">
    <cfRule type="notContainsBlanks" dxfId="2" priority="27">
      <formula>LEN(TRIM(U501))&gt;0</formula>
    </cfRule>
  </conditionalFormatting>
  <conditionalFormatting sqref="M2:S241 T2:T1690 M244:S316 M319:S368 M370:S467 M469:S1690 G545 G548 H779:H782">
    <cfRule type="cellIs" dxfId="3" priority="28" operator="equal">
      <formula>0</formula>
    </cfRule>
  </conditionalFormatting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4.57"/>
    <col customWidth="1" min="2" max="3" width="17.29"/>
    <col customWidth="1" min="4" max="4" width="15.43"/>
    <col customWidth="1" min="5" max="26" width="17.29"/>
  </cols>
  <sheetData>
    <row r="1" ht="15.75" customHeight="1">
      <c r="A1" s="144" t="s">
        <v>0</v>
      </c>
      <c r="B1" s="144" t="s">
        <v>1</v>
      </c>
      <c r="C1" s="145" t="s">
        <v>2</v>
      </c>
      <c r="D1" s="144" t="s">
        <v>3</v>
      </c>
      <c r="E1" s="144" t="s">
        <v>1965</v>
      </c>
      <c r="F1" s="144" t="s">
        <v>5</v>
      </c>
    </row>
    <row r="2" ht="15.75" customHeight="1">
      <c r="A2" s="144" t="str">
        <f>IFERROR(__xludf.DUMMYFUNCTION("SORT(FILTER('Ludoteca y préstamos'!A2:F1690, NOT(ISBLANK('Ludoteca y préstamos'!D2:D1690))),5,TRUE)"),"Project L")</f>
        <v>Project L</v>
      </c>
      <c r="B2" s="144" t="str">
        <f>IFERROR(__xludf.DUMMYFUNCTION("""COMPUTED_VALUE"""),"J4")</f>
        <v>J4</v>
      </c>
      <c r="C2" s="146" t="str">
        <f>IFERROR(__xludf.DUMMYFUNCTION("""COMPUTED_VALUE"""),"2 JUN 2023")</f>
        <v>2 JUN 2023</v>
      </c>
      <c r="D2" s="147" t="str">
        <f>IFERROR(__xludf.DUMMYFUNCTION("""COMPUTED_VALUE"""),"Jugoma")</f>
        <v>Jugoma</v>
      </c>
      <c r="E2" s="148">
        <f>IFERROR(__xludf.DUMMYFUNCTION("""COMPUTED_VALUE"""),45899.0)</f>
        <v>45899</v>
      </c>
      <c r="F2" s="149"/>
    </row>
    <row r="3" ht="15.75" customHeight="1">
      <c r="A3" s="144" t="str">
        <f>IFERROR(__xludf.DUMMYFUNCTION("""COMPUTED_VALUE"""),"Captain Flip")</f>
        <v>Captain Flip</v>
      </c>
      <c r="B3" s="144" t="str">
        <f>IFERROR(__xludf.DUMMYFUNCTION("""COMPUTED_VALUE"""),"Z3")</f>
        <v>Z3</v>
      </c>
      <c r="C3" s="146" t="str">
        <f>IFERROR(__xludf.DUMMYFUNCTION("""COMPUTED_VALUE"""),"MAR 2024")</f>
        <v>MAR 2024</v>
      </c>
      <c r="D3" s="147" t="str">
        <f>IFERROR(__xludf.DUMMYFUNCTION("""COMPUTED_VALUE"""),"SiempreNosQuedaráCatán")</f>
        <v>SiempreNosQuedaráCatán</v>
      </c>
      <c r="E3" s="148">
        <f>IFERROR(__xludf.DUMMYFUNCTION("""COMPUTED_VALUE"""),45931.0)</f>
        <v>45931</v>
      </c>
      <c r="F3" s="149"/>
    </row>
    <row r="4" ht="15.75" customHeight="1">
      <c r="A4" s="144" t="str">
        <f>IFERROR(__xludf.DUMMYFUNCTION("""COMPUTED_VALUE"""),"Crónicas del Crimen")</f>
        <v>Crónicas del Crimen</v>
      </c>
      <c r="B4" s="144" t="str">
        <f>IFERROR(__xludf.DUMMYFUNCTION("""COMPUTED_VALUE"""),"G5")</f>
        <v>G5</v>
      </c>
      <c r="C4" s="146"/>
      <c r="D4" s="147" t="str">
        <f>IFERROR(__xludf.DUMMYFUNCTION("""COMPUTED_VALUE"""),"Carlitosprrrrr")</f>
        <v>Carlitosprrrrr</v>
      </c>
      <c r="E4" s="148">
        <f>IFERROR(__xludf.DUMMYFUNCTION("""COMPUTED_VALUE"""),45931.0)</f>
        <v>45931</v>
      </c>
      <c r="F4" s="149"/>
    </row>
    <row r="5" ht="15.75" customHeight="1">
      <c r="A5" s="144" t="str">
        <f>IFERROR(__xludf.DUMMYFUNCTION("""COMPUTED_VALUE"""),"Destinies")</f>
        <v>Destinies</v>
      </c>
      <c r="B5" s="144" t="str">
        <f>IFERROR(__xludf.DUMMYFUNCTION("""COMPUTED_VALUE"""),"A6")</f>
        <v>A6</v>
      </c>
      <c r="C5" s="146" t="str">
        <f>IFERROR(__xludf.DUMMYFUNCTION("""COMPUTED_VALUE"""),"ABRIL 2024")</f>
        <v>ABRIL 2024</v>
      </c>
      <c r="D5" s="147" t="str">
        <f>IFERROR(__xludf.DUMMYFUNCTION("""COMPUTED_VALUE"""),"Carlitosprrrrr")</f>
        <v>Carlitosprrrrr</v>
      </c>
      <c r="E5" s="148">
        <f>IFERROR(__xludf.DUMMYFUNCTION("""COMPUTED_VALUE"""),45931.0)</f>
        <v>45931</v>
      </c>
      <c r="F5" s="149"/>
    </row>
    <row r="6" ht="15.75" customHeight="1">
      <c r="A6" s="144" t="str">
        <f>IFERROR(__xludf.DUMMYFUNCTION("""COMPUTED_VALUE"""),"Akropolis")</f>
        <v>Akropolis</v>
      </c>
      <c r="B6" s="144" t="str">
        <f>IFERROR(__xludf.DUMMYFUNCTION("""COMPUTED_VALUE"""),"Novedades")</f>
        <v>Novedades</v>
      </c>
      <c r="C6" s="146" t="str">
        <f>IFERROR(__xludf.DUMMYFUNCTION("""COMPUTED_VALUE"""),"26 ABR 2025")</f>
        <v>26 ABR 2025</v>
      </c>
      <c r="D6" s="147" t="str">
        <f>IFERROR(__xludf.DUMMYFUNCTION("""COMPUTED_VALUE"""),"ericplacton")</f>
        <v>ericplacton</v>
      </c>
      <c r="E6" s="148">
        <f>IFERROR(__xludf.DUMMYFUNCTION("""COMPUTED_VALUE"""),45933.0)</f>
        <v>45933</v>
      </c>
      <c r="F6" s="149" t="str">
        <f>IFERROR(__xludf.DUMMYFUNCTION("""COMPUTED_VALUE"""),"n")</f>
        <v>n</v>
      </c>
    </row>
    <row r="7" ht="15.75" customHeight="1">
      <c r="A7" s="144" t="str">
        <f>IFERROR(__xludf.DUMMYFUNCTION("""COMPUTED_VALUE"""),"Die Burgen von Burgund (Los Castillos de Borgoña)")</f>
        <v>Die Burgen von Burgund (Los Castillos de Borgoña)</v>
      </c>
      <c r="B7" s="144" t="str">
        <f>IFERROR(__xludf.DUMMYFUNCTION("""COMPUTED_VALUE"""),"F3")</f>
        <v>F3</v>
      </c>
      <c r="C7" s="146"/>
      <c r="D7" s="147" t="str">
        <f>IFERROR(__xludf.DUMMYFUNCTION("""COMPUTED_VALUE"""),"ericplacton")</f>
        <v>ericplacton</v>
      </c>
      <c r="E7" s="148">
        <f>IFERROR(__xludf.DUMMYFUNCTION("""COMPUTED_VALUE"""),45933.0)</f>
        <v>45933</v>
      </c>
      <c r="F7" s="149"/>
    </row>
    <row r="8" ht="15.75" customHeight="1">
      <c r="A8" s="144" t="str">
        <f>IFERROR(__xludf.DUMMYFUNCTION("""COMPUTED_VALUE"""),"Saint Malo")</f>
        <v>Saint Malo</v>
      </c>
      <c r="B8" s="144" t="str">
        <f>IFERROR(__xludf.DUMMYFUNCTION("""COMPUTED_VALUE"""),"M2")</f>
        <v>M2</v>
      </c>
      <c r="C8" s="146"/>
      <c r="D8" s="147" t="str">
        <f>IFERROR(__xludf.DUMMYFUNCTION("""COMPUTED_VALUE"""),"ericplacton")</f>
        <v>ericplacton</v>
      </c>
      <c r="E8" s="148">
        <f>IFERROR(__xludf.DUMMYFUNCTION("""COMPUTED_VALUE"""),45933.0)</f>
        <v>45933</v>
      </c>
      <c r="F8" s="149"/>
    </row>
    <row r="9" ht="15.75" customHeight="1">
      <c r="A9" s="144" t="str">
        <f>IFERROR(__xludf.DUMMYFUNCTION("""COMPUTED_VALUE"""),"Sky Team")</f>
        <v>Sky Team</v>
      </c>
      <c r="B9" s="144" t="str">
        <f>IFERROR(__xludf.DUMMYFUNCTION("""COMPUTED_VALUE"""),"M6")</f>
        <v>M6</v>
      </c>
      <c r="C9" s="146" t="str">
        <f>IFERROR(__xludf.DUMMYFUNCTION("""COMPUTED_VALUE"""),"10 FEB 2025")</f>
        <v>10 FEB 2025</v>
      </c>
      <c r="D9" s="147" t="str">
        <f>IFERROR(__xludf.DUMMYFUNCTION("""COMPUTED_VALUE"""),"TrujiLand")</f>
        <v>TrujiLand</v>
      </c>
      <c r="E9" s="148">
        <f>IFERROR(__xludf.DUMMYFUNCTION("""COMPUTED_VALUE"""),45933.0)</f>
        <v>45933</v>
      </c>
      <c r="F9" s="149"/>
    </row>
    <row r="10" ht="15.75" customHeight="1">
      <c r="A10" s="144" t="str">
        <f>IFERROR(__xludf.DUMMYFUNCTION("""COMPUTED_VALUE"""),"Terra")</f>
        <v>Terra</v>
      </c>
      <c r="B10" s="144" t="str">
        <f>IFERROR(__xludf.DUMMYFUNCTION("""COMPUTED_VALUE"""),"J1")</f>
        <v>J1</v>
      </c>
      <c r="C10" s="146"/>
      <c r="D10" s="147" t="str">
        <f>IFERROR(__xludf.DUMMYFUNCTION("""COMPUTED_VALUE"""),"ericplacton")</f>
        <v>ericplacton</v>
      </c>
      <c r="E10" s="150">
        <f>IFERROR(__xludf.DUMMYFUNCTION("""COMPUTED_VALUE"""),45933.0)</f>
        <v>45933</v>
      </c>
      <c r="F10" s="151"/>
    </row>
    <row r="11" ht="15.75" customHeight="1">
      <c r="A11" s="144" t="str">
        <f>IFERROR(__xludf.DUMMYFUNCTION("""COMPUTED_VALUE"""),"Votes for Women")</f>
        <v>Votes for Women</v>
      </c>
      <c r="B11" s="144" t="str">
        <f>IFERROR(__xludf.DUMMYFUNCTION("""COMPUTED_VALUE"""),"C5")</f>
        <v>C5</v>
      </c>
      <c r="C11" s="146" t="str">
        <f>IFERROR(__xludf.DUMMYFUNCTION("""COMPUTED_VALUE"""),"26 ABR 2025")</f>
        <v>26 ABR 2025</v>
      </c>
      <c r="D11" s="147" t="str">
        <f>IFERROR(__xludf.DUMMYFUNCTION("""COMPUTED_VALUE"""),"ericplacton")</f>
        <v>ericplacton</v>
      </c>
      <c r="E11" s="150">
        <f>IFERROR(__xludf.DUMMYFUNCTION("""COMPUTED_VALUE"""),45933.0)</f>
        <v>45933</v>
      </c>
      <c r="F11" s="149"/>
    </row>
    <row r="12" ht="15.75" customHeight="1">
      <c r="A12" s="144" t="str">
        <f>IFERROR(__xludf.DUMMYFUNCTION("""COMPUTED_VALUE"""),"ESDLA: El Duelo por la Tierra Media")</f>
        <v>ESDLA: El Duelo por la Tierra Media</v>
      </c>
      <c r="B12" s="144" t="str">
        <f>IFERROR(__xludf.DUMMYFUNCTION("""COMPUTED_VALUE"""),"Novedades")</f>
        <v>Novedades</v>
      </c>
      <c r="C12" s="146" t="str">
        <f>IFERROR(__xludf.DUMMYFUNCTION("""COMPUTED_VALUE"""),"26 ABR 2025")</f>
        <v>26 ABR 2025</v>
      </c>
      <c r="D12" s="147" t="str">
        <f>IFERROR(__xludf.DUMMYFUNCTION("""COMPUTED_VALUE"""),"Loanna")</f>
        <v>Loanna</v>
      </c>
      <c r="E12" s="148">
        <f>IFERROR(__xludf.DUMMYFUNCTION("""COMPUTED_VALUE"""),45935.0)</f>
        <v>45935</v>
      </c>
      <c r="F12" s="149" t="str">
        <f>IFERROR(__xludf.DUMMYFUNCTION("""COMPUTED_VALUE"""),"n")</f>
        <v>n</v>
      </c>
    </row>
    <row r="13" ht="15.75" customHeight="1">
      <c r="A13" s="144" t="str">
        <f>IFERROR(__xludf.DUMMYFUNCTION("""COMPUTED_VALUE"""),"Spy Guy: El pequeño detective")</f>
        <v>Spy Guy: El pequeño detective</v>
      </c>
      <c r="B13" s="144" t="str">
        <f>IFERROR(__xludf.DUMMYFUNCTION("""COMPUTED_VALUE"""),"Z3")</f>
        <v>Z3</v>
      </c>
      <c r="C13" s="146"/>
      <c r="D13" s="147" t="str">
        <f>IFERROR(__xludf.DUMMYFUNCTION("""COMPUTED_VALUE"""),"Loanna")</f>
        <v>Loanna</v>
      </c>
      <c r="E13" s="148">
        <f>IFERROR(__xludf.DUMMYFUNCTION("""COMPUTED_VALUE"""),45935.0)</f>
        <v>45935</v>
      </c>
      <c r="F13" s="149"/>
    </row>
    <row r="14" ht="15.75" customHeight="1">
      <c r="A14" s="144" t="str">
        <f>IFERROR(__xludf.DUMMYFUNCTION("""COMPUTED_VALUE"""),"Harmony")</f>
        <v>Harmony</v>
      </c>
      <c r="B14" s="144" t="str">
        <f>IFERROR(__xludf.DUMMYFUNCTION("""COMPUTED_VALUE"""),"Novedades")</f>
        <v>Novedades</v>
      </c>
      <c r="C14" s="152">
        <f>IFERROR(__xludf.DUMMYFUNCTION("""COMPUTED_VALUE"""),45872.0)</f>
        <v>45872</v>
      </c>
      <c r="D14" s="147" t="str">
        <f>IFERROR(__xludf.DUMMYFUNCTION("""COMPUTED_VALUE"""),"Noa")</f>
        <v>Noa</v>
      </c>
      <c r="E14" s="148">
        <f>IFERROR(__xludf.DUMMYFUNCTION("""COMPUTED_VALUE"""),45938.0)</f>
        <v>45938</v>
      </c>
      <c r="F14" s="149" t="str">
        <f>IFERROR(__xludf.DUMMYFUNCTION("""COMPUTED_VALUE"""),"n")</f>
        <v>n</v>
      </c>
    </row>
    <row r="15" ht="15.75" customHeight="1">
      <c r="A15" s="144" t="str">
        <f>IFERROR(__xludf.DUMMYFUNCTION("""COMPUTED_VALUE"""),"Unlock!: Escape Adventures")</f>
        <v>Unlock!: Escape Adventures</v>
      </c>
      <c r="B15" s="144" t="str">
        <f>IFERROR(__xludf.DUMMYFUNCTION("""COMPUTED_VALUE"""),"G6")</f>
        <v>G6</v>
      </c>
      <c r="C15" s="146"/>
      <c r="D15" s="147" t="str">
        <f>IFERROR(__xludf.DUMMYFUNCTION("""COMPUTED_VALUE"""),"Noa")</f>
        <v>Noa</v>
      </c>
      <c r="E15" s="148">
        <f>IFERROR(__xludf.DUMMYFUNCTION("""COMPUTED_VALUE"""),45938.0)</f>
        <v>45938</v>
      </c>
      <c r="F15" s="149"/>
    </row>
    <row r="16" ht="15.75" customHeight="1">
      <c r="A16" s="144" t="str">
        <f>IFERROR(__xludf.DUMMYFUNCTION("""COMPUTED_VALUE"""),"Unlock!: Legendary Adventures")</f>
        <v>Unlock!: Legendary Adventures</v>
      </c>
      <c r="B16" s="144" t="str">
        <f>IFERROR(__xludf.DUMMYFUNCTION("""COMPUTED_VALUE"""),"G6")</f>
        <v>G6</v>
      </c>
      <c r="C16" s="146"/>
      <c r="D16" s="147" t="str">
        <f>IFERROR(__xludf.DUMMYFUNCTION("""COMPUTED_VALUE"""),"Noa")</f>
        <v>Noa</v>
      </c>
      <c r="E16" s="148">
        <f>IFERROR(__xludf.DUMMYFUNCTION("""COMPUTED_VALUE"""),45938.0)</f>
        <v>45938</v>
      </c>
      <c r="F16" s="149"/>
    </row>
    <row r="17" ht="15.75" customHeight="1">
      <c r="A17" s="144" t="str">
        <f>IFERROR(__xludf.DUMMYFUNCTION("""COMPUTED_VALUE"""),"Heat")</f>
        <v>Heat</v>
      </c>
      <c r="B17" s="144" t="str">
        <f>IFERROR(__xludf.DUMMYFUNCTION("""COMPUTED_VALUE"""),"I4")</f>
        <v>I4</v>
      </c>
      <c r="C17" s="146" t="str">
        <f>IFERROR(__xludf.DUMMYFUNCTION("""COMPUTED_VALUE"""),"ABRIL 2024")</f>
        <v>ABRIL 2024</v>
      </c>
      <c r="D17" s="147" t="str">
        <f>IFERROR(__xludf.DUMMYFUNCTION("""COMPUTED_VALUE"""),"rawinn")</f>
        <v>rawinn</v>
      </c>
      <c r="E17" s="148">
        <f>IFERROR(__xludf.DUMMYFUNCTION("""COMPUTED_VALUE"""),45939.0)</f>
        <v>45939</v>
      </c>
      <c r="F17" s="149"/>
    </row>
    <row r="18" ht="15.75" customHeight="1">
      <c r="A18" s="144" t="str">
        <f>IFERROR(__xludf.DUMMYFUNCTION("""COMPUTED_VALUE"""),"Miyabi")</f>
        <v>Miyabi</v>
      </c>
      <c r="B18" s="144" t="str">
        <f>IFERROR(__xludf.DUMMYFUNCTION("""COMPUTED_VALUE"""),"J4")</f>
        <v>J4</v>
      </c>
      <c r="C18" s="146"/>
      <c r="D18" s="147" t="str">
        <f>IFERROR(__xludf.DUMMYFUNCTION("""COMPUTED_VALUE"""),"rawinn")</f>
        <v>rawinn</v>
      </c>
      <c r="E18" s="148">
        <f>IFERROR(__xludf.DUMMYFUNCTION("""COMPUTED_VALUE"""),45939.0)</f>
        <v>45939</v>
      </c>
      <c r="F18" s="149"/>
    </row>
    <row r="19" ht="15.75" customHeight="1">
      <c r="A19" s="144" t="str">
        <f>IFERROR(__xludf.DUMMYFUNCTION("""COMPUTED_VALUE"""),"Topito")</f>
        <v>Topito</v>
      </c>
      <c r="B19" s="144" t="str">
        <f>IFERROR(__xludf.DUMMYFUNCTION("""COMPUTED_VALUE"""),"Y6")</f>
        <v>Y6</v>
      </c>
      <c r="C19" s="146"/>
      <c r="D19" s="147" t="str">
        <f>IFERROR(__xludf.DUMMYFUNCTION("""COMPUTED_VALUE"""),"rawinn")</f>
        <v>rawinn</v>
      </c>
      <c r="E19" s="148">
        <f>IFERROR(__xludf.DUMMYFUNCTION("""COMPUTED_VALUE"""),45939.0)</f>
        <v>45939</v>
      </c>
      <c r="F19" s="149"/>
    </row>
    <row r="20" ht="15.75" customHeight="1">
      <c r="A20" s="144" t="str">
        <f>IFERROR(__xludf.DUMMYFUNCTION("""COMPUTED_VALUE"""),"Clank!: Catacumbas")</f>
        <v>Clank!: Catacumbas</v>
      </c>
      <c r="B20" s="144" t="str">
        <f>IFERROR(__xludf.DUMMYFUNCTION("""COMPUTED_VALUE"""),"E5")</f>
        <v>E5</v>
      </c>
      <c r="C20" s="146"/>
      <c r="D20" s="147" t="str">
        <f>IFERROR(__xludf.DUMMYFUNCTION("""COMPUTED_VALUE"""),"Abelardoz")</f>
        <v>Abelardoz</v>
      </c>
      <c r="E20" s="148">
        <f>IFERROR(__xludf.DUMMYFUNCTION("""COMPUTED_VALUE"""),45943.0)</f>
        <v>45943</v>
      </c>
      <c r="F20" s="149"/>
    </row>
    <row r="21" ht="15.75" customHeight="1">
      <c r="A21" s="144" t="str">
        <f>IFERROR(__xludf.DUMMYFUNCTION("""COMPUTED_VALUE"""),"Sleeping Gods")</f>
        <v>Sleeping Gods</v>
      </c>
      <c r="B21" s="144" t="str">
        <f>IFERROR(__xludf.DUMMYFUNCTION("""COMPUTED_VALUE"""),"B5")</f>
        <v>B5</v>
      </c>
      <c r="C21" s="146" t="str">
        <f>IFERROR(__xludf.DUMMYFUNCTION("""COMPUTED_VALUE"""),"26 ABR 2025")</f>
        <v>26 ABR 2025</v>
      </c>
      <c r="D21" s="147" t="str">
        <f>IFERROR(__xludf.DUMMYFUNCTION("""COMPUTED_VALUE"""),"Abelardoz")</f>
        <v>Abelardoz</v>
      </c>
      <c r="E21" s="148">
        <f>IFERROR(__xludf.DUMMYFUNCTION("""COMPUTED_VALUE"""),45943.0)</f>
        <v>45943</v>
      </c>
      <c r="F21" s="149"/>
    </row>
    <row r="22" ht="15.75" customHeight="1">
      <c r="A22" s="144" t="str">
        <f>IFERROR(__xludf.DUMMYFUNCTION("""COMPUTED_VALUE"""),"Mi Pequeño Everdell")</f>
        <v>Mi Pequeño Everdell</v>
      </c>
      <c r="B22" s="144" t="str">
        <f>IFERROR(__xludf.DUMMYFUNCTION("""COMPUTED_VALUE"""),"Novedades")</f>
        <v>Novedades</v>
      </c>
      <c r="C22" s="146" t="str">
        <f>IFERROR(__xludf.DUMMYFUNCTION("""COMPUTED_VALUE"""),"OCT 2024")</f>
        <v>OCT 2024</v>
      </c>
      <c r="D22" s="147" t="str">
        <f>IFERROR(__xludf.DUMMYFUNCTION("""COMPUTED_VALUE"""),"UrKiXo")</f>
        <v>UrKiXo</v>
      </c>
      <c r="E22" s="148">
        <f>IFERROR(__xludf.DUMMYFUNCTION("""COMPUTED_VALUE"""),45946.0)</f>
        <v>45946</v>
      </c>
      <c r="F22" s="149" t="str">
        <f>IFERROR(__xludf.DUMMYFUNCTION("""COMPUTED_VALUE"""),"n")</f>
        <v>n</v>
      </c>
    </row>
    <row r="23" ht="15.75" customHeight="1">
      <c r="A23" s="144" t="str">
        <f>IFERROR(__xludf.DUMMYFUNCTION("""COMPUTED_VALUE"""),"El Ansia")</f>
        <v>El Ansia</v>
      </c>
      <c r="B23" s="144" t="str">
        <f>IFERROR(__xludf.DUMMYFUNCTION("""COMPUTED_VALUE"""),"E5")</f>
        <v>E5</v>
      </c>
      <c r="C23" s="146"/>
      <c r="D23" s="147" t="str">
        <f>IFERROR(__xludf.DUMMYFUNCTION("""COMPUTED_VALUE"""),"TrujiLand")</f>
        <v>TrujiLand</v>
      </c>
      <c r="E23" s="150">
        <f>IFERROR(__xludf.DUMMYFUNCTION("""COMPUTED_VALUE"""),45948.0)</f>
        <v>45948</v>
      </c>
      <c r="F23" s="149"/>
    </row>
    <row r="24" ht="15.75" customHeight="1">
      <c r="A24" s="144" t="str">
        <f>IFERROR(__xludf.DUMMYFUNCTION("""COMPUTED_VALUE"""),"Océanos de papel")</f>
        <v>Océanos de papel</v>
      </c>
      <c r="B24" s="144" t="str">
        <f>IFERROR(__xludf.DUMMYFUNCTION("""COMPUTED_VALUE"""),"COL 2")</f>
        <v>COL 2</v>
      </c>
      <c r="C24" s="146" t="str">
        <f>IFERROR(__xludf.DUMMYFUNCTION("""COMPUTED_VALUE"""),"FEB 2024")</f>
        <v>FEB 2024</v>
      </c>
      <c r="D24" s="147" t="str">
        <f>IFERROR(__xludf.DUMMYFUNCTION("""COMPUTED_VALUE"""),"Lutxin")</f>
        <v>Lutxin</v>
      </c>
      <c r="E24" s="148">
        <f>IFERROR(__xludf.DUMMYFUNCTION("""COMPUTED_VALUE"""),45948.0)</f>
        <v>45948</v>
      </c>
      <c r="F24" s="149"/>
    </row>
    <row r="25" ht="15.75" customHeight="1">
      <c r="A25" s="144" t="str">
        <f>IFERROR(__xludf.DUMMYFUNCTION("""COMPUTED_VALUE"""),"Optimus")</f>
        <v>Optimus</v>
      </c>
      <c r="B25" s="144" t="str">
        <f>IFERROR(__xludf.DUMMYFUNCTION("""COMPUTED_VALUE"""),"COL 2")</f>
        <v>COL 2</v>
      </c>
      <c r="C25" s="146"/>
      <c r="D25" s="147" t="str">
        <f>IFERROR(__xludf.DUMMYFUNCTION("""COMPUTED_VALUE"""),"Lutxin")</f>
        <v>Lutxin</v>
      </c>
      <c r="E25" s="148">
        <f>IFERROR(__xludf.DUMMYFUNCTION("""COMPUTED_VALUE"""),45948.0)</f>
        <v>45948</v>
      </c>
      <c r="F25" s="149"/>
    </row>
    <row r="26" ht="15.75" customHeight="1">
      <c r="A26" s="144" t="str">
        <f>IFERROR(__xludf.DUMMYFUNCTION("""COMPUTED_VALUE"""),"Red Stories")</f>
        <v>Red Stories</v>
      </c>
      <c r="B26" s="144" t="str">
        <f>IFERROR(__xludf.DUMMYFUNCTION("""COMPUTED_VALUE"""),"COL 4")</f>
        <v>COL 4</v>
      </c>
      <c r="C26" s="146"/>
      <c r="D26" s="147" t="str">
        <f>IFERROR(__xludf.DUMMYFUNCTION("""COMPUTED_VALUE"""),"Lutxin")</f>
        <v>Lutxin</v>
      </c>
      <c r="E26" s="148">
        <f>IFERROR(__xludf.DUMMYFUNCTION("""COMPUTED_VALUE"""),45948.0)</f>
        <v>45948</v>
      </c>
      <c r="F26" s="149"/>
    </row>
    <row r="27" ht="15.75" customHeight="1">
      <c r="A27" s="144" t="str">
        <f>IFERROR(__xludf.DUMMYFUNCTION("""COMPUTED_VALUE"""),"Sherlock: El Legado del Don")</f>
        <v>Sherlock: El Legado del Don</v>
      </c>
      <c r="B27" s="144" t="str">
        <f>IFERROR(__xludf.DUMMYFUNCTION("""COMPUTED_VALUE"""),"COL 5")</f>
        <v>COL 5</v>
      </c>
      <c r="C27" s="146"/>
      <c r="D27" s="147" t="str">
        <f>IFERROR(__xludf.DUMMYFUNCTION("""COMPUTED_VALUE"""),"Lutxin")</f>
        <v>Lutxin</v>
      </c>
      <c r="E27" s="148">
        <f>IFERROR(__xludf.DUMMYFUNCTION("""COMPUTED_VALUE"""),45948.0)</f>
        <v>45948</v>
      </c>
      <c r="F27" s="149"/>
    </row>
    <row r="28" ht="15.75" customHeight="1">
      <c r="A28" s="144" t="str">
        <f>IFERROR(__xludf.DUMMYFUNCTION("""COMPUTED_VALUE"""),"Sherlock: Propagación")</f>
        <v>Sherlock: Propagación</v>
      </c>
      <c r="B28" s="144" t="str">
        <f>IFERROR(__xludf.DUMMYFUNCTION("""COMPUTED_VALUE"""),"COL 5")</f>
        <v>COL 5</v>
      </c>
      <c r="C28" s="146"/>
      <c r="D28" s="147" t="str">
        <f>IFERROR(__xludf.DUMMYFUNCTION("""COMPUTED_VALUE"""),"Lutxin")</f>
        <v>Lutxin</v>
      </c>
      <c r="E28" s="148">
        <f>IFERROR(__xludf.DUMMYFUNCTION("""COMPUTED_VALUE"""),45948.0)</f>
        <v>45948</v>
      </c>
      <c r="F28" s="149"/>
    </row>
    <row r="29" ht="15.75" customHeight="1">
      <c r="A29" s="144" t="str">
        <f>IFERROR(__xludf.DUMMYFUNCTION("""COMPUTED_VALUE"""),"Yokai Pagoda")</f>
        <v>Yokai Pagoda</v>
      </c>
      <c r="B29" s="144" t="str">
        <f>IFERROR(__xludf.DUMMYFUNCTION("""COMPUTED_VALUE"""),"COL 3")</f>
        <v>COL 3</v>
      </c>
      <c r="C29" s="146" t="str">
        <f>IFERROR(__xludf.DUMMYFUNCTION("""COMPUTED_VALUE"""),"ENE 2024")</f>
        <v>ENE 2024</v>
      </c>
      <c r="D29" s="147" t="str">
        <f>IFERROR(__xludf.DUMMYFUNCTION("""COMPUTED_VALUE"""),"TrujiLand")</f>
        <v>TrujiLand</v>
      </c>
      <c r="E29" s="148">
        <f>IFERROR(__xludf.DUMMYFUNCTION("""COMPUTED_VALUE"""),45948.0)</f>
        <v>45948</v>
      </c>
      <c r="F29" s="149"/>
    </row>
    <row r="30" ht="15.75" customHeight="1">
      <c r="A30" s="144" t="str">
        <f>IFERROR(__xludf.DUMMYFUNCTION("""COMPUTED_VALUE"""),"Civolución")</f>
        <v>Civolución</v>
      </c>
      <c r="B30" s="144" t="str">
        <f>IFERROR(__xludf.DUMMYFUNCTION("""COMPUTED_VALUE"""),"L6")</f>
        <v>L6</v>
      </c>
      <c r="C30" s="146" t="str">
        <f>IFERROR(__xludf.DUMMYFUNCTION("""COMPUTED_VALUE"""),"MAY 2025")</f>
        <v>MAY 2025</v>
      </c>
      <c r="D30" s="147" t="str">
        <f>IFERROR(__xludf.DUMMYFUNCTION("""COMPUTED_VALUE"""),"pestre")</f>
        <v>pestre</v>
      </c>
      <c r="E30" s="148">
        <f>IFERROR(__xludf.DUMMYFUNCTION("""COMPUTED_VALUE"""),45953.0)</f>
        <v>45953</v>
      </c>
      <c r="F30" s="149"/>
    </row>
    <row r="31" ht="15.75" customHeight="1">
      <c r="A31" s="144" t="str">
        <f>IFERROR(__xludf.DUMMYFUNCTION("""COMPUTED_VALUE"""),"Disney Villainous: Unstoppable!")</f>
        <v>Disney Villainous: Unstoppable!</v>
      </c>
      <c r="B31" s="144" t="str">
        <f>IFERROR(__xludf.DUMMYFUNCTION("""COMPUTED_VALUE"""),"Novedades")</f>
        <v>Novedades</v>
      </c>
      <c r="C31" s="146" t="str">
        <f>IFERROR(__xludf.DUMMYFUNCTION("""COMPUTED_VALUE"""),"15 SEP 2025")</f>
        <v>15 SEP 2025</v>
      </c>
      <c r="D31" s="147" t="str">
        <f>IFERROR(__xludf.DUMMYFUNCTION("""COMPUTED_VALUE"""),"Spider")</f>
        <v>Spider</v>
      </c>
      <c r="E31" s="148">
        <f>IFERROR(__xludf.DUMMYFUNCTION("""COMPUTED_VALUE"""),45953.0)</f>
        <v>45953</v>
      </c>
      <c r="F31" s="149" t="str">
        <f>IFERROR(__xludf.DUMMYFUNCTION("""COMPUTED_VALUE"""),"n")</f>
        <v>n</v>
      </c>
    </row>
    <row r="32" ht="15.75" customHeight="1">
      <c r="A32" s="144" t="str">
        <f>IFERROR(__xludf.DUMMYFUNCTION("""COMPUTED_VALUE"""),"Karak")</f>
        <v>Karak</v>
      </c>
      <c r="B32" s="144" t="str">
        <f>IFERROR(__xludf.DUMMYFUNCTION("""COMPUTED_VALUE"""),"B3")</f>
        <v>B3</v>
      </c>
      <c r="C32" s="146"/>
      <c r="D32" s="147" t="str">
        <f>IFERROR(__xludf.DUMMYFUNCTION("""COMPUTED_VALUE"""),"Spider")</f>
        <v>Spider</v>
      </c>
      <c r="E32" s="148">
        <f>IFERROR(__xludf.DUMMYFUNCTION("""COMPUTED_VALUE"""),45953.0)</f>
        <v>45953</v>
      </c>
      <c r="F32" s="149"/>
    </row>
    <row r="33" ht="15.75" customHeight="1">
      <c r="A33" s="144" t="str">
        <f>IFERROR(__xludf.DUMMYFUNCTION("""COMPUTED_VALUE"""),"La Oscuridad Asfixiante")</f>
        <v>La Oscuridad Asfixiante</v>
      </c>
      <c r="B33" s="144" t="str">
        <f>IFERROR(__xludf.DUMMYFUNCTION("""COMPUTED_VALUE"""),"A6")</f>
        <v>A6</v>
      </c>
      <c r="C33" s="146" t="str">
        <f>IFERROR(__xludf.DUMMYFUNCTION("""COMPUTED_VALUE"""),"16 DIC 2024")</f>
        <v>16 DIC 2024</v>
      </c>
      <c r="D33" s="147" t="str">
        <f>IFERROR(__xludf.DUMMYFUNCTION("""COMPUTED_VALUE"""),"pestre")</f>
        <v>pestre</v>
      </c>
      <c r="E33" s="148">
        <f>IFERROR(__xludf.DUMMYFUNCTION("""COMPUTED_VALUE"""),45953.0)</f>
        <v>45953</v>
      </c>
      <c r="F33" s="149"/>
    </row>
    <row r="34" ht="15.75" customHeight="1">
      <c r="A34" s="144" t="str">
        <f>IFERROR(__xludf.DUMMYFUNCTION("""COMPUTED_VALUE"""),"Magic Race")</f>
        <v>Magic Race</v>
      </c>
      <c r="B34" s="144" t="str">
        <f>IFERROR(__xludf.DUMMYFUNCTION("""COMPUTED_VALUE"""),"Y4")</f>
        <v>Y4</v>
      </c>
      <c r="C34" s="146"/>
      <c r="D34" s="147" t="str">
        <f>IFERROR(__xludf.DUMMYFUNCTION("""COMPUTED_VALUE"""),"Spider")</f>
        <v>Spider</v>
      </c>
      <c r="E34" s="150">
        <f>IFERROR(__xludf.DUMMYFUNCTION("""COMPUTED_VALUE"""),45953.0)</f>
        <v>45953</v>
      </c>
      <c r="F34" s="149"/>
    </row>
    <row r="35" ht="15.75" customHeight="1">
      <c r="A35" s="144" t="str">
        <f>IFERROR(__xludf.DUMMYFUNCTION("""COMPUTED_VALUE"""),"Men-Nefer")</f>
        <v>Men-Nefer</v>
      </c>
      <c r="B35" s="144" t="str">
        <f>IFERROR(__xludf.DUMMYFUNCTION("""COMPUTED_VALUE"""),"F2")</f>
        <v>F2</v>
      </c>
      <c r="C35" s="146" t="str">
        <f>IFERROR(__xludf.DUMMYFUNCTION("""COMPUTED_VALUE"""),"20 NOV 2024")</f>
        <v>20 NOV 2024</v>
      </c>
      <c r="D35" s="147" t="str">
        <f>IFERROR(__xludf.DUMMYFUNCTION("""COMPUTED_VALUE"""),"pestre")</f>
        <v>pestre</v>
      </c>
      <c r="E35" s="148">
        <f>IFERROR(__xludf.DUMMYFUNCTION("""COMPUTED_VALUE"""),45953.0)</f>
        <v>45953</v>
      </c>
      <c r="F35" s="149"/>
    </row>
    <row r="36" ht="15.75" customHeight="1">
      <c r="A36" s="144" t="str">
        <f>IFERROR(__xludf.DUMMYFUNCTION("""COMPUTED_VALUE"""),"Minecraft: Builders &amp; Biomes")</f>
        <v>Minecraft: Builders &amp; Biomes</v>
      </c>
      <c r="B36" s="144" t="str">
        <f>IFERROR(__xludf.DUMMYFUNCTION("""COMPUTED_VALUE"""),"Novedades")</f>
        <v>Novedades</v>
      </c>
      <c r="C36" s="146" t="str">
        <f>IFERROR(__xludf.DUMMYFUNCTION("""COMPUTED_VALUE"""),"15 SEP 2025")</f>
        <v>15 SEP 2025</v>
      </c>
      <c r="D36" s="147" t="str">
        <f>IFERROR(__xludf.DUMMYFUNCTION("""COMPUTED_VALUE"""),"pestre")</f>
        <v>pestre</v>
      </c>
      <c r="E36" s="148">
        <f>IFERROR(__xludf.DUMMYFUNCTION("""COMPUTED_VALUE"""),45953.0)</f>
        <v>45953</v>
      </c>
      <c r="F36" s="149" t="str">
        <f>IFERROR(__xludf.DUMMYFUNCTION("""COMPUTED_VALUE"""),"n")</f>
        <v>n</v>
      </c>
    </row>
    <row r="37" ht="15.75" customHeight="1">
      <c r="A37" s="144" t="str">
        <f>IFERROR(__xludf.DUMMYFUNCTION("""COMPUTED_VALUE"""),"Spy Guy: Fantasy")</f>
        <v>Spy Guy: Fantasy</v>
      </c>
      <c r="B37" s="144" t="str">
        <f>IFERROR(__xludf.DUMMYFUNCTION("""COMPUTED_VALUE"""),"Novedades")</f>
        <v>Novedades</v>
      </c>
      <c r="C37" s="146" t="str">
        <f>IFERROR(__xludf.DUMMYFUNCTION("""COMPUTED_VALUE"""),"14 OCT 2025")</f>
        <v>14 OCT 2025</v>
      </c>
      <c r="D37" s="147" t="str">
        <f>IFERROR(__xludf.DUMMYFUNCTION("""COMPUTED_VALUE"""),"Spider")</f>
        <v>Spider</v>
      </c>
      <c r="E37" s="148">
        <f>IFERROR(__xludf.DUMMYFUNCTION("""COMPUTED_VALUE"""),45953.0)</f>
        <v>45953</v>
      </c>
      <c r="F37" s="149" t="str">
        <f>IFERROR(__xludf.DUMMYFUNCTION("""COMPUTED_VALUE"""),"n")</f>
        <v>n</v>
      </c>
    </row>
    <row r="38" ht="15.75" customHeight="1">
      <c r="A38" s="144" t="str">
        <f>IFERROR(__xludf.DUMMYFUNCTION("""COMPUTED_VALUE"""),"Unlock! Kids: Detective Stories")</f>
        <v>Unlock! Kids: Detective Stories</v>
      </c>
      <c r="B38" s="144" t="str">
        <f>IFERROR(__xludf.DUMMYFUNCTION("""COMPUTED_VALUE"""),"Z5")</f>
        <v>Z5</v>
      </c>
      <c r="C38" s="146"/>
      <c r="D38" s="147" t="str">
        <f>IFERROR(__xludf.DUMMYFUNCTION("""COMPUTED_VALUE"""),"Spider")</f>
        <v>Spider</v>
      </c>
      <c r="E38" s="148">
        <f>IFERROR(__xludf.DUMMYFUNCTION("""COMPUTED_VALUE"""),45953.0)</f>
        <v>45953</v>
      </c>
      <c r="F38" s="149"/>
    </row>
    <row r="39" ht="15.75" customHeight="1">
      <c r="A39" s="144"/>
      <c r="B39" s="144"/>
      <c r="C39" s="144"/>
      <c r="D39" s="147"/>
      <c r="E39" s="153"/>
      <c r="F39" s="149"/>
    </row>
    <row r="40" ht="15.75" customHeight="1">
      <c r="A40" s="144"/>
      <c r="B40" s="144"/>
      <c r="C40" s="144"/>
      <c r="D40" s="147"/>
      <c r="E40" s="153"/>
      <c r="F40" s="149"/>
    </row>
    <row r="41" ht="15.75" customHeight="1">
      <c r="A41" s="144"/>
      <c r="B41" s="144"/>
      <c r="C41" s="144"/>
      <c r="D41" s="147"/>
      <c r="E41" s="150"/>
      <c r="F41" s="149"/>
    </row>
    <row r="42" ht="15.75" customHeight="1">
      <c r="A42" s="144"/>
      <c r="B42" s="144"/>
      <c r="C42" s="144"/>
      <c r="D42" s="147"/>
      <c r="E42" s="153"/>
      <c r="F42" s="149"/>
    </row>
    <row r="43" ht="15.75" customHeight="1">
      <c r="A43" s="144"/>
      <c r="B43" s="144"/>
      <c r="C43" s="144"/>
      <c r="D43" s="147"/>
      <c r="E43" s="153"/>
      <c r="F43" s="149"/>
    </row>
    <row r="44" ht="15.75" customHeight="1">
      <c r="A44" s="144"/>
      <c r="B44" s="144"/>
      <c r="C44" s="144"/>
      <c r="D44" s="147"/>
      <c r="E44" s="153"/>
      <c r="F44" s="149"/>
    </row>
    <row r="45" ht="15.75" customHeight="1">
      <c r="A45" s="144"/>
      <c r="B45" s="144"/>
      <c r="C45" s="144"/>
      <c r="D45" s="147"/>
      <c r="E45" s="153"/>
      <c r="F45" s="149"/>
    </row>
    <row r="46" ht="15.75" customHeight="1">
      <c r="A46" s="144"/>
      <c r="B46" s="144"/>
      <c r="C46" s="144"/>
      <c r="D46" s="147"/>
      <c r="E46" s="153"/>
      <c r="F46" s="149"/>
    </row>
    <row r="47" ht="15.75" customHeight="1">
      <c r="A47" s="144"/>
      <c r="B47" s="144"/>
      <c r="C47" s="144"/>
      <c r="D47" s="154"/>
      <c r="E47" s="153"/>
      <c r="F47" s="149"/>
    </row>
    <row r="48" ht="15.75" customHeight="1">
      <c r="A48" s="144"/>
      <c r="B48" s="144"/>
      <c r="C48" s="144"/>
      <c r="D48" s="154"/>
      <c r="E48" s="153"/>
      <c r="F48" s="149"/>
    </row>
    <row r="49" ht="15.75" customHeight="1">
      <c r="A49" s="144"/>
      <c r="B49" s="144"/>
      <c r="C49" s="144"/>
      <c r="D49" s="154"/>
      <c r="E49" s="153"/>
      <c r="F49" s="149"/>
    </row>
    <row r="50" ht="15.75" customHeight="1">
      <c r="A50" s="144"/>
      <c r="B50" s="144"/>
      <c r="C50" s="144"/>
      <c r="D50" s="154"/>
      <c r="E50" s="153"/>
      <c r="F50" s="149"/>
    </row>
    <row r="51" ht="15.75" customHeight="1">
      <c r="A51" s="144"/>
      <c r="B51" s="144"/>
      <c r="C51" s="144"/>
      <c r="D51" s="154"/>
      <c r="E51" s="153"/>
      <c r="F51" s="149"/>
    </row>
    <row r="52" ht="15.75" customHeight="1">
      <c r="A52" s="144"/>
      <c r="B52" s="144"/>
      <c r="C52" s="144"/>
      <c r="D52" s="154"/>
      <c r="E52" s="153"/>
      <c r="F52" s="149"/>
    </row>
    <row r="53" ht="15.75" customHeight="1">
      <c r="A53" s="144"/>
      <c r="B53" s="144"/>
      <c r="C53" s="144"/>
      <c r="D53" s="154"/>
      <c r="E53" s="153"/>
      <c r="F53" s="149"/>
    </row>
    <row r="54" ht="15.75" customHeight="1">
      <c r="A54" s="144"/>
      <c r="B54" s="144"/>
      <c r="C54" s="144"/>
      <c r="D54" s="154"/>
      <c r="E54" s="153"/>
      <c r="F54" s="149"/>
    </row>
    <row r="55" ht="15.75" customHeight="1">
      <c r="A55" s="144"/>
      <c r="B55" s="144"/>
      <c r="C55" s="144"/>
      <c r="D55" s="154"/>
      <c r="E55" s="153"/>
      <c r="F55" s="149"/>
    </row>
    <row r="56" ht="15.75" customHeight="1">
      <c r="A56" s="144"/>
      <c r="B56" s="144"/>
      <c r="C56" s="144"/>
      <c r="D56" s="154"/>
      <c r="E56" s="153"/>
      <c r="F56" s="149"/>
    </row>
    <row r="57" ht="15.75" customHeight="1">
      <c r="A57" s="144"/>
      <c r="B57" s="144"/>
      <c r="C57" s="144"/>
      <c r="D57" s="154"/>
      <c r="E57" s="153"/>
      <c r="F57" s="149"/>
    </row>
    <row r="58" ht="15.75" customHeight="1">
      <c r="A58" s="144"/>
      <c r="B58" s="144"/>
      <c r="C58" s="144"/>
      <c r="D58" s="154"/>
      <c r="E58" s="153"/>
      <c r="F58" s="149"/>
    </row>
    <row r="59" ht="15.75" customHeight="1">
      <c r="A59" s="144"/>
      <c r="B59" s="144"/>
      <c r="C59" s="144"/>
      <c r="D59" s="154"/>
      <c r="E59" s="153"/>
      <c r="F59" s="149"/>
    </row>
    <row r="60" ht="15.75" customHeight="1">
      <c r="A60" s="144"/>
      <c r="B60" s="144"/>
      <c r="C60" s="144"/>
      <c r="D60" s="154"/>
      <c r="E60" s="153"/>
      <c r="F60" s="149"/>
    </row>
    <row r="61" ht="15.75" customHeight="1">
      <c r="A61" s="144"/>
      <c r="B61" s="144"/>
      <c r="C61" s="144"/>
      <c r="D61" s="154"/>
      <c r="E61" s="153"/>
      <c r="F61" s="149"/>
    </row>
    <row r="62" ht="15.75" customHeight="1">
      <c r="A62" s="144"/>
      <c r="B62" s="144"/>
      <c r="C62" s="144"/>
      <c r="D62" s="154"/>
      <c r="E62" s="153"/>
      <c r="F62" s="149"/>
    </row>
    <row r="63" ht="15.75" customHeight="1">
      <c r="A63" s="144"/>
      <c r="B63" s="144"/>
      <c r="C63" s="144"/>
      <c r="D63" s="154"/>
      <c r="E63" s="153"/>
      <c r="F63" s="149"/>
    </row>
    <row r="64" ht="15.75" customHeight="1">
      <c r="A64" s="144"/>
      <c r="B64" s="144"/>
      <c r="C64" s="144"/>
      <c r="D64" s="154"/>
      <c r="E64" s="153"/>
      <c r="F64" s="149"/>
    </row>
    <row r="65" ht="15.75" customHeight="1">
      <c r="A65" s="144"/>
      <c r="B65" s="144"/>
      <c r="C65" s="144"/>
      <c r="D65" s="154"/>
      <c r="E65" s="153"/>
      <c r="F65" s="149"/>
    </row>
    <row r="66" ht="15.75" customHeight="1">
      <c r="A66" s="144"/>
      <c r="B66" s="144"/>
      <c r="C66" s="144"/>
      <c r="D66" s="154"/>
      <c r="E66" s="153"/>
      <c r="F66" s="149"/>
    </row>
    <row r="67" ht="15.75" customHeight="1">
      <c r="A67" s="144"/>
      <c r="B67" s="144"/>
      <c r="C67" s="144"/>
      <c r="D67" s="154"/>
      <c r="E67" s="153"/>
      <c r="F67" s="149"/>
    </row>
    <row r="68" ht="15.75" customHeight="1">
      <c r="A68" s="144"/>
      <c r="B68" s="144"/>
      <c r="C68" s="144"/>
      <c r="D68" s="154"/>
      <c r="E68" s="153"/>
      <c r="F68" s="149"/>
    </row>
    <row r="69" ht="15.75" customHeight="1">
      <c r="A69" s="144"/>
      <c r="B69" s="144"/>
      <c r="C69" s="144"/>
      <c r="D69" s="154"/>
      <c r="E69" s="153"/>
      <c r="F69" s="149"/>
    </row>
    <row r="70" ht="15.75" customHeight="1">
      <c r="A70" s="144"/>
      <c r="B70" s="144"/>
      <c r="C70" s="144"/>
      <c r="D70" s="154"/>
      <c r="E70" s="153"/>
      <c r="F70" s="149"/>
    </row>
    <row r="71" ht="15.75" customHeight="1">
      <c r="A71" s="144"/>
      <c r="B71" s="144"/>
      <c r="C71" s="144"/>
      <c r="D71" s="154"/>
      <c r="E71" s="153"/>
      <c r="F71" s="149"/>
    </row>
    <row r="72" ht="15.75" customHeight="1">
      <c r="A72" s="144"/>
      <c r="B72" s="144"/>
      <c r="C72" s="144"/>
      <c r="D72" s="154"/>
      <c r="E72" s="153"/>
      <c r="F72" s="149"/>
    </row>
    <row r="73" ht="15.75" customHeight="1">
      <c r="A73" s="144"/>
      <c r="B73" s="144"/>
      <c r="C73" s="144"/>
      <c r="D73" s="154"/>
      <c r="E73" s="153"/>
      <c r="F73" s="149"/>
    </row>
    <row r="74" ht="15.75" customHeight="1">
      <c r="A74" s="144"/>
      <c r="B74" s="144"/>
      <c r="C74" s="144"/>
      <c r="D74" s="154"/>
      <c r="E74" s="153"/>
      <c r="F74" s="149"/>
    </row>
    <row r="75" ht="15.75" customHeight="1">
      <c r="A75" s="144"/>
      <c r="B75" s="144"/>
      <c r="C75" s="144"/>
      <c r="D75" s="154"/>
      <c r="E75" s="153"/>
      <c r="F75" s="149"/>
    </row>
    <row r="76" ht="15.75" customHeight="1">
      <c r="A76" s="144"/>
      <c r="B76" s="144"/>
      <c r="C76" s="144"/>
      <c r="D76" s="154"/>
      <c r="E76" s="153"/>
      <c r="F76" s="149"/>
    </row>
    <row r="77" ht="15.75" customHeight="1">
      <c r="A77" s="144"/>
      <c r="B77" s="144"/>
      <c r="C77" s="144"/>
      <c r="D77" s="154"/>
      <c r="E77" s="153"/>
      <c r="F77" s="149"/>
    </row>
    <row r="78" ht="15.75" customHeight="1">
      <c r="A78" s="144"/>
      <c r="B78" s="144"/>
      <c r="C78" s="144"/>
      <c r="D78" s="154"/>
      <c r="E78" s="153"/>
      <c r="F78" s="149"/>
    </row>
    <row r="79" ht="15.75" customHeight="1">
      <c r="A79" s="144"/>
      <c r="B79" s="144"/>
      <c r="C79" s="144"/>
      <c r="D79" s="154"/>
      <c r="E79" s="153"/>
      <c r="F79" s="149"/>
    </row>
    <row r="80" ht="15.75" customHeight="1">
      <c r="A80" s="144"/>
      <c r="B80" s="144"/>
      <c r="C80" s="144"/>
      <c r="D80" s="154"/>
      <c r="E80" s="153"/>
      <c r="F80" s="149"/>
    </row>
    <row r="81" ht="15.75" customHeight="1">
      <c r="A81" s="144"/>
      <c r="B81" s="144"/>
      <c r="C81" s="144"/>
      <c r="D81" s="154"/>
      <c r="E81" s="153"/>
      <c r="F81" s="149"/>
    </row>
    <row r="82" ht="15.75" customHeight="1">
      <c r="A82" s="144"/>
      <c r="B82" s="144"/>
      <c r="C82" s="144"/>
      <c r="D82" s="154"/>
      <c r="E82" s="153"/>
      <c r="F82" s="149"/>
    </row>
    <row r="83" ht="15.75" customHeight="1">
      <c r="A83" s="144"/>
      <c r="B83" s="144"/>
      <c r="C83" s="144"/>
      <c r="D83" s="154"/>
      <c r="E83" s="153"/>
      <c r="F83" s="149"/>
    </row>
    <row r="84" ht="15.75" customHeight="1">
      <c r="A84" s="144"/>
      <c r="B84" s="144"/>
      <c r="C84" s="144"/>
      <c r="D84" s="154"/>
      <c r="E84" s="153"/>
      <c r="F84" s="149"/>
    </row>
    <row r="85" ht="15.75" customHeight="1">
      <c r="A85" s="144"/>
      <c r="B85" s="144"/>
      <c r="C85" s="144"/>
      <c r="D85" s="154"/>
      <c r="E85" s="153"/>
      <c r="F85" s="149"/>
    </row>
    <row r="86" ht="15.75" customHeight="1">
      <c r="A86" s="144"/>
      <c r="B86" s="144"/>
      <c r="C86" s="144"/>
      <c r="D86" s="154"/>
      <c r="E86" s="153"/>
      <c r="F86" s="149"/>
    </row>
    <row r="87" ht="15.75" customHeight="1">
      <c r="A87" s="144"/>
      <c r="B87" s="144"/>
      <c r="C87" s="144"/>
      <c r="D87" s="154"/>
      <c r="E87" s="153"/>
      <c r="F87" s="149"/>
    </row>
    <row r="88" ht="15.75" customHeight="1">
      <c r="A88" s="144"/>
      <c r="B88" s="144"/>
      <c r="C88" s="144"/>
      <c r="D88" s="154"/>
      <c r="E88" s="153"/>
      <c r="F88" s="149"/>
    </row>
    <row r="89" ht="15.75" customHeight="1">
      <c r="A89" s="144"/>
      <c r="B89" s="144"/>
      <c r="C89" s="144"/>
      <c r="D89" s="154"/>
      <c r="E89" s="153"/>
      <c r="F89" s="149"/>
    </row>
    <row r="90" ht="15.75" customHeight="1">
      <c r="A90" s="144"/>
      <c r="B90" s="144"/>
      <c r="C90" s="144"/>
      <c r="D90" s="154"/>
      <c r="E90" s="153"/>
      <c r="F90" s="149"/>
    </row>
    <row r="91" ht="15.75" customHeight="1">
      <c r="A91" s="144"/>
      <c r="B91" s="144"/>
      <c r="C91" s="144"/>
      <c r="D91" s="154"/>
      <c r="E91" s="153"/>
      <c r="F91" s="149"/>
    </row>
    <row r="92" ht="15.75" customHeight="1">
      <c r="A92" s="144"/>
      <c r="B92" s="144"/>
      <c r="C92" s="144"/>
      <c r="D92" s="154"/>
      <c r="E92" s="153"/>
      <c r="F92" s="149"/>
    </row>
    <row r="93" ht="15.75" customHeight="1">
      <c r="A93" s="144"/>
      <c r="B93" s="144"/>
      <c r="C93" s="144"/>
      <c r="D93" s="154"/>
      <c r="E93" s="153"/>
      <c r="F93" s="149"/>
    </row>
    <row r="94" ht="15.75" customHeight="1">
      <c r="A94" s="144"/>
      <c r="B94" s="144"/>
      <c r="C94" s="144"/>
      <c r="D94" s="154"/>
      <c r="E94" s="153"/>
      <c r="F94" s="149"/>
    </row>
    <row r="95" ht="15.75" customHeight="1">
      <c r="A95" s="144"/>
      <c r="B95" s="144"/>
      <c r="C95" s="144"/>
      <c r="D95" s="154"/>
      <c r="E95" s="153"/>
      <c r="F95" s="149"/>
    </row>
    <row r="96" ht="15.75" customHeight="1">
      <c r="A96" s="144"/>
      <c r="B96" s="144"/>
      <c r="C96" s="144"/>
      <c r="D96" s="154"/>
      <c r="E96" s="153"/>
      <c r="F96" s="149"/>
    </row>
    <row r="97" ht="15.75" customHeight="1">
      <c r="A97" s="144"/>
      <c r="B97" s="144"/>
      <c r="C97" s="144"/>
      <c r="D97" s="154"/>
      <c r="E97" s="153"/>
      <c r="F97" s="149"/>
    </row>
    <row r="98" ht="15.75" customHeight="1">
      <c r="A98" s="144"/>
      <c r="B98" s="144"/>
      <c r="C98" s="144"/>
      <c r="D98" s="154"/>
      <c r="E98" s="153"/>
      <c r="F98" s="149"/>
    </row>
    <row r="99" ht="15.75" customHeight="1">
      <c r="A99" s="144"/>
      <c r="B99" s="144"/>
      <c r="C99" s="144"/>
      <c r="D99" s="154"/>
      <c r="E99" s="153"/>
      <c r="F99" s="149"/>
    </row>
    <row r="100" ht="15.75" customHeight="1">
      <c r="A100" s="144"/>
      <c r="B100" s="144"/>
      <c r="C100" s="144"/>
      <c r="D100" s="154"/>
      <c r="E100" s="153"/>
      <c r="F100" s="149"/>
    </row>
    <row r="101" ht="15.75" customHeight="1">
      <c r="A101" s="144"/>
      <c r="B101" s="144"/>
      <c r="C101" s="144"/>
      <c r="D101" s="154"/>
      <c r="E101" s="153"/>
      <c r="F101" s="149"/>
    </row>
    <row r="102" ht="15.75" customHeight="1">
      <c r="A102" s="144"/>
      <c r="B102" s="144"/>
      <c r="C102" s="144"/>
      <c r="D102" s="154"/>
      <c r="E102" s="153"/>
      <c r="F102" s="149"/>
    </row>
    <row r="103" ht="15.75" customHeight="1">
      <c r="A103" s="144"/>
      <c r="B103" s="144"/>
      <c r="C103" s="144"/>
      <c r="D103" s="154"/>
      <c r="E103" s="153"/>
      <c r="F103" s="149"/>
    </row>
    <row r="104" ht="15.75" customHeight="1">
      <c r="A104" s="144"/>
      <c r="B104" s="144"/>
      <c r="C104" s="144"/>
      <c r="D104" s="154"/>
      <c r="E104" s="153"/>
      <c r="F104" s="149"/>
    </row>
    <row r="105" ht="15.75" customHeight="1">
      <c r="A105" s="144"/>
      <c r="B105" s="144"/>
      <c r="C105" s="144"/>
      <c r="D105" s="154"/>
      <c r="E105" s="153"/>
      <c r="F105" s="149"/>
    </row>
    <row r="106" ht="15.75" customHeight="1">
      <c r="A106" s="144"/>
      <c r="B106" s="144"/>
      <c r="C106" s="144"/>
      <c r="D106" s="154"/>
      <c r="E106" s="153"/>
      <c r="F106" s="149"/>
    </row>
    <row r="107" ht="15.75" customHeight="1">
      <c r="A107" s="144"/>
      <c r="B107" s="144"/>
      <c r="C107" s="144"/>
      <c r="D107" s="154"/>
      <c r="E107" s="153"/>
      <c r="F107" s="149"/>
    </row>
    <row r="108" ht="15.75" customHeight="1">
      <c r="A108" s="144"/>
      <c r="B108" s="144"/>
      <c r="C108" s="144"/>
      <c r="D108" s="154"/>
      <c r="E108" s="153"/>
      <c r="F108" s="149"/>
    </row>
    <row r="109" ht="15.75" customHeight="1">
      <c r="A109" s="144"/>
      <c r="B109" s="144"/>
      <c r="C109" s="144"/>
      <c r="D109" s="154"/>
      <c r="E109" s="153"/>
      <c r="F109" s="149"/>
    </row>
    <row r="110" ht="15.75" customHeight="1">
      <c r="A110" s="144"/>
      <c r="B110" s="144"/>
      <c r="C110" s="144"/>
      <c r="D110" s="154"/>
      <c r="E110" s="153"/>
      <c r="F110" s="149"/>
    </row>
    <row r="111" ht="15.75" customHeight="1">
      <c r="A111" s="144"/>
      <c r="B111" s="144"/>
      <c r="C111" s="144"/>
      <c r="D111" s="154"/>
      <c r="E111" s="153"/>
      <c r="F111" s="149"/>
    </row>
    <row r="112" ht="15.75" customHeight="1">
      <c r="A112" s="144"/>
      <c r="B112" s="144"/>
      <c r="C112" s="144"/>
      <c r="D112" s="154"/>
      <c r="E112" s="153"/>
      <c r="F112" s="149"/>
    </row>
    <row r="113" ht="15.75" customHeight="1">
      <c r="A113" s="144"/>
      <c r="B113" s="144"/>
      <c r="C113" s="144"/>
      <c r="D113" s="154"/>
      <c r="E113" s="153"/>
      <c r="F113" s="149"/>
    </row>
    <row r="114" ht="15.75" customHeight="1">
      <c r="A114" s="144"/>
      <c r="B114" s="144"/>
      <c r="C114" s="144"/>
      <c r="D114" s="154"/>
      <c r="E114" s="153"/>
      <c r="F114" s="149"/>
    </row>
    <row r="115" ht="15.75" customHeight="1">
      <c r="A115" s="144"/>
      <c r="B115" s="144"/>
      <c r="C115" s="144"/>
      <c r="D115" s="154"/>
      <c r="E115" s="153"/>
      <c r="F115" s="149"/>
    </row>
    <row r="116" ht="15.75" customHeight="1">
      <c r="A116" s="144"/>
      <c r="B116" s="144"/>
      <c r="C116" s="144"/>
      <c r="D116" s="154"/>
      <c r="E116" s="153"/>
      <c r="F116" s="149"/>
    </row>
    <row r="117" ht="15.75" customHeight="1">
      <c r="A117" s="144"/>
      <c r="B117" s="144"/>
      <c r="C117" s="144"/>
      <c r="D117" s="154"/>
      <c r="E117" s="153"/>
      <c r="F117" s="149"/>
    </row>
    <row r="118" ht="15.75" customHeight="1">
      <c r="A118" s="144"/>
      <c r="B118" s="144"/>
      <c r="C118" s="144"/>
      <c r="D118" s="154"/>
      <c r="E118" s="153"/>
      <c r="F118" s="149"/>
    </row>
    <row r="119" ht="15.75" customHeight="1">
      <c r="A119" s="144"/>
      <c r="B119" s="144"/>
      <c r="C119" s="144"/>
      <c r="D119" s="154"/>
      <c r="E119" s="153"/>
      <c r="F119" s="149"/>
    </row>
    <row r="120" ht="15.75" customHeight="1">
      <c r="A120" s="144"/>
      <c r="B120" s="144"/>
      <c r="C120" s="144"/>
      <c r="D120" s="154"/>
      <c r="E120" s="153"/>
      <c r="F120" s="149"/>
    </row>
    <row r="121" ht="15.75" customHeight="1">
      <c r="A121" s="144"/>
      <c r="B121" s="144"/>
      <c r="C121" s="144"/>
      <c r="D121" s="154"/>
      <c r="E121" s="153"/>
      <c r="F121" s="149"/>
    </row>
    <row r="122" ht="15.75" customHeight="1">
      <c r="A122" s="144"/>
      <c r="B122" s="144"/>
      <c r="C122" s="144"/>
      <c r="D122" s="154"/>
      <c r="E122" s="153"/>
      <c r="F122" s="149"/>
    </row>
    <row r="123" ht="15.75" customHeight="1">
      <c r="A123" s="144"/>
      <c r="B123" s="144"/>
      <c r="C123" s="144"/>
      <c r="D123" s="154"/>
      <c r="E123" s="153"/>
      <c r="F123" s="149"/>
    </row>
    <row r="124" ht="15.75" customHeight="1">
      <c r="A124" s="144"/>
      <c r="B124" s="144"/>
      <c r="C124" s="144"/>
      <c r="D124" s="154"/>
      <c r="E124" s="153"/>
      <c r="F124" s="149"/>
    </row>
    <row r="125" ht="15.75" customHeight="1">
      <c r="A125" s="144"/>
      <c r="B125" s="144"/>
      <c r="C125" s="144"/>
      <c r="D125" s="154"/>
      <c r="E125" s="153"/>
      <c r="F125" s="149"/>
    </row>
    <row r="126" ht="15.75" customHeight="1">
      <c r="A126" s="144"/>
      <c r="B126" s="144"/>
      <c r="C126" s="144"/>
      <c r="D126" s="154"/>
      <c r="E126" s="153"/>
      <c r="F126" s="149"/>
    </row>
    <row r="127" ht="15.75" customHeight="1">
      <c r="A127" s="144"/>
      <c r="B127" s="144"/>
      <c r="C127" s="144"/>
      <c r="D127" s="154"/>
      <c r="E127" s="153"/>
      <c r="F127" s="149"/>
    </row>
    <row r="128" ht="15.75" customHeight="1">
      <c r="A128" s="144"/>
      <c r="B128" s="144"/>
      <c r="C128" s="144"/>
      <c r="D128" s="154"/>
      <c r="E128" s="153"/>
      <c r="F128" s="149"/>
    </row>
    <row r="129" ht="15.75" customHeight="1">
      <c r="A129" s="144"/>
      <c r="B129" s="144"/>
      <c r="C129" s="144"/>
      <c r="D129" s="154"/>
      <c r="E129" s="153"/>
      <c r="F129" s="149"/>
    </row>
    <row r="130" ht="15.75" customHeight="1">
      <c r="A130" s="144"/>
      <c r="B130" s="144"/>
      <c r="C130" s="144"/>
      <c r="D130" s="154"/>
      <c r="E130" s="153"/>
      <c r="F130" s="149"/>
    </row>
    <row r="131" ht="15.75" customHeight="1">
      <c r="A131" s="144"/>
      <c r="B131" s="144"/>
      <c r="C131" s="144"/>
      <c r="D131" s="154"/>
      <c r="E131" s="153"/>
      <c r="F131" s="149"/>
    </row>
    <row r="132" ht="15.75" customHeight="1">
      <c r="A132" s="144"/>
      <c r="B132" s="144"/>
      <c r="C132" s="144"/>
      <c r="D132" s="154"/>
      <c r="E132" s="153"/>
      <c r="F132" s="149"/>
    </row>
    <row r="133" ht="15.75" customHeight="1">
      <c r="A133" s="144"/>
      <c r="B133" s="144"/>
      <c r="C133" s="144"/>
      <c r="D133" s="154"/>
      <c r="E133" s="153"/>
      <c r="F133" s="149"/>
    </row>
    <row r="134" ht="15.75" customHeight="1">
      <c r="A134" s="144"/>
      <c r="B134" s="144"/>
      <c r="C134" s="144"/>
      <c r="D134" s="154"/>
      <c r="E134" s="153"/>
      <c r="F134" s="149"/>
    </row>
    <row r="135" ht="15.75" customHeight="1">
      <c r="A135" s="144"/>
      <c r="B135" s="144"/>
      <c r="C135" s="144"/>
      <c r="D135" s="154"/>
      <c r="E135" s="153"/>
      <c r="F135" s="149"/>
    </row>
    <row r="136" ht="15.75" customHeight="1">
      <c r="A136" s="144"/>
      <c r="B136" s="144"/>
      <c r="C136" s="144"/>
      <c r="D136" s="154"/>
      <c r="E136" s="153"/>
      <c r="F136" s="149"/>
    </row>
    <row r="137" ht="15.75" customHeight="1">
      <c r="A137" s="144"/>
      <c r="B137" s="144"/>
      <c r="C137" s="144"/>
      <c r="D137" s="154"/>
      <c r="E137" s="153"/>
      <c r="F137" s="149"/>
    </row>
    <row r="138" ht="15.75" customHeight="1">
      <c r="A138" s="144"/>
      <c r="B138" s="144"/>
      <c r="C138" s="144"/>
      <c r="D138" s="154"/>
      <c r="E138" s="153"/>
      <c r="F138" s="149"/>
    </row>
    <row r="139" ht="15.75" customHeight="1">
      <c r="A139" s="144"/>
      <c r="B139" s="144"/>
      <c r="C139" s="144"/>
      <c r="D139" s="154"/>
      <c r="E139" s="153"/>
      <c r="F139" s="149"/>
    </row>
    <row r="140" ht="15.75" customHeight="1">
      <c r="A140" s="144"/>
      <c r="B140" s="144"/>
      <c r="C140" s="144"/>
      <c r="D140" s="154"/>
      <c r="E140" s="153"/>
      <c r="F140" s="149"/>
    </row>
    <row r="141" ht="15.75" customHeight="1">
      <c r="A141" s="144"/>
      <c r="B141" s="144"/>
      <c r="C141" s="144"/>
      <c r="D141" s="154"/>
      <c r="E141" s="153"/>
      <c r="F141" s="149"/>
    </row>
    <row r="142" ht="15.75" customHeight="1">
      <c r="A142" s="144"/>
      <c r="B142" s="144"/>
      <c r="C142" s="144"/>
      <c r="D142" s="154"/>
      <c r="E142" s="153"/>
      <c r="F142" s="149"/>
    </row>
    <row r="143" ht="15.75" customHeight="1">
      <c r="A143" s="144"/>
      <c r="B143" s="144"/>
      <c r="C143" s="144"/>
      <c r="D143" s="154"/>
      <c r="E143" s="153"/>
      <c r="F143" s="149"/>
    </row>
    <row r="144" ht="15.75" customHeight="1">
      <c r="A144" s="144"/>
      <c r="B144" s="144"/>
      <c r="C144" s="144"/>
      <c r="D144" s="154"/>
      <c r="E144" s="153"/>
      <c r="F144" s="149"/>
    </row>
    <row r="145" ht="15.75" customHeight="1">
      <c r="A145" s="144"/>
      <c r="B145" s="144"/>
      <c r="C145" s="144"/>
      <c r="D145" s="154"/>
      <c r="E145" s="153"/>
      <c r="F145" s="149"/>
    </row>
    <row r="146" ht="15.75" customHeight="1">
      <c r="A146" s="144"/>
      <c r="B146" s="144"/>
      <c r="C146" s="144"/>
      <c r="D146" s="154"/>
      <c r="E146" s="153"/>
      <c r="F146" s="149"/>
    </row>
    <row r="147" ht="15.75" customHeight="1">
      <c r="A147" s="144"/>
      <c r="B147" s="144"/>
      <c r="C147" s="144"/>
      <c r="D147" s="154"/>
      <c r="E147" s="153"/>
      <c r="F147" s="149"/>
    </row>
    <row r="148" ht="15.75" customHeight="1">
      <c r="A148" s="144"/>
      <c r="B148" s="144"/>
      <c r="C148" s="144"/>
      <c r="D148" s="154"/>
      <c r="E148" s="153"/>
      <c r="F148" s="149"/>
    </row>
    <row r="149" ht="15.75" customHeight="1">
      <c r="A149" s="144"/>
      <c r="B149" s="144"/>
      <c r="C149" s="144"/>
      <c r="D149" s="154"/>
      <c r="E149" s="153"/>
      <c r="F149" s="149"/>
    </row>
    <row r="150" ht="15.75" customHeight="1">
      <c r="A150" s="144"/>
      <c r="B150" s="144"/>
      <c r="C150" s="144"/>
      <c r="D150" s="154"/>
      <c r="E150" s="153"/>
      <c r="F150" s="149"/>
    </row>
    <row r="151" ht="15.75" customHeight="1">
      <c r="A151" s="144"/>
      <c r="B151" s="144"/>
      <c r="C151" s="144"/>
      <c r="D151" s="154"/>
      <c r="E151" s="153"/>
      <c r="F151" s="149"/>
    </row>
    <row r="152" ht="15.75" customHeight="1">
      <c r="A152" s="144"/>
      <c r="B152" s="144"/>
      <c r="C152" s="144"/>
      <c r="D152" s="154"/>
      <c r="E152" s="153"/>
      <c r="F152" s="149"/>
    </row>
    <row r="153" ht="15.75" customHeight="1">
      <c r="A153" s="144"/>
      <c r="B153" s="144"/>
      <c r="C153" s="144"/>
      <c r="D153" s="154"/>
      <c r="E153" s="153"/>
      <c r="F153" s="149"/>
    </row>
    <row r="154" ht="15.75" customHeight="1">
      <c r="A154" s="144"/>
      <c r="B154" s="144"/>
      <c r="C154" s="144"/>
      <c r="D154" s="154"/>
      <c r="E154" s="153"/>
      <c r="F154" s="149"/>
    </row>
    <row r="155" ht="15.75" customHeight="1">
      <c r="A155" s="144"/>
      <c r="B155" s="144"/>
      <c r="C155" s="144"/>
      <c r="D155" s="154"/>
      <c r="E155" s="153"/>
      <c r="F155" s="149"/>
    </row>
    <row r="156" ht="15.75" customHeight="1">
      <c r="A156" s="144"/>
      <c r="B156" s="144"/>
      <c r="C156" s="144"/>
      <c r="D156" s="154"/>
      <c r="E156" s="153"/>
      <c r="F156" s="149"/>
    </row>
    <row r="157" ht="15.75" customHeight="1">
      <c r="A157" s="144"/>
      <c r="B157" s="144"/>
      <c r="C157" s="144"/>
      <c r="D157" s="154"/>
      <c r="E157" s="153"/>
      <c r="F157" s="149"/>
    </row>
    <row r="158" ht="15.75" customHeight="1">
      <c r="A158" s="144"/>
      <c r="B158" s="144"/>
      <c r="C158" s="144"/>
      <c r="D158" s="154"/>
      <c r="E158" s="153"/>
      <c r="F158" s="149"/>
    </row>
    <row r="159" ht="15.75" customHeight="1">
      <c r="A159" s="144"/>
      <c r="B159" s="144"/>
      <c r="C159" s="144"/>
      <c r="D159" s="154"/>
      <c r="E159" s="153"/>
      <c r="F159" s="149"/>
    </row>
    <row r="160" ht="15.75" customHeight="1">
      <c r="A160" s="144"/>
      <c r="B160" s="144"/>
      <c r="C160" s="144"/>
      <c r="D160" s="154"/>
      <c r="E160" s="153"/>
      <c r="F160" s="149"/>
    </row>
    <row r="161" ht="15.75" customHeight="1">
      <c r="A161" s="144"/>
      <c r="B161" s="144"/>
      <c r="C161" s="144"/>
      <c r="D161" s="154"/>
      <c r="E161" s="153"/>
      <c r="F161" s="149"/>
    </row>
    <row r="162" ht="15.75" customHeight="1">
      <c r="A162" s="144"/>
      <c r="B162" s="144"/>
      <c r="C162" s="144"/>
      <c r="D162" s="154"/>
      <c r="E162" s="153"/>
      <c r="F162" s="149"/>
    </row>
    <row r="163" ht="15.75" customHeight="1">
      <c r="A163" s="144"/>
      <c r="B163" s="144"/>
      <c r="C163" s="144"/>
      <c r="D163" s="154"/>
      <c r="E163" s="153"/>
      <c r="F163" s="149"/>
    </row>
    <row r="164" ht="15.75" customHeight="1">
      <c r="A164" s="144"/>
      <c r="B164" s="144"/>
      <c r="C164" s="144"/>
      <c r="D164" s="154"/>
      <c r="E164" s="153"/>
      <c r="F164" s="149"/>
    </row>
    <row r="165" ht="15.75" customHeight="1">
      <c r="A165" s="144"/>
      <c r="B165" s="144"/>
      <c r="C165" s="144"/>
      <c r="D165" s="154"/>
      <c r="E165" s="153"/>
      <c r="F165" s="149"/>
    </row>
    <row r="166" ht="15.75" customHeight="1">
      <c r="A166" s="144"/>
      <c r="B166" s="144"/>
      <c r="C166" s="144"/>
      <c r="D166" s="154"/>
      <c r="E166" s="153"/>
      <c r="F166" s="149"/>
    </row>
    <row r="167" ht="15.75" customHeight="1">
      <c r="A167" s="144"/>
      <c r="B167" s="144"/>
      <c r="C167" s="144"/>
      <c r="D167" s="154"/>
      <c r="E167" s="153"/>
      <c r="F167" s="149"/>
    </row>
    <row r="168" ht="15.75" customHeight="1">
      <c r="A168" s="144"/>
      <c r="B168" s="144"/>
      <c r="C168" s="144"/>
      <c r="D168" s="154"/>
      <c r="E168" s="153"/>
      <c r="F168" s="149"/>
    </row>
    <row r="169" ht="15.75" customHeight="1">
      <c r="A169" s="144"/>
      <c r="B169" s="144"/>
      <c r="C169" s="144"/>
      <c r="D169" s="154"/>
      <c r="E169" s="153"/>
      <c r="F169" s="149"/>
    </row>
    <row r="170" ht="15.75" customHeight="1">
      <c r="A170" s="144"/>
      <c r="B170" s="144"/>
      <c r="C170" s="144"/>
      <c r="D170" s="154"/>
      <c r="E170" s="153"/>
      <c r="F170" s="149"/>
    </row>
    <row r="171" ht="15.75" customHeight="1">
      <c r="A171" s="144"/>
      <c r="B171" s="144"/>
      <c r="C171" s="144"/>
      <c r="D171" s="154"/>
      <c r="E171" s="153"/>
      <c r="F171" s="149"/>
    </row>
    <row r="172" ht="15.75" customHeight="1">
      <c r="A172" s="144"/>
      <c r="B172" s="144"/>
      <c r="C172" s="144"/>
      <c r="D172" s="154"/>
      <c r="E172" s="153"/>
      <c r="F172" s="149"/>
    </row>
    <row r="173" ht="15.75" customHeight="1">
      <c r="A173" s="144"/>
      <c r="B173" s="144"/>
      <c r="C173" s="144"/>
      <c r="D173" s="154"/>
      <c r="E173" s="153"/>
      <c r="F173" s="149"/>
    </row>
    <row r="174" ht="15.75" customHeight="1">
      <c r="A174" s="144"/>
      <c r="B174" s="144"/>
      <c r="C174" s="144"/>
      <c r="D174" s="154"/>
      <c r="E174" s="153"/>
      <c r="F174" s="149"/>
    </row>
    <row r="175" ht="15.75" customHeight="1">
      <c r="A175" s="144"/>
      <c r="B175" s="144"/>
      <c r="C175" s="144"/>
      <c r="D175" s="154"/>
      <c r="E175" s="153"/>
      <c r="F175" s="149"/>
    </row>
    <row r="176" ht="15.75" customHeight="1">
      <c r="A176" s="144"/>
      <c r="B176" s="144"/>
      <c r="C176" s="144"/>
      <c r="D176" s="154"/>
      <c r="E176" s="153"/>
      <c r="F176" s="149"/>
    </row>
    <row r="177" ht="15.75" customHeight="1">
      <c r="A177" s="144"/>
      <c r="B177" s="144"/>
      <c r="C177" s="144"/>
      <c r="D177" s="154"/>
      <c r="E177" s="153"/>
      <c r="F177" s="149"/>
    </row>
    <row r="178" ht="15.75" customHeight="1">
      <c r="A178" s="144"/>
      <c r="B178" s="144"/>
      <c r="C178" s="144"/>
      <c r="D178" s="154"/>
      <c r="E178" s="153"/>
      <c r="F178" s="149"/>
    </row>
    <row r="179" ht="15.75" customHeight="1">
      <c r="A179" s="144"/>
      <c r="B179" s="144"/>
      <c r="C179" s="144"/>
      <c r="D179" s="154"/>
      <c r="E179" s="153"/>
      <c r="F179" s="149"/>
    </row>
    <row r="180" ht="15.75" customHeight="1">
      <c r="A180" s="144"/>
      <c r="B180" s="144"/>
      <c r="C180" s="144"/>
      <c r="D180" s="154"/>
      <c r="E180" s="153"/>
      <c r="F180" s="149"/>
    </row>
    <row r="181" ht="15.75" customHeight="1">
      <c r="A181" s="144"/>
      <c r="B181" s="144"/>
      <c r="C181" s="144"/>
      <c r="D181" s="154"/>
      <c r="E181" s="153"/>
      <c r="F181" s="149"/>
    </row>
    <row r="182" ht="15.75" customHeight="1">
      <c r="A182" s="144"/>
      <c r="B182" s="144"/>
      <c r="C182" s="144"/>
      <c r="D182" s="154"/>
      <c r="E182" s="153"/>
      <c r="F182" s="149"/>
    </row>
    <row r="183" ht="15.75" customHeight="1">
      <c r="A183" s="144"/>
      <c r="B183" s="144"/>
      <c r="C183" s="144"/>
      <c r="D183" s="154"/>
      <c r="E183" s="153"/>
      <c r="F183" s="149"/>
    </row>
    <row r="184" ht="15.75" customHeight="1">
      <c r="A184" s="144"/>
      <c r="B184" s="144"/>
      <c r="C184" s="144"/>
      <c r="D184" s="154"/>
      <c r="E184" s="153"/>
      <c r="F184" s="149"/>
    </row>
    <row r="185" ht="15.75" customHeight="1">
      <c r="A185" s="144"/>
      <c r="B185" s="144"/>
      <c r="C185" s="144"/>
      <c r="D185" s="154"/>
      <c r="E185" s="153"/>
      <c r="F185" s="149"/>
    </row>
    <row r="186" ht="15.75" customHeight="1">
      <c r="A186" s="144"/>
      <c r="B186" s="144"/>
      <c r="C186" s="144"/>
      <c r="D186" s="154"/>
      <c r="E186" s="153"/>
      <c r="F186" s="149"/>
    </row>
    <row r="187" ht="15.75" customHeight="1">
      <c r="A187" s="144"/>
      <c r="B187" s="144"/>
      <c r="C187" s="144"/>
      <c r="D187" s="154"/>
      <c r="E187" s="153"/>
      <c r="F187" s="149"/>
    </row>
    <row r="188" ht="15.75" customHeight="1">
      <c r="A188" s="144"/>
      <c r="B188" s="144"/>
      <c r="C188" s="144"/>
      <c r="D188" s="154"/>
      <c r="E188" s="153"/>
      <c r="F188" s="149"/>
    </row>
    <row r="189" ht="15.75" customHeight="1">
      <c r="A189" s="144"/>
      <c r="B189" s="144"/>
      <c r="C189" s="144"/>
      <c r="D189" s="154"/>
      <c r="E189" s="153"/>
      <c r="F189" s="149"/>
    </row>
    <row r="190" ht="15.75" customHeight="1">
      <c r="A190" s="144"/>
      <c r="B190" s="144"/>
      <c r="C190" s="144"/>
      <c r="D190" s="154"/>
      <c r="E190" s="153"/>
      <c r="F190" s="149"/>
    </row>
    <row r="191" ht="15.75" customHeight="1">
      <c r="A191" s="144"/>
      <c r="B191" s="144"/>
      <c r="C191" s="144"/>
      <c r="D191" s="154"/>
      <c r="E191" s="153"/>
      <c r="F191" s="149"/>
    </row>
    <row r="192" ht="15.75" customHeight="1">
      <c r="A192" s="144"/>
      <c r="B192" s="144"/>
      <c r="C192" s="144"/>
      <c r="D192" s="154"/>
      <c r="E192" s="153"/>
      <c r="F192" s="149"/>
    </row>
    <row r="193" ht="15.75" customHeight="1">
      <c r="A193" s="144"/>
      <c r="B193" s="144"/>
      <c r="C193" s="144"/>
      <c r="D193" s="154"/>
      <c r="E193" s="153"/>
      <c r="F193" s="149"/>
    </row>
    <row r="194" ht="15.75" customHeight="1">
      <c r="A194" s="144"/>
      <c r="B194" s="144"/>
      <c r="C194" s="144"/>
      <c r="D194" s="154"/>
      <c r="E194" s="153"/>
      <c r="F194" s="149"/>
    </row>
    <row r="195" ht="15.75" customHeight="1">
      <c r="A195" s="144"/>
      <c r="B195" s="144"/>
      <c r="C195" s="144"/>
      <c r="D195" s="154"/>
      <c r="E195" s="153"/>
      <c r="F195" s="149"/>
    </row>
    <row r="196" ht="15.75" customHeight="1">
      <c r="A196" s="144"/>
      <c r="B196" s="144"/>
      <c r="C196" s="144"/>
      <c r="D196" s="154"/>
      <c r="E196" s="153"/>
      <c r="F196" s="149"/>
    </row>
    <row r="197" ht="15.75" customHeight="1">
      <c r="A197" s="144"/>
      <c r="B197" s="144"/>
      <c r="C197" s="144"/>
      <c r="D197" s="154"/>
      <c r="E197" s="153"/>
      <c r="F197" s="149"/>
    </row>
    <row r="198" ht="15.75" customHeight="1">
      <c r="A198" s="144"/>
      <c r="B198" s="144"/>
      <c r="C198" s="144"/>
      <c r="D198" s="154"/>
      <c r="E198" s="153"/>
      <c r="F198" s="149"/>
    </row>
    <row r="199" ht="15.75" customHeight="1">
      <c r="A199" s="144"/>
      <c r="B199" s="144"/>
      <c r="C199" s="144"/>
      <c r="D199" s="154"/>
      <c r="E199" s="153"/>
      <c r="F199" s="149"/>
    </row>
    <row r="200" ht="15.75" customHeight="1">
      <c r="A200" s="144"/>
      <c r="B200" s="144"/>
      <c r="C200" s="144"/>
      <c r="D200" s="154"/>
      <c r="E200" s="153"/>
      <c r="F200" s="149"/>
    </row>
    <row r="201" ht="15.75" customHeight="1">
      <c r="A201" s="144"/>
      <c r="B201" s="144"/>
      <c r="C201" s="144"/>
      <c r="D201" s="154"/>
      <c r="E201" s="153"/>
      <c r="F201" s="149"/>
    </row>
    <row r="202" ht="15.75" customHeight="1">
      <c r="A202" s="144"/>
      <c r="B202" s="144"/>
      <c r="C202" s="144"/>
      <c r="D202" s="154"/>
      <c r="E202" s="153"/>
      <c r="F202" s="149"/>
    </row>
    <row r="203" ht="15.75" customHeight="1">
      <c r="A203" s="144"/>
      <c r="B203" s="144"/>
      <c r="C203" s="144"/>
      <c r="D203" s="154"/>
      <c r="E203" s="153"/>
      <c r="F203" s="149"/>
    </row>
    <row r="204" ht="15.75" customHeight="1">
      <c r="A204" s="144"/>
      <c r="B204" s="144"/>
      <c r="C204" s="144"/>
      <c r="D204" s="154"/>
      <c r="E204" s="153"/>
      <c r="F204" s="149"/>
    </row>
    <row r="205" ht="15.75" customHeight="1">
      <c r="A205" s="144"/>
      <c r="B205" s="144"/>
      <c r="C205" s="144"/>
      <c r="D205" s="154"/>
      <c r="E205" s="153"/>
      <c r="F205" s="149"/>
    </row>
    <row r="206" ht="15.75" customHeight="1">
      <c r="A206" s="144"/>
      <c r="B206" s="144"/>
      <c r="C206" s="144"/>
      <c r="D206" s="154"/>
      <c r="E206" s="153"/>
      <c r="F206" s="149"/>
    </row>
    <row r="207" ht="15.75" customHeight="1">
      <c r="A207" s="144"/>
      <c r="B207" s="144"/>
      <c r="C207" s="144"/>
      <c r="D207" s="154"/>
      <c r="E207" s="153"/>
      <c r="F207" s="149"/>
    </row>
    <row r="208" ht="15.75" customHeight="1">
      <c r="A208" s="144"/>
      <c r="B208" s="144"/>
      <c r="C208" s="144"/>
      <c r="D208" s="154"/>
      <c r="E208" s="153"/>
      <c r="F208" s="149"/>
    </row>
    <row r="209" ht="15.75" customHeight="1">
      <c r="A209" s="144"/>
      <c r="B209" s="144"/>
      <c r="C209" s="144"/>
      <c r="D209" s="154"/>
      <c r="E209" s="153"/>
      <c r="F209" s="149"/>
    </row>
    <row r="210" ht="15.75" customHeight="1">
      <c r="A210" s="144"/>
      <c r="B210" s="144"/>
      <c r="C210" s="144"/>
      <c r="D210" s="154"/>
      <c r="E210" s="153"/>
      <c r="F210" s="149"/>
    </row>
    <row r="211" ht="15.75" customHeight="1">
      <c r="A211" s="144"/>
      <c r="B211" s="144"/>
      <c r="C211" s="144"/>
      <c r="D211" s="154"/>
      <c r="E211" s="153"/>
      <c r="F211" s="149"/>
    </row>
    <row r="212" ht="15.75" customHeight="1">
      <c r="A212" s="144"/>
      <c r="B212" s="144"/>
      <c r="C212" s="144"/>
      <c r="D212" s="154"/>
      <c r="E212" s="153"/>
      <c r="F212" s="149"/>
    </row>
    <row r="213" ht="15.75" customHeight="1">
      <c r="A213" s="144"/>
      <c r="B213" s="144"/>
      <c r="C213" s="144"/>
      <c r="D213" s="154"/>
      <c r="E213" s="153"/>
      <c r="F213" s="149"/>
    </row>
    <row r="214" ht="15.75" customHeight="1">
      <c r="A214" s="144"/>
      <c r="B214" s="144"/>
      <c r="C214" s="144"/>
      <c r="D214" s="154"/>
      <c r="E214" s="153"/>
      <c r="F214" s="149"/>
    </row>
    <row r="215" ht="15.75" customHeight="1">
      <c r="A215" s="144"/>
      <c r="B215" s="144"/>
      <c r="C215" s="144"/>
      <c r="D215" s="154"/>
      <c r="E215" s="153"/>
      <c r="F215" s="149"/>
    </row>
    <row r="216" ht="15.75" customHeight="1">
      <c r="A216" s="144"/>
      <c r="B216" s="144"/>
      <c r="C216" s="144"/>
      <c r="D216" s="154"/>
      <c r="E216" s="153"/>
      <c r="F216" s="149"/>
    </row>
    <row r="217" ht="15.75" customHeight="1">
      <c r="A217" s="144"/>
      <c r="B217" s="144"/>
      <c r="C217" s="144"/>
      <c r="D217" s="154"/>
      <c r="E217" s="153"/>
      <c r="F217" s="149"/>
    </row>
    <row r="218" ht="15.75" customHeight="1">
      <c r="A218" s="144"/>
      <c r="B218" s="144"/>
      <c r="C218" s="144"/>
      <c r="D218" s="154"/>
      <c r="E218" s="153"/>
      <c r="F218" s="149"/>
    </row>
    <row r="219" ht="15.75" customHeight="1">
      <c r="A219" s="144"/>
      <c r="B219" s="144"/>
      <c r="C219" s="144"/>
      <c r="D219" s="154"/>
      <c r="E219" s="153"/>
      <c r="F219" s="149"/>
    </row>
    <row r="220" ht="15.75" customHeight="1">
      <c r="A220" s="144"/>
      <c r="B220" s="144"/>
      <c r="C220" s="144"/>
      <c r="D220" s="154"/>
      <c r="E220" s="153"/>
      <c r="F220" s="149"/>
    </row>
    <row r="221" ht="15.75" customHeight="1">
      <c r="A221" s="144"/>
      <c r="B221" s="144"/>
      <c r="C221" s="144"/>
      <c r="D221" s="154"/>
      <c r="E221" s="153"/>
      <c r="F221" s="149"/>
    </row>
    <row r="222" ht="15.75" customHeight="1">
      <c r="A222" s="144"/>
      <c r="B222" s="144"/>
      <c r="C222" s="144"/>
      <c r="D222" s="154"/>
      <c r="E222" s="153"/>
      <c r="F222" s="149"/>
    </row>
    <row r="223" ht="15.75" customHeight="1">
      <c r="A223" s="144"/>
      <c r="B223" s="144"/>
      <c r="C223" s="144"/>
      <c r="D223" s="154"/>
      <c r="E223" s="153"/>
      <c r="F223" s="149"/>
    </row>
    <row r="224" ht="15.75" customHeight="1">
      <c r="A224" s="144"/>
      <c r="B224" s="144"/>
      <c r="C224" s="144"/>
      <c r="D224" s="154"/>
      <c r="E224" s="153"/>
      <c r="F224" s="149"/>
    </row>
    <row r="225" ht="15.75" customHeight="1">
      <c r="A225" s="144"/>
      <c r="B225" s="144"/>
      <c r="C225" s="144"/>
      <c r="D225" s="154"/>
      <c r="E225" s="153"/>
      <c r="F225" s="149"/>
    </row>
    <row r="226" ht="15.75" customHeight="1">
      <c r="A226" s="144"/>
      <c r="B226" s="144"/>
      <c r="C226" s="144"/>
      <c r="D226" s="154"/>
      <c r="E226" s="153"/>
      <c r="F226" s="149"/>
    </row>
    <row r="227" ht="15.75" customHeight="1">
      <c r="A227" s="144"/>
      <c r="B227" s="144"/>
      <c r="C227" s="144"/>
      <c r="D227" s="154"/>
      <c r="E227" s="153"/>
      <c r="F227" s="149"/>
    </row>
    <row r="228" ht="15.75" customHeight="1">
      <c r="A228" s="144"/>
      <c r="B228" s="144"/>
      <c r="C228" s="144"/>
      <c r="D228" s="154"/>
      <c r="E228" s="153"/>
      <c r="F228" s="149"/>
    </row>
    <row r="229" ht="15.75" customHeight="1">
      <c r="A229" s="144"/>
      <c r="B229" s="144"/>
      <c r="C229" s="144"/>
      <c r="D229" s="154"/>
      <c r="E229" s="153"/>
      <c r="F229" s="149"/>
    </row>
    <row r="230" ht="15.75" customHeight="1">
      <c r="A230" s="144"/>
      <c r="B230" s="144"/>
      <c r="C230" s="144"/>
      <c r="D230" s="154"/>
      <c r="E230" s="153"/>
      <c r="F230" s="149"/>
    </row>
    <row r="231" ht="15.75" customHeight="1">
      <c r="A231" s="144"/>
      <c r="B231" s="144"/>
      <c r="C231" s="144"/>
      <c r="D231" s="154"/>
      <c r="E231" s="153"/>
      <c r="F231" s="149"/>
    </row>
    <row r="232" ht="15.75" customHeight="1">
      <c r="A232" s="144"/>
      <c r="B232" s="144"/>
      <c r="C232" s="144"/>
      <c r="D232" s="154"/>
      <c r="E232" s="153"/>
      <c r="F232" s="149"/>
    </row>
    <row r="233" ht="15.75" customHeight="1">
      <c r="A233" s="144"/>
      <c r="B233" s="144"/>
      <c r="C233" s="144"/>
      <c r="D233" s="154"/>
      <c r="E233" s="153"/>
      <c r="F233" s="149"/>
    </row>
    <row r="234" ht="15.75" customHeight="1">
      <c r="A234" s="144"/>
      <c r="B234" s="144"/>
      <c r="C234" s="144"/>
      <c r="D234" s="154"/>
      <c r="E234" s="153"/>
      <c r="F234" s="149"/>
    </row>
    <row r="235" ht="15.75" customHeight="1">
      <c r="A235" s="144"/>
      <c r="B235" s="144"/>
      <c r="C235" s="144"/>
      <c r="D235" s="154"/>
      <c r="E235" s="153"/>
      <c r="F235" s="149"/>
    </row>
    <row r="236" ht="15.75" customHeight="1">
      <c r="A236" s="144"/>
      <c r="B236" s="144"/>
      <c r="C236" s="144"/>
      <c r="D236" s="154"/>
      <c r="E236" s="153"/>
      <c r="F236" s="149"/>
    </row>
    <row r="237" ht="15.75" customHeight="1">
      <c r="A237" s="144"/>
      <c r="B237" s="144"/>
      <c r="C237" s="144"/>
      <c r="D237" s="154"/>
      <c r="E237" s="153"/>
      <c r="F237" s="149"/>
    </row>
    <row r="238" ht="15.75" customHeight="1">
      <c r="A238" s="144"/>
      <c r="B238" s="144"/>
      <c r="C238" s="144"/>
      <c r="D238" s="154"/>
      <c r="E238" s="153"/>
      <c r="F238" s="149"/>
    </row>
    <row r="239" ht="15.75" customHeight="1">
      <c r="A239" s="144"/>
      <c r="B239" s="144"/>
      <c r="C239" s="144"/>
      <c r="D239" s="154"/>
      <c r="E239" s="153"/>
      <c r="F239" s="149"/>
    </row>
    <row r="240" ht="15.75" customHeight="1">
      <c r="A240" s="144"/>
      <c r="B240" s="144"/>
      <c r="C240" s="144"/>
      <c r="D240" s="154"/>
      <c r="E240" s="153"/>
      <c r="F240" s="149"/>
    </row>
    <row r="241" ht="15.75" customHeight="1">
      <c r="A241" s="144"/>
      <c r="B241" s="144"/>
      <c r="C241" s="144"/>
      <c r="D241" s="154"/>
      <c r="E241" s="153"/>
      <c r="F241" s="149"/>
    </row>
    <row r="242" ht="15.75" customHeight="1">
      <c r="A242" s="144"/>
      <c r="B242" s="144"/>
      <c r="C242" s="144"/>
      <c r="D242" s="154"/>
      <c r="E242" s="153"/>
      <c r="F242" s="149"/>
    </row>
    <row r="243" ht="15.75" customHeight="1">
      <c r="A243" s="144"/>
      <c r="B243" s="144"/>
      <c r="C243" s="144"/>
      <c r="D243" s="154"/>
      <c r="E243" s="153"/>
      <c r="F243" s="149"/>
    </row>
    <row r="244" ht="15.75" customHeight="1">
      <c r="A244" s="144"/>
      <c r="B244" s="144"/>
      <c r="C244" s="144"/>
      <c r="D244" s="154"/>
      <c r="E244" s="153"/>
      <c r="F244" s="149"/>
    </row>
    <row r="245" ht="15.75" customHeight="1">
      <c r="A245" s="144"/>
      <c r="B245" s="144"/>
      <c r="C245" s="144"/>
      <c r="D245" s="154"/>
      <c r="E245" s="153"/>
      <c r="F245" s="149"/>
    </row>
    <row r="246" ht="15.75" customHeight="1">
      <c r="A246" s="144"/>
      <c r="B246" s="144"/>
      <c r="C246" s="144"/>
      <c r="D246" s="154"/>
      <c r="E246" s="153"/>
      <c r="F246" s="149"/>
    </row>
    <row r="247" ht="15.75" customHeight="1">
      <c r="E247" s="155"/>
    </row>
    <row r="248" ht="15.75" customHeight="1">
      <c r="E248" s="155"/>
    </row>
    <row r="249" ht="15.75" customHeight="1">
      <c r="E249" s="155"/>
    </row>
    <row r="250" ht="15.75" customHeight="1">
      <c r="E250" s="155"/>
    </row>
    <row r="251" ht="15.75" customHeight="1">
      <c r="E251" s="155"/>
    </row>
    <row r="252" ht="15.75" customHeight="1">
      <c r="E252" s="155"/>
    </row>
    <row r="253" ht="15.75" customHeight="1">
      <c r="E253" s="155"/>
    </row>
    <row r="254" ht="15.75" customHeight="1">
      <c r="E254" s="155"/>
    </row>
    <row r="255" ht="15.75" customHeight="1">
      <c r="E255" s="155"/>
    </row>
    <row r="256" ht="15.75" customHeight="1">
      <c r="E256" s="155"/>
    </row>
    <row r="257" ht="15.75" customHeight="1">
      <c r="E257" s="155"/>
    </row>
    <row r="258" ht="15.75" customHeight="1">
      <c r="E258" s="155"/>
    </row>
    <row r="259" ht="15.75" customHeight="1">
      <c r="E259" s="155"/>
    </row>
    <row r="260" ht="15.75" customHeight="1">
      <c r="E260" s="155"/>
    </row>
    <row r="261" ht="15.75" customHeight="1">
      <c r="E261" s="155"/>
    </row>
    <row r="262" ht="15.75" customHeight="1">
      <c r="E262" s="155"/>
    </row>
    <row r="263" ht="15.75" customHeight="1">
      <c r="E263" s="155"/>
    </row>
    <row r="264" ht="15.75" customHeight="1">
      <c r="E264" s="155"/>
    </row>
    <row r="265" ht="15.75" customHeight="1">
      <c r="E265" s="155"/>
    </row>
    <row r="266" ht="15.75" customHeight="1">
      <c r="E266" s="155"/>
    </row>
    <row r="267" ht="15.75" customHeight="1">
      <c r="E267" s="155"/>
    </row>
    <row r="268" ht="15.75" customHeight="1">
      <c r="E268" s="155"/>
    </row>
    <row r="269" ht="15.75" customHeight="1">
      <c r="E269" s="155"/>
    </row>
    <row r="270" ht="15.75" customHeight="1">
      <c r="E270" s="155"/>
    </row>
    <row r="271" ht="15.75" customHeight="1">
      <c r="E271" s="155"/>
    </row>
    <row r="272" ht="15.75" customHeight="1">
      <c r="E272" s="155"/>
    </row>
    <row r="273" ht="15.75" customHeight="1">
      <c r="E273" s="155"/>
    </row>
    <row r="274" ht="15.75" customHeight="1">
      <c r="E274" s="155"/>
    </row>
    <row r="275" ht="15.75" customHeight="1">
      <c r="E275" s="155"/>
    </row>
    <row r="276" ht="15.75" customHeight="1">
      <c r="E276" s="155"/>
    </row>
    <row r="277" ht="15.75" customHeight="1">
      <c r="E277" s="155"/>
    </row>
    <row r="278" ht="15.75" customHeight="1">
      <c r="E278" s="155"/>
    </row>
    <row r="279" ht="15.75" customHeight="1">
      <c r="E279" s="155"/>
    </row>
    <row r="280" ht="15.75" customHeight="1">
      <c r="E280" s="155"/>
    </row>
    <row r="281" ht="15.75" customHeight="1">
      <c r="E281" s="155"/>
    </row>
    <row r="282" ht="15.75" customHeight="1">
      <c r="E282" s="155"/>
    </row>
    <row r="283" ht="15.75" customHeight="1">
      <c r="E283" s="155"/>
    </row>
    <row r="284" ht="15.75" customHeight="1">
      <c r="E284" s="155"/>
    </row>
    <row r="285" ht="15.75" customHeight="1">
      <c r="E285" s="155"/>
    </row>
    <row r="286" ht="15.75" customHeight="1">
      <c r="E286" s="155"/>
    </row>
    <row r="287" ht="15.75" customHeight="1">
      <c r="E287" s="155"/>
    </row>
    <row r="288" ht="15.75" customHeight="1">
      <c r="E288" s="155"/>
    </row>
    <row r="289" ht="15.75" customHeight="1">
      <c r="E289" s="155"/>
    </row>
    <row r="290" ht="15.75" customHeight="1">
      <c r="E290" s="155"/>
    </row>
    <row r="291" ht="15.75" customHeight="1">
      <c r="E291" s="155"/>
    </row>
    <row r="292" ht="15.75" customHeight="1">
      <c r="E292" s="155"/>
    </row>
    <row r="293" ht="15.75" customHeight="1">
      <c r="E293" s="155"/>
    </row>
    <row r="294" ht="15.75" customHeight="1">
      <c r="E294" s="155"/>
    </row>
    <row r="295" ht="15.75" customHeight="1">
      <c r="E295" s="155"/>
    </row>
    <row r="296" ht="15.75" customHeight="1">
      <c r="E296" s="155"/>
    </row>
    <row r="297" ht="15.75" customHeight="1">
      <c r="E297" s="155"/>
    </row>
    <row r="298" ht="15.75" customHeight="1">
      <c r="E298" s="155"/>
    </row>
    <row r="299" ht="15.75" customHeight="1">
      <c r="E299" s="155"/>
    </row>
    <row r="300" ht="15.75" customHeight="1">
      <c r="E300" s="155"/>
    </row>
    <row r="301" ht="15.75" customHeight="1">
      <c r="E301" s="155"/>
    </row>
    <row r="302" ht="15.75" customHeight="1">
      <c r="E302" s="155"/>
    </row>
    <row r="303" ht="15.75" customHeight="1">
      <c r="E303" s="155"/>
    </row>
    <row r="304" ht="15.75" customHeight="1">
      <c r="E304" s="155"/>
    </row>
    <row r="305" ht="15.75" customHeight="1">
      <c r="E305" s="155"/>
    </row>
    <row r="306" ht="15.75" customHeight="1">
      <c r="E306" s="155"/>
    </row>
    <row r="307" ht="15.75" customHeight="1">
      <c r="E307" s="155"/>
    </row>
    <row r="308" ht="15.75" customHeight="1">
      <c r="E308" s="155"/>
    </row>
    <row r="309" ht="15.75" customHeight="1">
      <c r="E309" s="155"/>
    </row>
    <row r="310" ht="15.75" customHeight="1">
      <c r="E310" s="155"/>
    </row>
    <row r="311" ht="15.75" customHeight="1">
      <c r="E311" s="155"/>
    </row>
    <row r="312" ht="15.75" customHeight="1">
      <c r="E312" s="155"/>
    </row>
    <row r="313" ht="15.75" customHeight="1">
      <c r="E313" s="155"/>
    </row>
    <row r="314" ht="15.75" customHeight="1">
      <c r="E314" s="155"/>
    </row>
    <row r="315" ht="15.75" customHeight="1">
      <c r="E315" s="155"/>
    </row>
    <row r="316" ht="15.75" customHeight="1">
      <c r="E316" s="155"/>
    </row>
    <row r="317" ht="15.75" customHeight="1">
      <c r="E317" s="155"/>
    </row>
    <row r="318" ht="15.75" customHeight="1">
      <c r="E318" s="155"/>
    </row>
    <row r="319" ht="15.75" customHeight="1">
      <c r="E319" s="155"/>
    </row>
    <row r="320" ht="15.75" customHeight="1">
      <c r="E320" s="155"/>
    </row>
    <row r="321" ht="15.75" customHeight="1">
      <c r="E321" s="155"/>
    </row>
    <row r="322" ht="15.75" customHeight="1">
      <c r="E322" s="155"/>
    </row>
    <row r="323" ht="15.75" customHeight="1">
      <c r="E323" s="155"/>
    </row>
    <row r="324" ht="15.75" customHeight="1">
      <c r="E324" s="155"/>
    </row>
    <row r="325" ht="15.75" customHeight="1">
      <c r="E325" s="155"/>
    </row>
    <row r="326" ht="15.75" customHeight="1">
      <c r="E326" s="155"/>
    </row>
    <row r="327" ht="15.75" customHeight="1">
      <c r="E327" s="155"/>
    </row>
    <row r="328" ht="15.75" customHeight="1">
      <c r="E328" s="155"/>
    </row>
    <row r="329" ht="15.75" customHeight="1">
      <c r="E329" s="155"/>
    </row>
    <row r="330" ht="15.75" customHeight="1">
      <c r="E330" s="155"/>
    </row>
    <row r="331" ht="15.75" customHeight="1">
      <c r="E331" s="155"/>
    </row>
    <row r="332" ht="15.75" customHeight="1">
      <c r="E332" s="155"/>
    </row>
    <row r="333" ht="15.75" customHeight="1">
      <c r="E333" s="155"/>
    </row>
    <row r="334" ht="15.75" customHeight="1">
      <c r="E334" s="155"/>
    </row>
    <row r="335" ht="15.75" customHeight="1">
      <c r="E335" s="155"/>
    </row>
    <row r="336" ht="15.75" customHeight="1">
      <c r="E336" s="155"/>
    </row>
    <row r="337" ht="15.75" customHeight="1">
      <c r="E337" s="155"/>
    </row>
    <row r="338" ht="15.75" customHeight="1">
      <c r="E338" s="155"/>
    </row>
    <row r="339" ht="15.75" customHeight="1">
      <c r="E339" s="155"/>
    </row>
    <row r="340" ht="15.75" customHeight="1">
      <c r="E340" s="155"/>
    </row>
    <row r="341" ht="15.75" customHeight="1">
      <c r="E341" s="155"/>
    </row>
    <row r="342" ht="15.75" customHeight="1">
      <c r="E342" s="155"/>
    </row>
    <row r="343" ht="15.75" customHeight="1">
      <c r="E343" s="155"/>
    </row>
    <row r="344" ht="15.75" customHeight="1">
      <c r="E344" s="155"/>
    </row>
    <row r="345" ht="15.75" customHeight="1">
      <c r="E345" s="155"/>
    </row>
    <row r="346" ht="15.75" customHeight="1">
      <c r="E346" s="155"/>
    </row>
    <row r="347" ht="15.75" customHeight="1">
      <c r="E347" s="155"/>
    </row>
    <row r="348" ht="15.75" customHeight="1">
      <c r="E348" s="155"/>
    </row>
    <row r="349" ht="15.75" customHeight="1">
      <c r="E349" s="155"/>
    </row>
    <row r="350" ht="15.75" customHeight="1">
      <c r="E350" s="155"/>
    </row>
    <row r="351" ht="15.75" customHeight="1">
      <c r="E351" s="155"/>
    </row>
    <row r="352" ht="15.75" customHeight="1">
      <c r="E352" s="155"/>
    </row>
    <row r="353" ht="15.75" customHeight="1">
      <c r="E353" s="155"/>
    </row>
    <row r="354" ht="15.75" customHeight="1">
      <c r="E354" s="155"/>
    </row>
    <row r="355" ht="15.75" customHeight="1">
      <c r="E355" s="155"/>
    </row>
    <row r="356" ht="15.75" customHeight="1">
      <c r="E356" s="155"/>
    </row>
    <row r="357" ht="15.75" customHeight="1">
      <c r="E357" s="155"/>
    </row>
    <row r="358" ht="15.75" customHeight="1">
      <c r="E358" s="155"/>
    </row>
    <row r="359" ht="15.75" customHeight="1">
      <c r="E359" s="155"/>
    </row>
    <row r="360" ht="15.75" customHeight="1">
      <c r="E360" s="155"/>
    </row>
    <row r="361" ht="15.75" customHeight="1">
      <c r="E361" s="155"/>
    </row>
    <row r="362" ht="15.75" customHeight="1">
      <c r="E362" s="155"/>
    </row>
    <row r="363" ht="15.75" customHeight="1">
      <c r="E363" s="155"/>
    </row>
    <row r="364" ht="15.75" customHeight="1">
      <c r="E364" s="155"/>
    </row>
    <row r="365" ht="15.75" customHeight="1">
      <c r="E365" s="155"/>
    </row>
    <row r="366" ht="15.75" customHeight="1">
      <c r="E366" s="155"/>
    </row>
    <row r="367" ht="15.75" customHeight="1">
      <c r="E367" s="155"/>
    </row>
    <row r="368" ht="15.75" customHeight="1">
      <c r="E368" s="155"/>
    </row>
    <row r="369" ht="15.75" customHeight="1">
      <c r="E369" s="155"/>
    </row>
    <row r="370" ht="15.75" customHeight="1">
      <c r="E370" s="155"/>
    </row>
    <row r="371" ht="15.75" customHeight="1">
      <c r="E371" s="155"/>
    </row>
    <row r="372" ht="15.75" customHeight="1">
      <c r="E372" s="155"/>
    </row>
    <row r="373" ht="15.75" customHeight="1">
      <c r="E373" s="155"/>
    </row>
    <row r="374" ht="15.75" customHeight="1">
      <c r="E374" s="155"/>
    </row>
    <row r="375" ht="15.75" customHeight="1">
      <c r="E375" s="155"/>
    </row>
    <row r="376" ht="15.75" customHeight="1">
      <c r="E376" s="155"/>
    </row>
    <row r="377" ht="15.75" customHeight="1">
      <c r="E377" s="155"/>
    </row>
    <row r="378" ht="15.75" customHeight="1">
      <c r="E378" s="155"/>
    </row>
    <row r="379" ht="15.75" customHeight="1">
      <c r="E379" s="155"/>
    </row>
    <row r="380" ht="15.75" customHeight="1">
      <c r="E380" s="155"/>
    </row>
    <row r="381" ht="15.75" customHeight="1">
      <c r="E381" s="155"/>
    </row>
    <row r="382" ht="15.75" customHeight="1">
      <c r="E382" s="155"/>
    </row>
    <row r="383" ht="15.75" customHeight="1">
      <c r="E383" s="155"/>
    </row>
    <row r="384" ht="15.75" customHeight="1">
      <c r="E384" s="155"/>
    </row>
    <row r="385" ht="15.75" customHeight="1">
      <c r="E385" s="155"/>
    </row>
    <row r="386" ht="15.75" customHeight="1">
      <c r="E386" s="155"/>
    </row>
    <row r="387" ht="15.75" customHeight="1">
      <c r="E387" s="155"/>
    </row>
    <row r="388" ht="15.75" customHeight="1">
      <c r="E388" s="155"/>
    </row>
    <row r="389" ht="15.75" customHeight="1">
      <c r="E389" s="155"/>
    </row>
    <row r="390" ht="15.75" customHeight="1">
      <c r="E390" s="155"/>
    </row>
    <row r="391" ht="15.75" customHeight="1">
      <c r="E391" s="155"/>
    </row>
    <row r="392" ht="15.75" customHeight="1">
      <c r="E392" s="155"/>
    </row>
    <row r="393" ht="15.75" customHeight="1">
      <c r="E393" s="155"/>
    </row>
    <row r="394" ht="15.75" customHeight="1">
      <c r="E394" s="155"/>
    </row>
    <row r="395" ht="15.75" customHeight="1">
      <c r="E395" s="155"/>
    </row>
    <row r="396" ht="15.75" customHeight="1">
      <c r="E396" s="155"/>
    </row>
    <row r="397" ht="15.75" customHeight="1">
      <c r="E397" s="155"/>
    </row>
    <row r="398" ht="15.75" customHeight="1">
      <c r="E398" s="155"/>
    </row>
    <row r="399" ht="15.75" customHeight="1">
      <c r="E399" s="155"/>
    </row>
    <row r="400" ht="15.75" customHeight="1">
      <c r="E400" s="155"/>
    </row>
    <row r="401" ht="15.75" customHeight="1">
      <c r="E401" s="155"/>
    </row>
    <row r="402" ht="15.75" customHeight="1">
      <c r="E402" s="155"/>
    </row>
    <row r="403" ht="15.75" customHeight="1">
      <c r="E403" s="155"/>
    </row>
    <row r="404" ht="15.75" customHeight="1">
      <c r="E404" s="155"/>
    </row>
    <row r="405" ht="15.75" customHeight="1">
      <c r="E405" s="155"/>
    </row>
    <row r="406" ht="15.75" customHeight="1">
      <c r="E406" s="155"/>
    </row>
    <row r="407" ht="15.75" customHeight="1">
      <c r="E407" s="155"/>
    </row>
    <row r="408" ht="15.75" customHeight="1">
      <c r="E408" s="155"/>
    </row>
    <row r="409" ht="15.75" customHeight="1">
      <c r="E409" s="155"/>
    </row>
    <row r="410" ht="15.75" customHeight="1">
      <c r="E410" s="155"/>
    </row>
    <row r="411" ht="15.75" customHeight="1">
      <c r="E411" s="155"/>
    </row>
    <row r="412" ht="15.75" customHeight="1">
      <c r="E412" s="155"/>
    </row>
    <row r="413" ht="15.75" customHeight="1">
      <c r="E413" s="155"/>
    </row>
    <row r="414" ht="15.75" customHeight="1">
      <c r="E414" s="155"/>
    </row>
    <row r="415" ht="15.75" customHeight="1">
      <c r="E415" s="155"/>
    </row>
    <row r="416" ht="15.75" customHeight="1">
      <c r="E416" s="155"/>
    </row>
    <row r="417" ht="15.75" customHeight="1">
      <c r="E417" s="155"/>
    </row>
    <row r="418" ht="15.75" customHeight="1">
      <c r="E418" s="155"/>
    </row>
    <row r="419" ht="15.75" customHeight="1">
      <c r="E419" s="155"/>
    </row>
    <row r="420" ht="15.75" customHeight="1">
      <c r="E420" s="155"/>
    </row>
    <row r="421" ht="15.75" customHeight="1">
      <c r="E421" s="155"/>
    </row>
    <row r="422" ht="15.75" customHeight="1">
      <c r="E422" s="155"/>
    </row>
    <row r="423" ht="15.75" customHeight="1">
      <c r="E423" s="155"/>
    </row>
    <row r="424" ht="15.75" customHeight="1">
      <c r="E424" s="155"/>
    </row>
    <row r="425" ht="15.75" customHeight="1">
      <c r="E425" s="155"/>
    </row>
    <row r="426" ht="15.75" customHeight="1">
      <c r="E426" s="155"/>
    </row>
    <row r="427" ht="15.75" customHeight="1">
      <c r="E427" s="155"/>
    </row>
    <row r="428" ht="15.75" customHeight="1">
      <c r="E428" s="155"/>
    </row>
    <row r="429" ht="15.75" customHeight="1">
      <c r="E429" s="155"/>
    </row>
    <row r="430" ht="15.75" customHeight="1">
      <c r="E430" s="155"/>
    </row>
    <row r="431" ht="15.75" customHeight="1">
      <c r="E431" s="155"/>
    </row>
    <row r="432" ht="15.75" customHeight="1">
      <c r="E432" s="155"/>
    </row>
    <row r="433" ht="15.75" customHeight="1">
      <c r="E433" s="155"/>
    </row>
    <row r="434" ht="15.75" customHeight="1">
      <c r="E434" s="155"/>
    </row>
    <row r="435" ht="15.75" customHeight="1">
      <c r="E435" s="155"/>
    </row>
    <row r="436" ht="15.75" customHeight="1">
      <c r="E436" s="155"/>
    </row>
    <row r="437" ht="15.75" customHeight="1">
      <c r="E437" s="155"/>
    </row>
    <row r="438" ht="15.75" customHeight="1">
      <c r="E438" s="155"/>
    </row>
    <row r="439" ht="15.75" customHeight="1">
      <c r="E439" s="155"/>
    </row>
    <row r="440" ht="15.75" customHeight="1">
      <c r="E440" s="155"/>
    </row>
    <row r="441" ht="15.75" customHeight="1">
      <c r="E441" s="155"/>
    </row>
    <row r="442" ht="15.75" customHeight="1">
      <c r="E442" s="155"/>
    </row>
    <row r="443" ht="15.75" customHeight="1">
      <c r="E443" s="155"/>
    </row>
    <row r="444" ht="15.75" customHeight="1">
      <c r="E444" s="155"/>
    </row>
    <row r="445" ht="15.75" customHeight="1">
      <c r="E445" s="155"/>
    </row>
    <row r="446" ht="15.75" customHeight="1">
      <c r="E446" s="155"/>
    </row>
    <row r="447" ht="15.75" customHeight="1">
      <c r="E447" s="155"/>
    </row>
    <row r="448" ht="15.75" customHeight="1">
      <c r="E448" s="155"/>
    </row>
    <row r="449" ht="15.75" customHeight="1">
      <c r="E449" s="155"/>
    </row>
    <row r="450" ht="15.75" customHeight="1">
      <c r="E450" s="155"/>
    </row>
    <row r="451" ht="15.75" customHeight="1">
      <c r="E451" s="155"/>
    </row>
    <row r="452" ht="15.75" customHeight="1">
      <c r="E452" s="155"/>
    </row>
    <row r="453" ht="15.75" customHeight="1">
      <c r="E453" s="155"/>
    </row>
    <row r="454" ht="15.75" customHeight="1">
      <c r="E454" s="155"/>
    </row>
    <row r="455" ht="15.75" customHeight="1">
      <c r="E455" s="155"/>
    </row>
    <row r="456" ht="15.75" customHeight="1">
      <c r="E456" s="155"/>
    </row>
    <row r="457" ht="15.75" customHeight="1">
      <c r="E457" s="155"/>
    </row>
    <row r="458" ht="15.75" customHeight="1">
      <c r="E458" s="155"/>
    </row>
    <row r="459" ht="15.75" customHeight="1">
      <c r="E459" s="155"/>
    </row>
    <row r="460" ht="15.75" customHeight="1">
      <c r="E460" s="155"/>
    </row>
    <row r="461" ht="15.75" customHeight="1">
      <c r="E461" s="155"/>
    </row>
    <row r="462" ht="15.75" customHeight="1">
      <c r="E462" s="155"/>
    </row>
    <row r="463" ht="15.75" customHeight="1">
      <c r="E463" s="155"/>
    </row>
    <row r="464" ht="15.75" customHeight="1">
      <c r="E464" s="155"/>
    </row>
    <row r="465" ht="15.75" customHeight="1">
      <c r="E465" s="155"/>
    </row>
    <row r="466" ht="15.75" customHeight="1">
      <c r="E466" s="155"/>
    </row>
    <row r="467" ht="15.75" customHeight="1">
      <c r="E467" s="155"/>
    </row>
    <row r="468" ht="15.75" customHeight="1">
      <c r="E468" s="155"/>
    </row>
    <row r="469" ht="15.75" customHeight="1">
      <c r="E469" s="155"/>
    </row>
    <row r="470" ht="15.75" customHeight="1">
      <c r="E470" s="155"/>
    </row>
    <row r="471" ht="15.75" customHeight="1">
      <c r="E471" s="155"/>
    </row>
    <row r="472" ht="15.75" customHeight="1">
      <c r="E472" s="155"/>
    </row>
    <row r="473" ht="15.75" customHeight="1">
      <c r="E473" s="155"/>
    </row>
    <row r="474" ht="15.75" customHeight="1">
      <c r="E474" s="155"/>
    </row>
    <row r="475" ht="15.75" customHeight="1">
      <c r="E475" s="155"/>
    </row>
    <row r="476" ht="15.75" customHeight="1">
      <c r="E476" s="155"/>
    </row>
    <row r="477" ht="15.75" customHeight="1">
      <c r="E477" s="155"/>
    </row>
    <row r="478" ht="15.75" customHeight="1">
      <c r="E478" s="155"/>
    </row>
    <row r="479" ht="15.75" customHeight="1">
      <c r="E479" s="155"/>
    </row>
    <row r="480" ht="15.75" customHeight="1">
      <c r="E480" s="155"/>
    </row>
    <row r="481" ht="15.75" customHeight="1">
      <c r="E481" s="155"/>
    </row>
    <row r="482" ht="15.75" customHeight="1">
      <c r="E482" s="155"/>
    </row>
    <row r="483" ht="15.75" customHeight="1">
      <c r="E483" s="155"/>
    </row>
    <row r="484" ht="15.75" customHeight="1">
      <c r="E484" s="155"/>
    </row>
    <row r="485" ht="15.75" customHeight="1">
      <c r="E485" s="155"/>
    </row>
    <row r="486" ht="15.75" customHeight="1">
      <c r="E486" s="155"/>
    </row>
    <row r="487" ht="15.75" customHeight="1">
      <c r="E487" s="155"/>
    </row>
    <row r="488" ht="15.75" customHeight="1">
      <c r="E488" s="155"/>
    </row>
    <row r="489" ht="15.75" customHeight="1">
      <c r="E489" s="155"/>
    </row>
    <row r="490" ht="15.75" customHeight="1">
      <c r="E490" s="155"/>
    </row>
    <row r="491" ht="15.75" customHeight="1">
      <c r="E491" s="155"/>
    </row>
    <row r="492" ht="15.75" customHeight="1">
      <c r="E492" s="155"/>
    </row>
    <row r="493" ht="15.75" customHeight="1">
      <c r="E493" s="155"/>
    </row>
    <row r="494" ht="15.75" customHeight="1">
      <c r="E494" s="155"/>
    </row>
    <row r="495" ht="15.75" customHeight="1">
      <c r="E495" s="155"/>
    </row>
    <row r="496" ht="15.75" customHeight="1">
      <c r="E496" s="155"/>
    </row>
    <row r="497" ht="15.75" customHeight="1">
      <c r="E497" s="155"/>
    </row>
    <row r="498" ht="15.75" customHeight="1">
      <c r="E498" s="155"/>
    </row>
    <row r="499" ht="15.75" customHeight="1">
      <c r="E499" s="155"/>
    </row>
    <row r="500" ht="15.75" customHeight="1">
      <c r="E500" s="155"/>
    </row>
    <row r="501" ht="15.75" customHeight="1">
      <c r="E501" s="155"/>
    </row>
    <row r="502" ht="15.75" customHeight="1">
      <c r="E502" s="155"/>
    </row>
    <row r="503" ht="15.75" customHeight="1">
      <c r="E503" s="155"/>
    </row>
    <row r="504" ht="15.75" customHeight="1">
      <c r="E504" s="155"/>
    </row>
    <row r="505" ht="15.75" customHeight="1">
      <c r="E505" s="155"/>
    </row>
    <row r="506" ht="15.75" customHeight="1">
      <c r="E506" s="155"/>
    </row>
    <row r="507" ht="15.75" customHeight="1">
      <c r="E507" s="155"/>
    </row>
    <row r="508" ht="15.75" customHeight="1">
      <c r="E508" s="155"/>
    </row>
    <row r="509" ht="15.75" customHeight="1">
      <c r="E509" s="155"/>
    </row>
    <row r="510" ht="15.75" customHeight="1">
      <c r="E510" s="155"/>
    </row>
    <row r="511" ht="15.75" customHeight="1">
      <c r="E511" s="155"/>
    </row>
    <row r="512" ht="15.75" customHeight="1">
      <c r="E512" s="155"/>
    </row>
    <row r="513" ht="15.75" customHeight="1">
      <c r="E513" s="155"/>
    </row>
    <row r="514" ht="15.75" customHeight="1">
      <c r="E514" s="155"/>
    </row>
    <row r="515" ht="15.75" customHeight="1">
      <c r="E515" s="155"/>
    </row>
    <row r="516" ht="15.75" customHeight="1">
      <c r="E516" s="155"/>
    </row>
    <row r="517" ht="15.75" customHeight="1">
      <c r="E517" s="155"/>
    </row>
    <row r="518" ht="15.75" customHeight="1">
      <c r="E518" s="155"/>
    </row>
    <row r="519" ht="15.75" customHeight="1">
      <c r="E519" s="155"/>
    </row>
    <row r="520" ht="15.75" customHeight="1">
      <c r="E520" s="155"/>
    </row>
    <row r="521" ht="15.75" customHeight="1">
      <c r="E521" s="155"/>
    </row>
    <row r="522" ht="15.75" customHeight="1">
      <c r="E522" s="155"/>
    </row>
    <row r="523" ht="15.75" customHeight="1">
      <c r="E523" s="155"/>
    </row>
    <row r="524" ht="15.75" customHeight="1">
      <c r="E524" s="155"/>
    </row>
    <row r="525" ht="15.75" customHeight="1">
      <c r="E525" s="155"/>
    </row>
    <row r="526" ht="15.75" customHeight="1">
      <c r="E526" s="155"/>
    </row>
    <row r="527" ht="15.75" customHeight="1">
      <c r="E527" s="155"/>
    </row>
    <row r="528" ht="15.75" customHeight="1">
      <c r="E528" s="155"/>
    </row>
    <row r="529" ht="15.75" customHeight="1">
      <c r="E529" s="155"/>
    </row>
    <row r="530" ht="15.75" customHeight="1">
      <c r="E530" s="155"/>
    </row>
    <row r="531" ht="15.75" customHeight="1">
      <c r="E531" s="155"/>
    </row>
    <row r="532" ht="15.75" customHeight="1">
      <c r="E532" s="155"/>
    </row>
    <row r="533" ht="15.75" customHeight="1">
      <c r="E533" s="155"/>
    </row>
    <row r="534" ht="15.75" customHeight="1">
      <c r="E534" s="155"/>
    </row>
    <row r="535" ht="15.75" customHeight="1">
      <c r="E535" s="155"/>
    </row>
    <row r="536" ht="15.75" customHeight="1">
      <c r="E536" s="155"/>
    </row>
    <row r="537" ht="15.75" customHeight="1">
      <c r="E537" s="155"/>
    </row>
    <row r="538" ht="15.75" customHeight="1">
      <c r="E538" s="155"/>
    </row>
    <row r="539" ht="15.75" customHeight="1">
      <c r="E539" s="155"/>
    </row>
    <row r="540" ht="15.75" customHeight="1">
      <c r="E540" s="155"/>
    </row>
    <row r="541" ht="15.75" customHeight="1">
      <c r="E541" s="155"/>
    </row>
    <row r="542" ht="15.75" customHeight="1">
      <c r="E542" s="155"/>
    </row>
    <row r="543" ht="15.75" customHeight="1">
      <c r="E543" s="155"/>
    </row>
    <row r="544" ht="15.75" customHeight="1">
      <c r="E544" s="155"/>
    </row>
    <row r="545" ht="15.75" customHeight="1">
      <c r="E545" s="155"/>
    </row>
    <row r="546" ht="15.75" customHeight="1">
      <c r="E546" s="155"/>
    </row>
    <row r="547" ht="15.75" customHeight="1">
      <c r="E547" s="155"/>
    </row>
    <row r="548" ht="15.75" customHeight="1">
      <c r="E548" s="155"/>
    </row>
    <row r="549" ht="15.75" customHeight="1">
      <c r="E549" s="155"/>
    </row>
    <row r="550" ht="15.75" customHeight="1">
      <c r="E550" s="155"/>
    </row>
    <row r="551" ht="15.75" customHeight="1">
      <c r="E551" s="155"/>
    </row>
    <row r="552" ht="15.75" customHeight="1">
      <c r="E552" s="155"/>
    </row>
    <row r="553" ht="15.75" customHeight="1">
      <c r="E553" s="155"/>
    </row>
    <row r="554" ht="15.75" customHeight="1">
      <c r="E554" s="155"/>
    </row>
    <row r="555" ht="15.75" customHeight="1">
      <c r="E555" s="155"/>
    </row>
    <row r="556" ht="15.75" customHeight="1">
      <c r="E556" s="155"/>
    </row>
    <row r="557" ht="15.75" customHeight="1">
      <c r="E557" s="155"/>
    </row>
    <row r="558" ht="15.75" customHeight="1">
      <c r="E558" s="155"/>
    </row>
    <row r="559" ht="15.75" customHeight="1">
      <c r="E559" s="155"/>
    </row>
    <row r="560" ht="15.75" customHeight="1">
      <c r="E560" s="155"/>
    </row>
    <row r="561" ht="15.75" customHeight="1">
      <c r="E561" s="155"/>
    </row>
    <row r="562" ht="15.75" customHeight="1">
      <c r="E562" s="155"/>
    </row>
    <row r="563" ht="15.75" customHeight="1">
      <c r="E563" s="155"/>
    </row>
    <row r="564" ht="15.75" customHeight="1">
      <c r="E564" s="155"/>
    </row>
    <row r="565" ht="15.75" customHeight="1">
      <c r="E565" s="155"/>
    </row>
    <row r="566" ht="15.75" customHeight="1">
      <c r="E566" s="155"/>
    </row>
    <row r="567" ht="15.75" customHeight="1">
      <c r="E567" s="155"/>
    </row>
    <row r="568" ht="15.75" customHeight="1">
      <c r="E568" s="155"/>
    </row>
    <row r="569" ht="15.75" customHeight="1">
      <c r="E569" s="155"/>
    </row>
    <row r="570" ht="15.75" customHeight="1">
      <c r="E570" s="155"/>
    </row>
    <row r="571" ht="15.75" customHeight="1">
      <c r="E571" s="155"/>
    </row>
    <row r="572" ht="15.75" customHeight="1">
      <c r="E572" s="155"/>
    </row>
    <row r="573" ht="15.75" customHeight="1">
      <c r="E573" s="155"/>
    </row>
    <row r="574" ht="15.75" customHeight="1">
      <c r="E574" s="155"/>
    </row>
    <row r="575" ht="15.75" customHeight="1">
      <c r="E575" s="155"/>
    </row>
    <row r="576" ht="15.75" customHeight="1">
      <c r="E576" s="155"/>
    </row>
    <row r="577" ht="15.75" customHeight="1">
      <c r="E577" s="155"/>
    </row>
    <row r="578" ht="15.75" customHeight="1">
      <c r="E578" s="155"/>
    </row>
    <row r="579" ht="15.75" customHeight="1">
      <c r="E579" s="155"/>
    </row>
    <row r="580" ht="15.75" customHeight="1">
      <c r="E580" s="155"/>
    </row>
    <row r="581" ht="15.75" customHeight="1">
      <c r="E581" s="155"/>
    </row>
    <row r="582" ht="15.75" customHeight="1">
      <c r="E582" s="155"/>
    </row>
    <row r="583" ht="15.75" customHeight="1">
      <c r="E583" s="155"/>
    </row>
    <row r="584" ht="15.75" customHeight="1">
      <c r="E584" s="155"/>
    </row>
    <row r="585" ht="15.75" customHeight="1">
      <c r="E585" s="155"/>
    </row>
    <row r="586" ht="15.75" customHeight="1">
      <c r="E586" s="155"/>
    </row>
    <row r="587" ht="15.75" customHeight="1">
      <c r="E587" s="155"/>
    </row>
    <row r="588" ht="15.75" customHeight="1">
      <c r="E588" s="155"/>
    </row>
    <row r="589" ht="15.75" customHeight="1">
      <c r="E589" s="155"/>
    </row>
    <row r="590" ht="15.75" customHeight="1">
      <c r="E590" s="155"/>
    </row>
    <row r="591" ht="15.75" customHeight="1">
      <c r="E591" s="155"/>
    </row>
    <row r="592" ht="15.75" customHeight="1">
      <c r="E592" s="155"/>
    </row>
    <row r="593" ht="15.75" customHeight="1">
      <c r="E593" s="155"/>
    </row>
    <row r="594" ht="15.75" customHeight="1">
      <c r="E594" s="155"/>
    </row>
    <row r="595" ht="15.75" customHeight="1">
      <c r="E595" s="155"/>
    </row>
    <row r="596" ht="15.75" customHeight="1">
      <c r="E596" s="155"/>
    </row>
    <row r="597" ht="15.75" customHeight="1">
      <c r="E597" s="155"/>
    </row>
    <row r="598" ht="15.75" customHeight="1">
      <c r="E598" s="155"/>
    </row>
    <row r="599" ht="15.75" customHeight="1">
      <c r="E599" s="155"/>
    </row>
    <row r="600" ht="15.75" customHeight="1">
      <c r="E600" s="155"/>
    </row>
    <row r="601" ht="15.75" customHeight="1">
      <c r="E601" s="155"/>
    </row>
    <row r="602" ht="15.75" customHeight="1">
      <c r="E602" s="155"/>
    </row>
    <row r="603" ht="15.75" customHeight="1">
      <c r="E603" s="155"/>
    </row>
    <row r="604" ht="15.75" customHeight="1">
      <c r="E604" s="155"/>
    </row>
    <row r="605" ht="15.75" customHeight="1">
      <c r="E605" s="155"/>
    </row>
    <row r="606" ht="15.75" customHeight="1">
      <c r="E606" s="155"/>
    </row>
    <row r="607" ht="15.75" customHeight="1">
      <c r="E607" s="155"/>
    </row>
    <row r="608" ht="15.75" customHeight="1">
      <c r="E608" s="155"/>
    </row>
    <row r="609" ht="15.75" customHeight="1">
      <c r="E609" s="155"/>
    </row>
    <row r="610" ht="15.75" customHeight="1">
      <c r="E610" s="155"/>
    </row>
    <row r="611" ht="15.75" customHeight="1">
      <c r="E611" s="155"/>
    </row>
    <row r="612" ht="15.75" customHeight="1">
      <c r="E612" s="155"/>
    </row>
    <row r="613" ht="15.75" customHeight="1">
      <c r="E613" s="155"/>
    </row>
    <row r="614" ht="15.75" customHeight="1">
      <c r="E614" s="155"/>
    </row>
    <row r="615" ht="15.75" customHeight="1">
      <c r="E615" s="155"/>
    </row>
    <row r="616" ht="15.75" customHeight="1">
      <c r="E616" s="155"/>
    </row>
    <row r="617" ht="15.75" customHeight="1">
      <c r="E617" s="155"/>
    </row>
    <row r="618" ht="15.75" customHeight="1">
      <c r="E618" s="155"/>
    </row>
    <row r="619" ht="15.75" customHeight="1">
      <c r="E619" s="155"/>
    </row>
    <row r="620" ht="15.75" customHeight="1">
      <c r="E620" s="155"/>
    </row>
    <row r="621" ht="15.75" customHeight="1">
      <c r="E621" s="155"/>
    </row>
    <row r="622" ht="15.75" customHeight="1">
      <c r="E622" s="155"/>
    </row>
    <row r="623" ht="15.75" customHeight="1">
      <c r="E623" s="155"/>
    </row>
    <row r="624" ht="15.75" customHeight="1">
      <c r="E624" s="155"/>
    </row>
    <row r="625" ht="15.75" customHeight="1">
      <c r="E625" s="155"/>
    </row>
    <row r="626" ht="15.75" customHeight="1">
      <c r="E626" s="155"/>
    </row>
    <row r="627" ht="15.75" customHeight="1">
      <c r="E627" s="155"/>
    </row>
    <row r="628" ht="15.75" customHeight="1">
      <c r="E628" s="155"/>
    </row>
    <row r="629" ht="15.75" customHeight="1">
      <c r="E629" s="155"/>
    </row>
    <row r="630" ht="15.75" customHeight="1">
      <c r="E630" s="155"/>
    </row>
    <row r="631" ht="15.75" customHeight="1">
      <c r="E631" s="155"/>
    </row>
    <row r="632" ht="15.75" customHeight="1">
      <c r="E632" s="155"/>
    </row>
    <row r="633" ht="15.75" customHeight="1">
      <c r="E633" s="155"/>
    </row>
    <row r="634" ht="15.75" customHeight="1">
      <c r="E634" s="155"/>
    </row>
    <row r="635" ht="15.75" customHeight="1">
      <c r="E635" s="155"/>
    </row>
    <row r="636" ht="15.75" customHeight="1">
      <c r="E636" s="155"/>
    </row>
    <row r="637" ht="15.75" customHeight="1">
      <c r="E637" s="155"/>
    </row>
    <row r="638" ht="15.75" customHeight="1">
      <c r="E638" s="155"/>
    </row>
    <row r="639" ht="15.75" customHeight="1">
      <c r="E639" s="155"/>
    </row>
    <row r="640" ht="15.75" customHeight="1">
      <c r="E640" s="155"/>
    </row>
    <row r="641" ht="15.75" customHeight="1">
      <c r="E641" s="155"/>
    </row>
    <row r="642" ht="15.75" customHeight="1">
      <c r="E642" s="155"/>
    </row>
    <row r="643" ht="15.75" customHeight="1">
      <c r="E643" s="155"/>
    </row>
    <row r="644" ht="15.75" customHeight="1">
      <c r="E644" s="155"/>
    </row>
    <row r="645" ht="15.75" customHeight="1">
      <c r="E645" s="155"/>
    </row>
    <row r="646" ht="15.75" customHeight="1">
      <c r="E646" s="155"/>
    </row>
    <row r="647" ht="15.75" customHeight="1">
      <c r="E647" s="155"/>
    </row>
    <row r="648" ht="15.75" customHeight="1">
      <c r="E648" s="155"/>
    </row>
    <row r="649" ht="15.75" customHeight="1">
      <c r="E649" s="155"/>
    </row>
    <row r="650" ht="15.75" customHeight="1">
      <c r="E650" s="155"/>
    </row>
    <row r="651" ht="15.75" customHeight="1">
      <c r="E651" s="155"/>
    </row>
    <row r="652" ht="15.75" customHeight="1">
      <c r="E652" s="155"/>
    </row>
    <row r="653" ht="15.75" customHeight="1">
      <c r="E653" s="155"/>
    </row>
    <row r="654" ht="15.75" customHeight="1">
      <c r="E654" s="155"/>
    </row>
    <row r="655" ht="15.75" customHeight="1">
      <c r="E655" s="155"/>
    </row>
    <row r="656" ht="15.75" customHeight="1">
      <c r="E656" s="155"/>
    </row>
    <row r="657" ht="15.75" customHeight="1">
      <c r="E657" s="155"/>
    </row>
    <row r="658" ht="15.75" customHeight="1">
      <c r="E658" s="155"/>
    </row>
    <row r="659" ht="15.75" customHeight="1">
      <c r="E659" s="155"/>
    </row>
    <row r="660" ht="15.75" customHeight="1">
      <c r="E660" s="155"/>
    </row>
    <row r="661" ht="15.75" customHeight="1">
      <c r="E661" s="155"/>
    </row>
    <row r="662" ht="15.75" customHeight="1">
      <c r="E662" s="155"/>
    </row>
    <row r="663" ht="15.75" customHeight="1">
      <c r="E663" s="155"/>
    </row>
    <row r="664" ht="15.75" customHeight="1">
      <c r="E664" s="155"/>
    </row>
    <row r="665" ht="15.75" customHeight="1">
      <c r="E665" s="155"/>
    </row>
    <row r="666" ht="15.75" customHeight="1">
      <c r="E666" s="155"/>
    </row>
    <row r="667" ht="15.75" customHeight="1">
      <c r="E667" s="155"/>
    </row>
    <row r="668" ht="15.75" customHeight="1">
      <c r="E668" s="155"/>
    </row>
    <row r="669" ht="15.75" customHeight="1">
      <c r="E669" s="155"/>
    </row>
    <row r="670" ht="15.75" customHeight="1">
      <c r="E670" s="155"/>
    </row>
    <row r="671" ht="15.75" customHeight="1">
      <c r="E671" s="155"/>
    </row>
    <row r="672" ht="15.75" customHeight="1">
      <c r="E672" s="155"/>
    </row>
    <row r="673" ht="15.75" customHeight="1">
      <c r="E673" s="155"/>
    </row>
    <row r="674" ht="15.75" customHeight="1">
      <c r="E674" s="155"/>
    </row>
    <row r="675" ht="15.75" customHeight="1">
      <c r="E675" s="155"/>
    </row>
    <row r="676" ht="15.75" customHeight="1">
      <c r="E676" s="155"/>
    </row>
    <row r="677" ht="15.75" customHeight="1">
      <c r="E677" s="155"/>
    </row>
    <row r="678" ht="15.75" customHeight="1">
      <c r="E678" s="155"/>
    </row>
    <row r="679" ht="15.75" customHeight="1">
      <c r="E679" s="155"/>
    </row>
    <row r="680" ht="15.75" customHeight="1">
      <c r="E680" s="155"/>
    </row>
    <row r="681" ht="15.75" customHeight="1">
      <c r="E681" s="155"/>
    </row>
    <row r="682" ht="15.75" customHeight="1">
      <c r="E682" s="155"/>
    </row>
    <row r="683" ht="15.75" customHeight="1">
      <c r="E683" s="155"/>
    </row>
    <row r="684" ht="15.75" customHeight="1">
      <c r="E684" s="155"/>
    </row>
    <row r="685" ht="15.75" customHeight="1">
      <c r="E685" s="155"/>
    </row>
    <row r="686" ht="15.75" customHeight="1">
      <c r="E686" s="155"/>
    </row>
    <row r="687" ht="15.75" customHeight="1">
      <c r="E687" s="155"/>
    </row>
    <row r="688" ht="15.75" customHeight="1">
      <c r="E688" s="155"/>
    </row>
    <row r="689" ht="15.75" customHeight="1">
      <c r="E689" s="155"/>
    </row>
    <row r="690" ht="15.75" customHeight="1">
      <c r="E690" s="155"/>
    </row>
    <row r="691" ht="15.75" customHeight="1">
      <c r="E691" s="155"/>
    </row>
    <row r="692" ht="15.75" customHeight="1">
      <c r="E692" s="155"/>
    </row>
    <row r="693" ht="15.75" customHeight="1">
      <c r="E693" s="155"/>
    </row>
    <row r="694" ht="15.75" customHeight="1">
      <c r="E694" s="155"/>
    </row>
    <row r="695" ht="15.75" customHeight="1">
      <c r="E695" s="155"/>
    </row>
    <row r="696" ht="15.75" customHeight="1">
      <c r="E696" s="155"/>
    </row>
    <row r="697" ht="15.75" customHeight="1">
      <c r="E697" s="155"/>
    </row>
    <row r="698" ht="15.75" customHeight="1">
      <c r="E698" s="155"/>
    </row>
    <row r="699" ht="15.75" customHeight="1">
      <c r="E699" s="155"/>
    </row>
    <row r="700" ht="15.75" customHeight="1">
      <c r="E700" s="155"/>
    </row>
    <row r="701" ht="15.75" customHeight="1">
      <c r="E701" s="155"/>
    </row>
    <row r="702" ht="15.75" customHeight="1">
      <c r="E702" s="155"/>
    </row>
    <row r="703" ht="15.75" customHeight="1">
      <c r="E703" s="155"/>
    </row>
    <row r="704" ht="15.75" customHeight="1">
      <c r="E704" s="155"/>
    </row>
    <row r="705" ht="15.75" customHeight="1">
      <c r="E705" s="155"/>
    </row>
    <row r="706" ht="15.75" customHeight="1">
      <c r="E706" s="155"/>
    </row>
    <row r="707" ht="15.75" customHeight="1">
      <c r="E707" s="155"/>
    </row>
    <row r="708" ht="15.75" customHeight="1">
      <c r="E708" s="155"/>
    </row>
    <row r="709" ht="15.75" customHeight="1">
      <c r="E709" s="155"/>
    </row>
    <row r="710" ht="15.75" customHeight="1">
      <c r="E710" s="155"/>
    </row>
    <row r="711" ht="15.75" customHeight="1">
      <c r="E711" s="155"/>
    </row>
    <row r="712" ht="15.75" customHeight="1">
      <c r="E712" s="155"/>
    </row>
    <row r="713" ht="15.75" customHeight="1">
      <c r="E713" s="155"/>
    </row>
    <row r="714" ht="15.75" customHeight="1">
      <c r="E714" s="155"/>
    </row>
    <row r="715" ht="15.75" customHeight="1">
      <c r="E715" s="155"/>
    </row>
    <row r="716" ht="15.75" customHeight="1">
      <c r="E716" s="155"/>
    </row>
    <row r="717" ht="15.75" customHeight="1">
      <c r="E717" s="155"/>
    </row>
    <row r="718" ht="15.75" customHeight="1">
      <c r="E718" s="155"/>
    </row>
    <row r="719" ht="15.75" customHeight="1">
      <c r="E719" s="155"/>
    </row>
    <row r="720" ht="15.75" customHeight="1">
      <c r="E720" s="155"/>
    </row>
    <row r="721" ht="15.75" customHeight="1">
      <c r="E721" s="155"/>
    </row>
    <row r="722" ht="15.75" customHeight="1">
      <c r="E722" s="155"/>
    </row>
    <row r="723" ht="15.75" customHeight="1">
      <c r="E723" s="155"/>
    </row>
    <row r="724" ht="15.75" customHeight="1">
      <c r="E724" s="155"/>
    </row>
    <row r="725" ht="15.75" customHeight="1">
      <c r="E725" s="155"/>
    </row>
    <row r="726" ht="15.75" customHeight="1">
      <c r="E726" s="155"/>
    </row>
    <row r="727" ht="15.75" customHeight="1">
      <c r="E727" s="155"/>
    </row>
    <row r="728" ht="15.75" customHeight="1">
      <c r="E728" s="155"/>
    </row>
    <row r="729" ht="15.75" customHeight="1">
      <c r="E729" s="155"/>
    </row>
    <row r="730" ht="15.75" customHeight="1">
      <c r="E730" s="155"/>
    </row>
    <row r="731" ht="15.75" customHeight="1">
      <c r="E731" s="155"/>
    </row>
    <row r="732" ht="15.75" customHeight="1">
      <c r="E732" s="155"/>
    </row>
    <row r="733" ht="15.75" customHeight="1">
      <c r="E733" s="155"/>
    </row>
    <row r="734" ht="15.75" customHeight="1">
      <c r="E734" s="155"/>
    </row>
    <row r="735" ht="15.75" customHeight="1">
      <c r="E735" s="155"/>
    </row>
    <row r="736" ht="15.75" customHeight="1">
      <c r="E736" s="155"/>
    </row>
    <row r="737" ht="15.75" customHeight="1">
      <c r="E737" s="155"/>
    </row>
    <row r="738" ht="15.75" customHeight="1">
      <c r="E738" s="155"/>
    </row>
    <row r="739" ht="15.75" customHeight="1">
      <c r="E739" s="155"/>
    </row>
    <row r="740" ht="15.75" customHeight="1">
      <c r="E740" s="155"/>
    </row>
    <row r="741" ht="15.75" customHeight="1">
      <c r="E741" s="155"/>
    </row>
    <row r="742" ht="15.75" customHeight="1">
      <c r="E742" s="155"/>
    </row>
    <row r="743" ht="15.75" customHeight="1">
      <c r="E743" s="155"/>
    </row>
    <row r="744" ht="15.75" customHeight="1">
      <c r="E744" s="155"/>
    </row>
    <row r="745" ht="15.75" customHeight="1">
      <c r="E745" s="155"/>
    </row>
    <row r="746" ht="15.75" customHeight="1">
      <c r="E746" s="155"/>
    </row>
    <row r="747" ht="15.75" customHeight="1">
      <c r="E747" s="155"/>
    </row>
    <row r="748" ht="15.75" customHeight="1">
      <c r="E748" s="155"/>
    </row>
    <row r="749" ht="15.75" customHeight="1">
      <c r="E749" s="155"/>
    </row>
    <row r="750" ht="15.75" customHeight="1">
      <c r="E750" s="155"/>
    </row>
    <row r="751" ht="15.75" customHeight="1">
      <c r="E751" s="155"/>
    </row>
    <row r="752" ht="15.75" customHeight="1">
      <c r="E752" s="155"/>
    </row>
    <row r="753" ht="15.75" customHeight="1">
      <c r="E753" s="155"/>
    </row>
    <row r="754" ht="15.75" customHeight="1">
      <c r="E754" s="155"/>
    </row>
    <row r="755" ht="15.75" customHeight="1">
      <c r="E755" s="155"/>
    </row>
    <row r="756" ht="15.75" customHeight="1">
      <c r="E756" s="155"/>
    </row>
    <row r="757" ht="15.75" customHeight="1">
      <c r="E757" s="155"/>
    </row>
    <row r="758" ht="15.75" customHeight="1">
      <c r="E758" s="155"/>
    </row>
    <row r="759" ht="15.75" customHeight="1">
      <c r="E759" s="155"/>
    </row>
    <row r="760" ht="15.75" customHeight="1">
      <c r="E760" s="155"/>
    </row>
    <row r="761" ht="15.75" customHeight="1">
      <c r="E761" s="155"/>
    </row>
    <row r="762" ht="15.75" customHeight="1">
      <c r="E762" s="155"/>
    </row>
    <row r="763" ht="15.75" customHeight="1">
      <c r="E763" s="155"/>
    </row>
    <row r="764" ht="15.75" customHeight="1">
      <c r="E764" s="155"/>
    </row>
    <row r="765" ht="15.75" customHeight="1">
      <c r="E765" s="155"/>
    </row>
    <row r="766" ht="15.75" customHeight="1">
      <c r="E766" s="155"/>
    </row>
    <row r="767" ht="15.75" customHeight="1">
      <c r="E767" s="155"/>
    </row>
    <row r="768" ht="15.75" customHeight="1">
      <c r="E768" s="155"/>
    </row>
    <row r="769" ht="15.75" customHeight="1">
      <c r="E769" s="155"/>
    </row>
    <row r="770" ht="15.75" customHeight="1">
      <c r="E770" s="155"/>
    </row>
    <row r="771" ht="15.75" customHeight="1">
      <c r="E771" s="155"/>
    </row>
    <row r="772" ht="15.75" customHeight="1">
      <c r="E772" s="155"/>
    </row>
    <row r="773" ht="15.75" customHeight="1">
      <c r="E773" s="155"/>
    </row>
    <row r="774" ht="15.75" customHeight="1">
      <c r="E774" s="155"/>
    </row>
    <row r="775" ht="15.75" customHeight="1">
      <c r="E775" s="155"/>
    </row>
    <row r="776" ht="15.75" customHeight="1">
      <c r="E776" s="155"/>
    </row>
    <row r="777" ht="15.75" customHeight="1">
      <c r="E777" s="155"/>
    </row>
    <row r="778" ht="15.75" customHeight="1">
      <c r="E778" s="155"/>
    </row>
    <row r="779" ht="15.75" customHeight="1">
      <c r="E779" s="155"/>
    </row>
    <row r="780" ht="15.75" customHeight="1">
      <c r="E780" s="155"/>
    </row>
    <row r="781" ht="15.75" customHeight="1">
      <c r="E781" s="155"/>
    </row>
    <row r="782" ht="15.75" customHeight="1">
      <c r="E782" s="155"/>
    </row>
    <row r="783" ht="15.75" customHeight="1">
      <c r="E783" s="155"/>
    </row>
    <row r="784" ht="15.75" customHeight="1">
      <c r="E784" s="155"/>
    </row>
    <row r="785" ht="15.75" customHeight="1">
      <c r="E785" s="155"/>
    </row>
    <row r="786" ht="15.75" customHeight="1">
      <c r="E786" s="155"/>
    </row>
    <row r="787" ht="15.75" customHeight="1">
      <c r="E787" s="155"/>
    </row>
    <row r="788" ht="15.75" customHeight="1">
      <c r="E788" s="155"/>
    </row>
    <row r="789" ht="15.75" customHeight="1">
      <c r="E789" s="155"/>
    </row>
    <row r="790" ht="15.75" customHeight="1">
      <c r="E790" s="155"/>
    </row>
    <row r="791" ht="15.75" customHeight="1">
      <c r="E791" s="155"/>
    </row>
    <row r="792" ht="15.75" customHeight="1">
      <c r="E792" s="155"/>
    </row>
    <row r="793" ht="15.75" customHeight="1">
      <c r="E793" s="155"/>
    </row>
    <row r="794" ht="15.75" customHeight="1">
      <c r="E794" s="155"/>
    </row>
    <row r="795" ht="15.75" customHeight="1">
      <c r="E795" s="155"/>
    </row>
    <row r="796" ht="15.75" customHeight="1">
      <c r="E796" s="155"/>
    </row>
    <row r="797" ht="15.75" customHeight="1">
      <c r="E797" s="155"/>
    </row>
    <row r="798" ht="15.75" customHeight="1">
      <c r="E798" s="155"/>
    </row>
    <row r="799" ht="15.75" customHeight="1">
      <c r="E799" s="155"/>
    </row>
    <row r="800" ht="15.75" customHeight="1">
      <c r="E800" s="155"/>
    </row>
    <row r="801" ht="15.75" customHeight="1">
      <c r="E801" s="155"/>
    </row>
    <row r="802" ht="15.75" customHeight="1">
      <c r="E802" s="155"/>
    </row>
    <row r="803" ht="15.75" customHeight="1">
      <c r="E803" s="155"/>
    </row>
    <row r="804" ht="15.75" customHeight="1">
      <c r="E804" s="155"/>
    </row>
    <row r="805" ht="15.75" customHeight="1">
      <c r="E805" s="155"/>
    </row>
    <row r="806" ht="15.75" customHeight="1">
      <c r="E806" s="155"/>
    </row>
    <row r="807" ht="15.75" customHeight="1">
      <c r="E807" s="155"/>
    </row>
    <row r="808" ht="15.75" customHeight="1">
      <c r="E808" s="155"/>
    </row>
    <row r="809" ht="15.75" customHeight="1">
      <c r="E809" s="155"/>
    </row>
    <row r="810" ht="15.75" customHeight="1">
      <c r="E810" s="155"/>
    </row>
    <row r="811" ht="15.75" customHeight="1">
      <c r="E811" s="155"/>
    </row>
    <row r="812" ht="15.75" customHeight="1">
      <c r="E812" s="155"/>
    </row>
    <row r="813" ht="15.75" customHeight="1">
      <c r="E813" s="155"/>
    </row>
    <row r="814" ht="15.75" customHeight="1">
      <c r="E814" s="155"/>
    </row>
    <row r="815" ht="15.75" customHeight="1">
      <c r="E815" s="155"/>
    </row>
    <row r="816" ht="15.75" customHeight="1">
      <c r="E816" s="155"/>
    </row>
    <row r="817" ht="15.75" customHeight="1">
      <c r="E817" s="155"/>
    </row>
    <row r="818" ht="15.75" customHeight="1">
      <c r="E818" s="155"/>
    </row>
    <row r="819" ht="15.75" customHeight="1">
      <c r="E819" s="155"/>
    </row>
    <row r="820" ht="15.75" customHeight="1">
      <c r="E820" s="155"/>
    </row>
    <row r="821" ht="15.75" customHeight="1">
      <c r="E821" s="155"/>
    </row>
    <row r="822" ht="15.75" customHeight="1">
      <c r="E822" s="155"/>
    </row>
    <row r="823" ht="15.75" customHeight="1">
      <c r="E823" s="155"/>
    </row>
    <row r="824" ht="15.75" customHeight="1">
      <c r="E824" s="155"/>
    </row>
    <row r="825" ht="15.75" customHeight="1">
      <c r="E825" s="155"/>
    </row>
    <row r="826" ht="15.75" customHeight="1">
      <c r="E826" s="155"/>
    </row>
    <row r="827" ht="15.75" customHeight="1">
      <c r="E827" s="155"/>
    </row>
    <row r="828" ht="15.75" customHeight="1">
      <c r="E828" s="155"/>
    </row>
    <row r="829" ht="15.75" customHeight="1">
      <c r="E829" s="155"/>
    </row>
    <row r="830" ht="15.75" customHeight="1">
      <c r="E830" s="155"/>
    </row>
    <row r="831" ht="15.75" customHeight="1">
      <c r="E831" s="155"/>
    </row>
    <row r="832" ht="15.75" customHeight="1">
      <c r="E832" s="155"/>
    </row>
    <row r="833" ht="15.75" customHeight="1">
      <c r="E833" s="155"/>
    </row>
    <row r="834" ht="15.75" customHeight="1">
      <c r="E834" s="155"/>
    </row>
    <row r="835" ht="15.75" customHeight="1">
      <c r="E835" s="155"/>
    </row>
    <row r="836" ht="15.75" customHeight="1">
      <c r="E836" s="155"/>
    </row>
    <row r="837" ht="15.75" customHeight="1">
      <c r="E837" s="155"/>
    </row>
    <row r="838" ht="15.75" customHeight="1">
      <c r="E838" s="155"/>
    </row>
    <row r="839" ht="15.75" customHeight="1">
      <c r="E839" s="155"/>
    </row>
    <row r="840" ht="15.75" customHeight="1">
      <c r="E840" s="155"/>
    </row>
    <row r="841" ht="15.75" customHeight="1">
      <c r="E841" s="155"/>
    </row>
    <row r="842" ht="15.75" customHeight="1">
      <c r="E842" s="155"/>
    </row>
    <row r="843" ht="15.75" customHeight="1">
      <c r="E843" s="155"/>
    </row>
    <row r="844" ht="15.75" customHeight="1">
      <c r="E844" s="155"/>
    </row>
    <row r="845" ht="15.75" customHeight="1">
      <c r="E845" s="155"/>
    </row>
    <row r="846" ht="15.75" customHeight="1">
      <c r="E846" s="155"/>
    </row>
    <row r="847" ht="15.75" customHeight="1">
      <c r="E847" s="155"/>
    </row>
    <row r="848" ht="15.75" customHeight="1">
      <c r="E848" s="155"/>
    </row>
    <row r="849" ht="15.75" customHeight="1">
      <c r="E849" s="155"/>
    </row>
    <row r="850" ht="15.75" customHeight="1">
      <c r="E850" s="155"/>
    </row>
    <row r="851" ht="15.75" customHeight="1">
      <c r="E851" s="155"/>
    </row>
    <row r="852" ht="15.75" customHeight="1">
      <c r="E852" s="155"/>
    </row>
    <row r="853" ht="15.75" customHeight="1">
      <c r="E853" s="155"/>
    </row>
    <row r="854" ht="15.75" customHeight="1">
      <c r="E854" s="155"/>
    </row>
    <row r="855" ht="15.75" customHeight="1">
      <c r="E855" s="155"/>
    </row>
    <row r="856" ht="15.75" customHeight="1">
      <c r="E856" s="155"/>
    </row>
    <row r="857" ht="15.75" customHeight="1">
      <c r="E857" s="155"/>
    </row>
    <row r="858" ht="15.75" customHeight="1">
      <c r="E858" s="155"/>
    </row>
    <row r="859" ht="15.75" customHeight="1">
      <c r="E859" s="155"/>
    </row>
    <row r="860" ht="15.75" customHeight="1">
      <c r="E860" s="155"/>
    </row>
    <row r="861" ht="15.75" customHeight="1">
      <c r="E861" s="155"/>
    </row>
    <row r="862" ht="15.75" customHeight="1">
      <c r="E862" s="155"/>
    </row>
    <row r="863" ht="15.75" customHeight="1">
      <c r="E863" s="155"/>
    </row>
    <row r="864" ht="15.75" customHeight="1">
      <c r="E864" s="155"/>
    </row>
    <row r="865" ht="15.75" customHeight="1">
      <c r="E865" s="155"/>
    </row>
    <row r="866" ht="15.75" customHeight="1">
      <c r="E866" s="155"/>
    </row>
    <row r="867" ht="15.75" customHeight="1">
      <c r="E867" s="155"/>
    </row>
    <row r="868" ht="15.75" customHeight="1">
      <c r="E868" s="155"/>
    </row>
    <row r="869" ht="15.75" customHeight="1">
      <c r="E869" s="155"/>
    </row>
    <row r="870" ht="15.75" customHeight="1">
      <c r="E870" s="155"/>
    </row>
    <row r="871" ht="15.75" customHeight="1">
      <c r="E871" s="155"/>
    </row>
    <row r="872" ht="15.75" customHeight="1">
      <c r="E872" s="155"/>
    </row>
    <row r="873" ht="15.75" customHeight="1">
      <c r="E873" s="155"/>
    </row>
    <row r="874" ht="15.75" customHeight="1">
      <c r="E874" s="155"/>
    </row>
    <row r="875" ht="15.75" customHeight="1">
      <c r="E875" s="155"/>
    </row>
    <row r="876" ht="15.75" customHeight="1">
      <c r="E876" s="155"/>
    </row>
    <row r="877" ht="15.75" customHeight="1">
      <c r="E877" s="155"/>
    </row>
    <row r="878" ht="15.75" customHeight="1">
      <c r="E878" s="155"/>
    </row>
    <row r="879" ht="15.75" customHeight="1">
      <c r="E879" s="155"/>
    </row>
    <row r="880" ht="15.75" customHeight="1">
      <c r="E880" s="155"/>
    </row>
    <row r="881" ht="15.75" customHeight="1">
      <c r="E881" s="155"/>
    </row>
    <row r="882" ht="15.75" customHeight="1">
      <c r="E882" s="155"/>
    </row>
    <row r="883" ht="15.75" customHeight="1">
      <c r="E883" s="155"/>
    </row>
    <row r="884" ht="15.75" customHeight="1">
      <c r="E884" s="155"/>
    </row>
    <row r="885" ht="15.75" customHeight="1">
      <c r="E885" s="155"/>
    </row>
    <row r="886" ht="15.75" customHeight="1">
      <c r="E886" s="155"/>
    </row>
    <row r="887" ht="15.75" customHeight="1">
      <c r="E887" s="155"/>
    </row>
    <row r="888" ht="15.75" customHeight="1">
      <c r="E888" s="155"/>
    </row>
    <row r="889" ht="15.75" customHeight="1">
      <c r="E889" s="155"/>
    </row>
    <row r="890" ht="15.75" customHeight="1">
      <c r="E890" s="155"/>
    </row>
    <row r="891" ht="15.75" customHeight="1">
      <c r="E891" s="155"/>
    </row>
    <row r="892" ht="15.75" customHeight="1">
      <c r="E892" s="155"/>
    </row>
    <row r="893" ht="15.75" customHeight="1">
      <c r="E893" s="155"/>
    </row>
    <row r="894" ht="15.75" customHeight="1">
      <c r="E894" s="155"/>
    </row>
    <row r="895" ht="15.75" customHeight="1">
      <c r="E895" s="155"/>
    </row>
    <row r="896" ht="15.75" customHeight="1">
      <c r="E896" s="155"/>
    </row>
    <row r="897" ht="15.75" customHeight="1">
      <c r="E897" s="155"/>
    </row>
    <row r="898" ht="15.75" customHeight="1">
      <c r="E898" s="155"/>
    </row>
    <row r="899" ht="15.75" customHeight="1">
      <c r="E899" s="155"/>
    </row>
    <row r="900" ht="15.75" customHeight="1">
      <c r="E900" s="155"/>
    </row>
    <row r="901" ht="15.75" customHeight="1">
      <c r="E901" s="155"/>
    </row>
    <row r="902" ht="15.75" customHeight="1">
      <c r="E902" s="155"/>
    </row>
    <row r="903" ht="15.75" customHeight="1">
      <c r="E903" s="155"/>
    </row>
    <row r="904" ht="15.75" customHeight="1">
      <c r="E904" s="155"/>
    </row>
    <row r="905" ht="15.75" customHeight="1">
      <c r="E905" s="155"/>
    </row>
    <row r="906" ht="15.75" customHeight="1">
      <c r="E906" s="155"/>
    </row>
    <row r="907" ht="15.75" customHeight="1">
      <c r="E907" s="155"/>
    </row>
    <row r="908" ht="15.75" customHeight="1">
      <c r="E908" s="155"/>
    </row>
    <row r="909" ht="15.75" customHeight="1">
      <c r="E909" s="155"/>
    </row>
    <row r="910" ht="15.75" customHeight="1">
      <c r="E910" s="155"/>
    </row>
    <row r="911" ht="15.75" customHeight="1">
      <c r="E911" s="155"/>
    </row>
    <row r="912" ht="15.75" customHeight="1">
      <c r="E912" s="155"/>
    </row>
    <row r="913" ht="15.75" customHeight="1">
      <c r="E913" s="155"/>
    </row>
    <row r="914" ht="15.75" customHeight="1">
      <c r="E914" s="155"/>
    </row>
    <row r="915" ht="15.75" customHeight="1">
      <c r="E915" s="155"/>
    </row>
    <row r="916" ht="15.75" customHeight="1">
      <c r="E916" s="155"/>
    </row>
    <row r="917" ht="15.75" customHeight="1">
      <c r="E917" s="155"/>
    </row>
    <row r="918" ht="15.75" customHeight="1">
      <c r="E918" s="155"/>
    </row>
    <row r="919" ht="15.75" customHeight="1">
      <c r="E919" s="155"/>
    </row>
    <row r="920" ht="15.75" customHeight="1">
      <c r="E920" s="155"/>
    </row>
    <row r="921" ht="15.75" customHeight="1">
      <c r="E921" s="155"/>
    </row>
    <row r="922" ht="15.75" customHeight="1">
      <c r="E922" s="155"/>
    </row>
    <row r="923" ht="15.75" customHeight="1">
      <c r="E923" s="155"/>
    </row>
    <row r="924" ht="15.75" customHeight="1">
      <c r="E924" s="155"/>
    </row>
    <row r="925" ht="15.75" customHeight="1">
      <c r="E925" s="155"/>
    </row>
    <row r="926" ht="15.75" customHeight="1">
      <c r="E926" s="155"/>
    </row>
    <row r="927" ht="15.75" customHeight="1">
      <c r="E927" s="155"/>
    </row>
    <row r="928" ht="15.75" customHeight="1">
      <c r="E928" s="155"/>
    </row>
    <row r="929" ht="15.75" customHeight="1">
      <c r="E929" s="155"/>
    </row>
    <row r="930" ht="15.75" customHeight="1">
      <c r="E930" s="155"/>
    </row>
    <row r="931" ht="15.75" customHeight="1">
      <c r="E931" s="155"/>
    </row>
    <row r="932" ht="15.75" customHeight="1">
      <c r="E932" s="155"/>
    </row>
    <row r="933" ht="15.75" customHeight="1">
      <c r="E933" s="155"/>
    </row>
    <row r="934" ht="15.75" customHeight="1">
      <c r="E934" s="155"/>
    </row>
    <row r="935" ht="15.75" customHeight="1">
      <c r="E935" s="155"/>
    </row>
    <row r="936" ht="15.75" customHeight="1">
      <c r="E936" s="155"/>
    </row>
    <row r="937" ht="15.75" customHeight="1">
      <c r="E937" s="155"/>
    </row>
    <row r="938" ht="15.75" customHeight="1">
      <c r="E938" s="155"/>
    </row>
    <row r="939" ht="15.75" customHeight="1">
      <c r="E939" s="155"/>
    </row>
    <row r="940" ht="15.75" customHeight="1">
      <c r="E940" s="155"/>
    </row>
    <row r="941" ht="15.75" customHeight="1">
      <c r="E941" s="155"/>
    </row>
    <row r="942" ht="15.75" customHeight="1">
      <c r="E942" s="155"/>
    </row>
    <row r="943" ht="15.75" customHeight="1">
      <c r="E943" s="155"/>
    </row>
    <row r="944" ht="15.75" customHeight="1">
      <c r="E944" s="155"/>
    </row>
    <row r="945" ht="15.75" customHeight="1">
      <c r="E945" s="155"/>
    </row>
    <row r="946" ht="15.75" customHeight="1">
      <c r="E946" s="155"/>
    </row>
    <row r="947" ht="15.75" customHeight="1">
      <c r="E947" s="155"/>
    </row>
    <row r="948" ht="15.75" customHeight="1">
      <c r="E948" s="155"/>
    </row>
    <row r="949" ht="15.75" customHeight="1">
      <c r="E949" s="155"/>
    </row>
    <row r="950" ht="15.75" customHeight="1">
      <c r="E950" s="155"/>
    </row>
    <row r="951" ht="15.75" customHeight="1">
      <c r="E951" s="155"/>
    </row>
    <row r="952" ht="15.75" customHeight="1">
      <c r="E952" s="155"/>
    </row>
    <row r="953" ht="15.75" customHeight="1">
      <c r="E953" s="155"/>
    </row>
    <row r="954" ht="15.75" customHeight="1">
      <c r="E954" s="155"/>
    </row>
    <row r="955" ht="15.75" customHeight="1">
      <c r="E955" s="155"/>
    </row>
    <row r="956" ht="15.75" customHeight="1">
      <c r="E956" s="155"/>
    </row>
    <row r="957" ht="15.75" customHeight="1">
      <c r="E957" s="155"/>
    </row>
    <row r="958" ht="15.75" customHeight="1">
      <c r="E958" s="155"/>
    </row>
    <row r="959" ht="15.75" customHeight="1">
      <c r="E959" s="155"/>
    </row>
    <row r="960" ht="15.75" customHeight="1">
      <c r="E960" s="155"/>
    </row>
    <row r="961" ht="15.75" customHeight="1">
      <c r="E961" s="155"/>
    </row>
    <row r="962" ht="15.75" customHeight="1">
      <c r="E962" s="155"/>
    </row>
    <row r="963" ht="15.75" customHeight="1">
      <c r="E963" s="155"/>
    </row>
    <row r="964" ht="15.75" customHeight="1">
      <c r="E964" s="155"/>
    </row>
    <row r="965" ht="15.75" customHeight="1">
      <c r="E965" s="155"/>
    </row>
    <row r="966" ht="15.75" customHeight="1">
      <c r="E966" s="155"/>
    </row>
    <row r="967" ht="15.75" customHeight="1">
      <c r="E967" s="155"/>
    </row>
    <row r="968" ht="15.75" customHeight="1">
      <c r="E968" s="155"/>
    </row>
    <row r="969" ht="15.75" customHeight="1">
      <c r="E969" s="155"/>
    </row>
    <row r="970" ht="15.75" customHeight="1">
      <c r="E970" s="155"/>
    </row>
    <row r="971" ht="15.75" customHeight="1">
      <c r="E971" s="155"/>
    </row>
    <row r="972" ht="15.75" customHeight="1">
      <c r="E972" s="155"/>
    </row>
    <row r="973" ht="15.75" customHeight="1">
      <c r="E973" s="155"/>
    </row>
    <row r="974" ht="15.75" customHeight="1">
      <c r="E974" s="155"/>
    </row>
    <row r="975" ht="15.75" customHeight="1">
      <c r="E975" s="155"/>
    </row>
    <row r="976" ht="15.75" customHeight="1">
      <c r="E976" s="155"/>
    </row>
    <row r="977" ht="15.75" customHeight="1">
      <c r="E977" s="155"/>
    </row>
    <row r="978" ht="15.75" customHeight="1">
      <c r="E978" s="155"/>
    </row>
    <row r="979" ht="15.75" customHeight="1">
      <c r="E979" s="155"/>
    </row>
    <row r="980" ht="15.75" customHeight="1">
      <c r="E980" s="155"/>
    </row>
    <row r="981" ht="15.75" customHeight="1">
      <c r="E981" s="155"/>
    </row>
    <row r="982" ht="15.75" customHeight="1">
      <c r="E982" s="155"/>
    </row>
    <row r="983" ht="15.75" customHeight="1">
      <c r="E983" s="155"/>
    </row>
    <row r="984" ht="15.75" customHeight="1">
      <c r="E984" s="155"/>
    </row>
    <row r="985" ht="15.75" customHeight="1">
      <c r="E985" s="155"/>
    </row>
    <row r="986" ht="15.75" customHeight="1">
      <c r="E986" s="155"/>
    </row>
    <row r="987" ht="15.75" customHeight="1">
      <c r="E987" s="155"/>
    </row>
    <row r="988" ht="15.75" customHeight="1">
      <c r="E988" s="155"/>
    </row>
    <row r="989" ht="15.75" customHeight="1">
      <c r="E989" s="155"/>
    </row>
    <row r="990" ht="15.75" customHeight="1">
      <c r="E990" s="155"/>
    </row>
    <row r="991" ht="15.75" customHeight="1">
      <c r="E991" s="155"/>
    </row>
  </sheetData>
  <conditionalFormatting sqref="D2:D991">
    <cfRule type="expression" dxfId="4" priority="1">
      <formula>AND(ISNUMBER(D2),TRUNC(D2)&lt;EDATE(TODAY(),-1)+1)</formula>
    </cfRule>
  </conditionalFormatting>
  <conditionalFormatting sqref="E2:E991">
    <cfRule type="expression" dxfId="5" priority="2">
      <formula>AND(ISNUMBER(E2),TRUNC(E2)&lt;EDATE(TODAY(),-1)+1)</formula>
    </cfRule>
  </conditionalFormatting>
  <dataValidations>
    <dataValidation type="custom" allowBlank="1" showDropDown="1" sqref="E2:E991">
      <formula1>OR(NOT(ISERROR(DATEVALUE(E2))), AND(ISNUMBER(E2), LEFT(CELL("format", E2))="D"))</formula1>
    </dataValidation>
  </dataValidation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9.57"/>
    <col customWidth="1" min="2" max="2" width="12.14"/>
    <col customWidth="1" min="3" max="3" width="16.0"/>
    <col customWidth="1" min="4" max="4" width="13.57"/>
    <col customWidth="1" min="5" max="5" width="14.71"/>
    <col customWidth="1" min="6" max="6" width="6.86"/>
    <col customWidth="1" min="7" max="7" width="24.57"/>
    <col customWidth="1" min="8" max="8" width="12.71"/>
    <col customWidth="1" min="9" max="9" width="9.29"/>
    <col customWidth="1" min="10" max="10" width="8.86"/>
    <col customWidth="1" min="11" max="20" width="9.0"/>
    <col customWidth="1" min="21" max="35" width="17.29"/>
  </cols>
  <sheetData>
    <row r="1" ht="4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 t="s">
        <v>18</v>
      </c>
      <c r="T1" s="12" t="s">
        <v>19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23" t="s">
        <v>20</v>
      </c>
      <c r="B2" s="15" t="s">
        <v>62</v>
      </c>
      <c r="C2" s="24" t="s">
        <v>23</v>
      </c>
      <c r="D2" s="17"/>
      <c r="E2" s="18"/>
      <c r="F2" s="19"/>
      <c r="G2" s="20"/>
      <c r="H2" s="21"/>
      <c r="I2" s="14"/>
      <c r="J2" s="14"/>
      <c r="K2" s="14"/>
      <c r="L2" s="14"/>
      <c r="M2" s="14"/>
      <c r="N2" s="14"/>
      <c r="O2" s="14"/>
      <c r="P2" s="14"/>
      <c r="Q2" s="19"/>
      <c r="R2" s="14"/>
      <c r="S2" s="14"/>
      <c r="T2" s="14">
        <f t="shared" ref="T2:T16" si="1">SUM(I2:S2)</f>
        <v>0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ht="15.75" customHeight="1">
      <c r="A3" s="31" t="s">
        <v>52</v>
      </c>
      <c r="B3" s="17" t="s">
        <v>62</v>
      </c>
      <c r="C3" s="25"/>
      <c r="D3" s="17"/>
      <c r="E3" s="18"/>
      <c r="F3" s="17"/>
      <c r="G3" s="26"/>
      <c r="H3" s="27"/>
      <c r="I3" s="27"/>
      <c r="J3" s="27">
        <v>2.0</v>
      </c>
      <c r="K3" s="27"/>
      <c r="L3" s="27"/>
      <c r="M3" s="27"/>
      <c r="N3" s="27"/>
      <c r="O3" s="27"/>
      <c r="P3" s="27"/>
      <c r="Q3" s="17"/>
      <c r="R3" s="27"/>
      <c r="S3" s="27"/>
      <c r="T3" s="14">
        <f t="shared" si="1"/>
        <v>2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4" ht="15.75" customHeight="1">
      <c r="A4" s="23" t="s">
        <v>53</v>
      </c>
      <c r="B4" s="15" t="s">
        <v>62</v>
      </c>
      <c r="C4" s="16"/>
      <c r="D4" s="17"/>
      <c r="E4" s="18"/>
      <c r="F4" s="19"/>
      <c r="G4" s="20"/>
      <c r="H4" s="21"/>
      <c r="I4" s="14"/>
      <c r="J4" s="14"/>
      <c r="K4" s="14"/>
      <c r="L4" s="14"/>
      <c r="M4" s="14"/>
      <c r="N4" s="14"/>
      <c r="O4" s="14"/>
      <c r="P4" s="14"/>
      <c r="Q4" s="19"/>
      <c r="R4" s="14"/>
      <c r="S4" s="14"/>
      <c r="T4" s="14">
        <f t="shared" si="1"/>
        <v>0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</row>
    <row r="5" ht="15.75" customHeight="1">
      <c r="A5" s="156" t="s">
        <v>1966</v>
      </c>
      <c r="B5" s="15" t="s">
        <v>62</v>
      </c>
      <c r="C5" s="16"/>
      <c r="D5" s="17"/>
      <c r="E5" s="18"/>
      <c r="F5" s="19"/>
      <c r="G5" s="20"/>
      <c r="H5" s="21"/>
      <c r="I5" s="14"/>
      <c r="J5" s="14"/>
      <c r="K5" s="14"/>
      <c r="L5" s="14"/>
      <c r="M5" s="14">
        <v>1.0</v>
      </c>
      <c r="N5" s="14"/>
      <c r="O5" s="14"/>
      <c r="P5" s="14"/>
      <c r="Q5" s="19"/>
      <c r="R5" s="14"/>
      <c r="S5" s="14"/>
      <c r="T5" s="14">
        <f t="shared" si="1"/>
        <v>1</v>
      </c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ht="15.75" customHeight="1">
      <c r="A6" s="156" t="s">
        <v>1967</v>
      </c>
      <c r="B6" s="15" t="s">
        <v>62</v>
      </c>
      <c r="C6" s="16"/>
      <c r="D6" s="17"/>
      <c r="E6" s="18"/>
      <c r="F6" s="19"/>
      <c r="G6" s="20"/>
      <c r="H6" s="21"/>
      <c r="I6" s="14">
        <v>1.0</v>
      </c>
      <c r="J6" s="14">
        <v>1.0</v>
      </c>
      <c r="K6" s="14"/>
      <c r="L6" s="14"/>
      <c r="M6" s="14"/>
      <c r="N6" s="14"/>
      <c r="O6" s="14"/>
      <c r="P6" s="14"/>
      <c r="Q6" s="19"/>
      <c r="R6" s="14"/>
      <c r="S6" s="14"/>
      <c r="T6" s="14">
        <f t="shared" si="1"/>
        <v>2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ht="15.75" customHeight="1">
      <c r="A7" s="157" t="s">
        <v>69</v>
      </c>
      <c r="B7" s="17" t="s">
        <v>62</v>
      </c>
      <c r="C7" s="25"/>
      <c r="D7" s="17"/>
      <c r="E7" s="18"/>
      <c r="F7" s="17"/>
      <c r="G7" s="26"/>
      <c r="H7" s="27"/>
      <c r="I7" s="27"/>
      <c r="J7" s="27"/>
      <c r="K7" s="27"/>
      <c r="L7" s="27"/>
      <c r="M7" s="27"/>
      <c r="N7" s="27"/>
      <c r="O7" s="27"/>
      <c r="P7" s="27"/>
      <c r="Q7" s="17"/>
      <c r="R7" s="27"/>
      <c r="S7" s="27"/>
      <c r="T7" s="14">
        <f t="shared" si="1"/>
        <v>0</v>
      </c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ht="15.75" customHeight="1">
      <c r="A8" s="156" t="s">
        <v>1968</v>
      </c>
      <c r="B8" s="15" t="s">
        <v>62</v>
      </c>
      <c r="C8" s="16"/>
      <c r="D8" s="17"/>
      <c r="E8" s="18"/>
      <c r="F8" s="19"/>
      <c r="G8" s="20"/>
      <c r="H8" s="21"/>
      <c r="I8" s="14"/>
      <c r="J8" s="14"/>
      <c r="K8" s="14"/>
      <c r="L8" s="14"/>
      <c r="M8" s="14"/>
      <c r="N8" s="14"/>
      <c r="O8" s="14"/>
      <c r="P8" s="14"/>
      <c r="Q8" s="19"/>
      <c r="R8" s="14"/>
      <c r="S8" s="14"/>
      <c r="T8" s="14">
        <f t="shared" si="1"/>
        <v>0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ht="15.75" customHeight="1">
      <c r="A9" s="23" t="s">
        <v>111</v>
      </c>
      <c r="B9" s="15" t="s">
        <v>62</v>
      </c>
      <c r="C9" s="16"/>
      <c r="D9" s="17"/>
      <c r="E9" s="18"/>
      <c r="F9" s="19"/>
      <c r="G9" s="20"/>
      <c r="H9" s="21"/>
      <c r="I9" s="14"/>
      <c r="J9" s="14"/>
      <c r="K9" s="14"/>
      <c r="L9" s="14"/>
      <c r="M9" s="14"/>
      <c r="N9" s="14"/>
      <c r="O9" s="14"/>
      <c r="P9" s="14"/>
      <c r="Q9" s="19"/>
      <c r="R9" s="14"/>
      <c r="S9" s="14"/>
      <c r="T9" s="14">
        <f t="shared" si="1"/>
        <v>0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ht="15.75" customHeight="1">
      <c r="A10" s="23" t="s">
        <v>113</v>
      </c>
      <c r="B10" s="15" t="s">
        <v>62</v>
      </c>
      <c r="C10" s="16"/>
      <c r="D10" s="17"/>
      <c r="E10" s="18"/>
      <c r="F10" s="19"/>
      <c r="G10" s="20"/>
      <c r="H10" s="21"/>
      <c r="I10" s="14"/>
      <c r="J10" s="14"/>
      <c r="K10" s="14"/>
      <c r="L10" s="14"/>
      <c r="M10" s="14"/>
      <c r="N10" s="14">
        <v>2.0</v>
      </c>
      <c r="O10" s="14">
        <v>1.0</v>
      </c>
      <c r="P10" s="14"/>
      <c r="Q10" s="19"/>
      <c r="R10" s="14"/>
      <c r="S10" s="14"/>
      <c r="T10" s="14">
        <f t="shared" si="1"/>
        <v>3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ht="15.75" customHeight="1">
      <c r="A11" s="31" t="s">
        <v>164</v>
      </c>
      <c r="B11" s="17" t="s">
        <v>62</v>
      </c>
      <c r="C11" s="25"/>
      <c r="D11" s="17"/>
      <c r="E11" s="18"/>
      <c r="F11" s="17"/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17"/>
      <c r="R11" s="27"/>
      <c r="S11" s="27"/>
      <c r="T11" s="14">
        <f t="shared" si="1"/>
        <v>0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ht="15.75" customHeight="1">
      <c r="A12" s="158" t="s">
        <v>1969</v>
      </c>
      <c r="B12" s="19" t="s">
        <v>62</v>
      </c>
      <c r="C12" s="16"/>
      <c r="D12" s="17"/>
      <c r="E12" s="18"/>
      <c r="F12" s="14"/>
      <c r="G12" s="20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>
        <f t="shared" si="1"/>
        <v>0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ht="15.75" customHeight="1">
      <c r="A13" s="159" t="s">
        <v>1970</v>
      </c>
      <c r="B13" s="15" t="s">
        <v>62</v>
      </c>
      <c r="C13" s="16"/>
      <c r="D13" s="17"/>
      <c r="E13" s="18"/>
      <c r="F13" s="14"/>
      <c r="G13" s="14"/>
      <c r="H13" s="14"/>
      <c r="I13" s="14"/>
      <c r="J13" s="14"/>
      <c r="K13" s="14"/>
      <c r="L13" s="14">
        <v>3.0</v>
      </c>
      <c r="M13" s="14"/>
      <c r="N13" s="14"/>
      <c r="O13" s="14"/>
      <c r="P13" s="14"/>
      <c r="Q13" s="14"/>
      <c r="R13" s="14"/>
      <c r="S13" s="14"/>
      <c r="T13" s="14">
        <f t="shared" si="1"/>
        <v>3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ht="15.75" customHeight="1">
      <c r="A14" s="23" t="s">
        <v>302</v>
      </c>
      <c r="B14" s="37" t="s">
        <v>62</v>
      </c>
      <c r="C14" s="25"/>
      <c r="D14" s="17"/>
      <c r="E14" s="18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14">
        <f t="shared" si="1"/>
        <v>0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ht="15.75" customHeight="1">
      <c r="A15" s="156" t="s">
        <v>1971</v>
      </c>
      <c r="B15" s="37" t="s">
        <v>62</v>
      </c>
      <c r="C15" s="59"/>
      <c r="D15" s="17"/>
      <c r="E15" s="18"/>
      <c r="F15" s="49"/>
      <c r="G15" s="27"/>
      <c r="H15" s="27"/>
      <c r="I15" s="27"/>
      <c r="J15" s="27"/>
      <c r="K15" s="27"/>
      <c r="L15" s="27"/>
      <c r="M15" s="27"/>
      <c r="N15" s="27">
        <v>1.0</v>
      </c>
      <c r="O15" s="27"/>
      <c r="P15" s="27"/>
      <c r="Q15" s="27"/>
      <c r="R15" s="27"/>
      <c r="S15" s="27"/>
      <c r="T15" s="14">
        <f t="shared" si="1"/>
        <v>1</v>
      </c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ht="15.75" customHeight="1">
      <c r="A16" s="23" t="s">
        <v>331</v>
      </c>
      <c r="B16" s="17" t="s">
        <v>62</v>
      </c>
      <c r="C16" s="25"/>
      <c r="D16" s="17"/>
      <c r="E16" s="18"/>
      <c r="F16" s="27"/>
      <c r="G16" s="27"/>
      <c r="H16" s="27"/>
      <c r="I16" s="27"/>
      <c r="J16" s="27"/>
      <c r="K16" s="27"/>
      <c r="L16" s="27"/>
      <c r="M16" s="27"/>
      <c r="N16" s="27">
        <v>3.0</v>
      </c>
      <c r="O16" s="27"/>
      <c r="P16" s="27"/>
      <c r="Q16" s="27"/>
      <c r="R16" s="27"/>
      <c r="S16" s="27"/>
      <c r="T16" s="14">
        <f t="shared" si="1"/>
        <v>3</v>
      </c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ht="15.75" customHeight="1">
      <c r="A17" s="156" t="s">
        <v>360</v>
      </c>
      <c r="B17" s="19" t="s">
        <v>62</v>
      </c>
      <c r="C17" s="16"/>
      <c r="D17" s="47"/>
      <c r="E17" s="48"/>
      <c r="F17" s="14"/>
      <c r="G17" s="69"/>
      <c r="H17" s="14" t="s">
        <v>91</v>
      </c>
      <c r="I17" s="14"/>
      <c r="J17" s="33"/>
      <c r="K17" s="33"/>
      <c r="L17" s="33"/>
      <c r="M17" s="33"/>
      <c r="N17" s="33"/>
      <c r="O17" s="33"/>
      <c r="P17" s="33"/>
      <c r="Q17" s="33"/>
      <c r="R17" s="46"/>
      <c r="S17" s="46"/>
      <c r="T17" s="34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ht="15.75" customHeight="1">
      <c r="A18" s="156" t="s">
        <v>360</v>
      </c>
      <c r="B18" s="27" t="s">
        <v>62</v>
      </c>
      <c r="C18" s="25"/>
      <c r="D18" s="17"/>
      <c r="E18" s="18"/>
      <c r="F18" s="27"/>
      <c r="G18" s="35"/>
      <c r="H18" s="27" t="s">
        <v>91</v>
      </c>
      <c r="I18" s="27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ht="15.75" customHeight="1">
      <c r="A19" s="160" t="s">
        <v>380</v>
      </c>
      <c r="B19" s="58" t="s">
        <v>62</v>
      </c>
      <c r="C19" s="81"/>
      <c r="D19" s="82"/>
      <c r="E19" s="161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14">
        <f t="shared" ref="T19:T22" si="2">SUM(I19:S19)</f>
        <v>0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ht="15.75" customHeight="1">
      <c r="A20" s="160" t="s">
        <v>380</v>
      </c>
      <c r="B20" s="82" t="s">
        <v>62</v>
      </c>
      <c r="C20" s="81"/>
      <c r="D20" s="82"/>
      <c r="E20" s="161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14">
        <f t="shared" si="2"/>
        <v>0</v>
      </c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ht="15.75" customHeight="1">
      <c r="A21" s="156" t="s">
        <v>1972</v>
      </c>
      <c r="B21" s="37" t="s">
        <v>62</v>
      </c>
      <c r="C21" s="25"/>
      <c r="D21" s="17"/>
      <c r="E21" s="18"/>
      <c r="F21" s="27"/>
      <c r="G21" s="26"/>
      <c r="H21" s="27"/>
      <c r="I21" s="27"/>
      <c r="J21" s="27"/>
      <c r="K21" s="27"/>
      <c r="L21" s="27">
        <v>1.0</v>
      </c>
      <c r="M21" s="27"/>
      <c r="N21" s="27"/>
      <c r="O21" s="27"/>
      <c r="P21" s="27"/>
      <c r="Q21" s="27"/>
      <c r="R21" s="27"/>
      <c r="S21" s="27"/>
      <c r="T21" s="14">
        <f t="shared" si="2"/>
        <v>1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ht="15.75" customHeight="1">
      <c r="A22" s="157" t="s">
        <v>1973</v>
      </c>
      <c r="B22" s="19" t="s">
        <v>62</v>
      </c>
      <c r="C22" s="16"/>
      <c r="D22" s="17"/>
      <c r="E22" s="18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>
        <f t="shared" si="2"/>
        <v>0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ht="15.75" customHeight="1">
      <c r="A23" s="156" t="s">
        <v>422</v>
      </c>
      <c r="B23" s="17" t="s">
        <v>62</v>
      </c>
      <c r="C23" s="25"/>
      <c r="D23" s="17"/>
      <c r="E23" s="18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14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ht="15.75" customHeight="1">
      <c r="A24" s="157" t="s">
        <v>1974</v>
      </c>
      <c r="B24" s="19" t="s">
        <v>62</v>
      </c>
      <c r="C24" s="16"/>
      <c r="D24" s="17"/>
      <c r="E24" s="18"/>
      <c r="F24" s="14"/>
      <c r="G24" s="14"/>
      <c r="H24" s="14"/>
      <c r="I24" s="14"/>
      <c r="J24" s="14">
        <v>1.0</v>
      </c>
      <c r="K24" s="14"/>
      <c r="L24" s="14"/>
      <c r="M24" s="14"/>
      <c r="N24" s="14"/>
      <c r="O24" s="14"/>
      <c r="P24" s="14"/>
      <c r="Q24" s="14"/>
      <c r="R24" s="14"/>
      <c r="S24" s="14"/>
      <c r="T24" s="14">
        <f t="shared" ref="T24:T45" si="3">SUM(I24:S24)</f>
        <v>1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ht="15.75" customHeight="1">
      <c r="A25" s="157" t="s">
        <v>1975</v>
      </c>
      <c r="B25" s="17" t="s">
        <v>62</v>
      </c>
      <c r="C25" s="25"/>
      <c r="D25" s="17"/>
      <c r="E25" s="18"/>
      <c r="F25" s="27"/>
      <c r="G25" s="26"/>
      <c r="H25" s="27"/>
      <c r="I25" s="27"/>
      <c r="J25" s="27"/>
      <c r="K25" s="27"/>
      <c r="L25" s="27"/>
      <c r="M25" s="27"/>
      <c r="N25" s="27">
        <v>1.0</v>
      </c>
      <c r="O25" s="27"/>
      <c r="P25" s="27"/>
      <c r="Q25" s="27"/>
      <c r="R25" s="27"/>
      <c r="S25" s="27"/>
      <c r="T25" s="14">
        <f t="shared" si="3"/>
        <v>1</v>
      </c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ht="15.75" customHeight="1">
      <c r="A26" s="23" t="s">
        <v>431</v>
      </c>
      <c r="B26" s="17" t="s">
        <v>62</v>
      </c>
      <c r="C26" s="25"/>
      <c r="D26" s="17"/>
      <c r="E26" s="18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>
        <v>1.0</v>
      </c>
      <c r="Q26" s="27"/>
      <c r="R26" s="17">
        <v>1.0</v>
      </c>
      <c r="S26" s="17"/>
      <c r="T26" s="14">
        <f t="shared" si="3"/>
        <v>2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ht="15.75" customHeight="1">
      <c r="A27" s="23" t="s">
        <v>452</v>
      </c>
      <c r="B27" s="15" t="s">
        <v>62</v>
      </c>
      <c r="C27" s="16"/>
      <c r="D27" s="17"/>
      <c r="E27" s="18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>
        <f t="shared" si="3"/>
        <v>0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ht="15.75" customHeight="1">
      <c r="A28" s="160" t="s">
        <v>470</v>
      </c>
      <c r="B28" s="82" t="s">
        <v>62</v>
      </c>
      <c r="C28" s="81"/>
      <c r="D28" s="82"/>
      <c r="E28" s="161"/>
      <c r="F28" s="82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14">
        <f t="shared" si="3"/>
        <v>0</v>
      </c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ht="15.75" customHeight="1">
      <c r="A29" s="160" t="s">
        <v>470</v>
      </c>
      <c r="B29" s="82" t="s">
        <v>62</v>
      </c>
      <c r="C29" s="81"/>
      <c r="D29" s="82"/>
      <c r="E29" s="161"/>
      <c r="F29" s="82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14">
        <f t="shared" si="3"/>
        <v>0</v>
      </c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ht="15.75" customHeight="1">
      <c r="A30" s="160" t="s">
        <v>470</v>
      </c>
      <c r="B30" s="82" t="s">
        <v>62</v>
      </c>
      <c r="C30" s="81"/>
      <c r="D30" s="82"/>
      <c r="E30" s="161"/>
      <c r="F30" s="8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4">
        <f t="shared" si="3"/>
        <v>0</v>
      </c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ht="15.75" customHeight="1">
      <c r="A31" s="157" t="s">
        <v>1976</v>
      </c>
      <c r="B31" s="15" t="s">
        <v>62</v>
      </c>
      <c r="C31" s="16"/>
      <c r="D31" s="17"/>
      <c r="E31" s="18"/>
      <c r="F31" s="14"/>
      <c r="G31" s="20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27"/>
      <c r="S31" s="27"/>
      <c r="T31" s="14">
        <f t="shared" si="3"/>
        <v>0</v>
      </c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ht="15.75" customHeight="1">
      <c r="A32" s="31" t="s">
        <v>547</v>
      </c>
      <c r="B32" s="37" t="s">
        <v>62</v>
      </c>
      <c r="C32" s="25"/>
      <c r="D32" s="17"/>
      <c r="E32" s="18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33"/>
      <c r="R32" s="34"/>
      <c r="S32" s="34"/>
      <c r="T32" s="14">
        <f t="shared" si="3"/>
        <v>0</v>
      </c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 ht="15.75" customHeight="1">
      <c r="A33" s="156" t="s">
        <v>1977</v>
      </c>
      <c r="B33" s="15" t="s">
        <v>62</v>
      </c>
      <c r="C33" s="16"/>
      <c r="D33" s="17"/>
      <c r="E33" s="18"/>
      <c r="F33" s="14"/>
      <c r="G33" s="14" t="s">
        <v>40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>
        <f t="shared" si="3"/>
        <v>0</v>
      </c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 ht="15.75" customHeight="1">
      <c r="A34" s="23" t="s">
        <v>688</v>
      </c>
      <c r="B34" s="37" t="s">
        <v>62</v>
      </c>
      <c r="C34" s="25"/>
      <c r="D34" s="17"/>
      <c r="E34" s="18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4">
        <f t="shared" si="3"/>
        <v>0</v>
      </c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ht="15.75" customHeight="1">
      <c r="A35" s="23" t="s">
        <v>689</v>
      </c>
      <c r="B35" s="15" t="s">
        <v>62</v>
      </c>
      <c r="C35" s="16"/>
      <c r="D35" s="17"/>
      <c r="E35" s="18"/>
      <c r="F35" s="14"/>
      <c r="G35" s="14" t="s">
        <v>40</v>
      </c>
      <c r="H35" s="14"/>
      <c r="I35" s="14"/>
      <c r="J35" s="14"/>
      <c r="K35" s="14"/>
      <c r="L35" s="14"/>
      <c r="M35" s="14">
        <v>1.0</v>
      </c>
      <c r="N35" s="14">
        <v>1.0</v>
      </c>
      <c r="O35" s="14"/>
      <c r="P35" s="14"/>
      <c r="Q35" s="14"/>
      <c r="R35" s="14"/>
      <c r="S35" s="14"/>
      <c r="T35" s="14">
        <f t="shared" si="3"/>
        <v>2</v>
      </c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ht="15.75" customHeight="1">
      <c r="A36" s="156" t="s">
        <v>1978</v>
      </c>
      <c r="B36" s="19" t="s">
        <v>62</v>
      </c>
      <c r="C36" s="16"/>
      <c r="D36" s="17"/>
      <c r="E36" s="18"/>
      <c r="F36" s="14"/>
      <c r="G36" s="20"/>
      <c r="H36" s="14"/>
      <c r="I36" s="14"/>
      <c r="J36" s="14"/>
      <c r="K36" s="14">
        <v>2.0</v>
      </c>
      <c r="L36" s="14"/>
      <c r="M36" s="14">
        <v>1.0</v>
      </c>
      <c r="N36" s="14"/>
      <c r="O36" s="14"/>
      <c r="P36" s="14"/>
      <c r="Q36" s="14"/>
      <c r="R36" s="14"/>
      <c r="S36" s="14"/>
      <c r="T36" s="14">
        <f t="shared" si="3"/>
        <v>3</v>
      </c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ht="15.75" customHeight="1">
      <c r="A37" s="23" t="s">
        <v>911</v>
      </c>
      <c r="B37" s="17" t="s">
        <v>62</v>
      </c>
      <c r="C37" s="25"/>
      <c r="D37" s="17"/>
      <c r="E37" s="18"/>
      <c r="F37" s="27"/>
      <c r="G37" s="26"/>
      <c r="H37" s="27"/>
      <c r="I37" s="27"/>
      <c r="J37" s="27"/>
      <c r="K37" s="27"/>
      <c r="L37" s="27"/>
      <c r="M37" s="27">
        <v>2.0</v>
      </c>
      <c r="N37" s="27"/>
      <c r="O37" s="27"/>
      <c r="P37" s="27"/>
      <c r="Q37" s="27"/>
      <c r="R37" s="27"/>
      <c r="S37" s="27"/>
      <c r="T37" s="14">
        <f t="shared" si="3"/>
        <v>2</v>
      </c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ht="15.75" customHeight="1">
      <c r="A38" s="23" t="s">
        <v>728</v>
      </c>
      <c r="B38" s="37" t="s">
        <v>62</v>
      </c>
      <c r="C38" s="25"/>
      <c r="D38" s="17"/>
      <c r="E38" s="18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14">
        <f t="shared" si="3"/>
        <v>0</v>
      </c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ht="15.75" customHeight="1">
      <c r="A39" s="157" t="s">
        <v>735</v>
      </c>
      <c r="B39" s="15" t="s">
        <v>62</v>
      </c>
      <c r="C39" s="16"/>
      <c r="D39" s="17"/>
      <c r="E39" s="18"/>
      <c r="F39" s="14"/>
      <c r="G39" s="20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>
        <f t="shared" si="3"/>
        <v>0</v>
      </c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ht="15.75" customHeight="1">
      <c r="A40" s="156" t="s">
        <v>1979</v>
      </c>
      <c r="B40" s="37" t="s">
        <v>62</v>
      </c>
      <c r="C40" s="25"/>
      <c r="D40" s="17"/>
      <c r="E40" s="18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17">
        <v>2.0</v>
      </c>
      <c r="R40" s="27"/>
      <c r="S40" s="27"/>
      <c r="T40" s="14">
        <f t="shared" si="3"/>
        <v>2</v>
      </c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ht="15.75" customHeight="1">
      <c r="A41" s="156" t="s">
        <v>1980</v>
      </c>
      <c r="B41" s="17" t="s">
        <v>62</v>
      </c>
      <c r="C41" s="25"/>
      <c r="D41" s="17"/>
      <c r="E41" s="18"/>
      <c r="F41" s="27"/>
      <c r="G41" s="27" t="s">
        <v>40</v>
      </c>
      <c r="H41" s="27" t="s">
        <v>282</v>
      </c>
      <c r="I41" s="27"/>
      <c r="J41" s="14"/>
      <c r="K41" s="14"/>
      <c r="L41" s="14"/>
      <c r="M41" s="14"/>
      <c r="N41" s="27"/>
      <c r="O41" s="27"/>
      <c r="P41" s="27"/>
      <c r="Q41" s="33"/>
      <c r="R41" s="34"/>
      <c r="S41" s="34"/>
      <c r="T41" s="14">
        <f t="shared" si="3"/>
        <v>0</v>
      </c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ht="15.75" customHeight="1">
      <c r="A42" s="157" t="s">
        <v>789</v>
      </c>
      <c r="B42" s="19" t="s">
        <v>62</v>
      </c>
      <c r="C42" s="24" t="s">
        <v>177</v>
      </c>
      <c r="D42" s="17"/>
      <c r="E42" s="18"/>
      <c r="F42" s="14"/>
      <c r="G42" s="20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>
        <f t="shared" si="3"/>
        <v>0</v>
      </c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ht="15.75" customHeight="1">
      <c r="A43" s="157" t="s">
        <v>789</v>
      </c>
      <c r="B43" s="17" t="s">
        <v>62</v>
      </c>
      <c r="C43" s="30" t="s">
        <v>177</v>
      </c>
      <c r="D43" s="47"/>
      <c r="E43" s="48"/>
      <c r="F43" s="27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17"/>
      <c r="R43" s="14"/>
      <c r="S43" s="14"/>
      <c r="T43" s="14">
        <f t="shared" si="3"/>
        <v>0</v>
      </c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ht="15.75" customHeight="1">
      <c r="A44" s="23" t="s">
        <v>817</v>
      </c>
      <c r="B44" s="17" t="s">
        <v>62</v>
      </c>
      <c r="C44" s="25"/>
      <c r="D44" s="17"/>
      <c r="E44" s="18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14">
        <f t="shared" si="3"/>
        <v>0</v>
      </c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ht="15.75" customHeight="1">
      <c r="A45" s="156" t="s">
        <v>1981</v>
      </c>
      <c r="B45" s="19" t="s">
        <v>62</v>
      </c>
      <c r="C45" s="16"/>
      <c r="D45" s="17"/>
      <c r="E45" s="18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>
        <f t="shared" si="3"/>
        <v>0</v>
      </c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ht="15.75" customHeight="1">
      <c r="A46" s="156" t="s">
        <v>826</v>
      </c>
      <c r="B46" s="37" t="s">
        <v>62</v>
      </c>
      <c r="C46" s="59"/>
      <c r="D46" s="17"/>
      <c r="E46" s="18"/>
      <c r="F46" s="49"/>
      <c r="G46" s="23" t="s">
        <v>1982</v>
      </c>
      <c r="H46" s="27" t="s">
        <v>280</v>
      </c>
      <c r="I46" s="27"/>
      <c r="J46" s="27"/>
      <c r="K46" s="27"/>
      <c r="L46" s="27"/>
      <c r="M46" s="27"/>
      <c r="N46" s="27"/>
      <c r="O46" s="27"/>
      <c r="P46" s="27"/>
      <c r="Q46" s="46"/>
      <c r="R46" s="33"/>
      <c r="S46" s="33"/>
      <c r="T46" s="14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ht="15.75" customHeight="1">
      <c r="A47" s="31" t="s">
        <v>849</v>
      </c>
      <c r="B47" s="17" t="s">
        <v>62</v>
      </c>
      <c r="C47" s="25"/>
      <c r="D47" s="47"/>
      <c r="E47" s="18"/>
      <c r="F47" s="27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7"/>
      <c r="S47" s="17"/>
      <c r="T47" s="14">
        <f t="shared" ref="T47:T52" si="4">SUM(I47:S47)</f>
        <v>0</v>
      </c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ht="15.75" customHeight="1">
      <c r="A48" s="31" t="s">
        <v>849</v>
      </c>
      <c r="B48" s="17" t="s">
        <v>62</v>
      </c>
      <c r="C48" s="25"/>
      <c r="D48" s="47"/>
      <c r="E48" s="18"/>
      <c r="F48" s="27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7"/>
      <c r="S48" s="17"/>
      <c r="T48" s="14">
        <f t="shared" si="4"/>
        <v>0</v>
      </c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ht="15.75" customHeight="1">
      <c r="A49" s="156" t="s">
        <v>1983</v>
      </c>
      <c r="B49" s="17" t="s">
        <v>62</v>
      </c>
      <c r="C49" s="25"/>
      <c r="D49" s="17"/>
      <c r="E49" s="18"/>
      <c r="F49" s="27"/>
      <c r="G49" s="26"/>
      <c r="H49" s="27"/>
      <c r="I49" s="27"/>
      <c r="J49" s="27"/>
      <c r="K49" s="27"/>
      <c r="L49" s="27">
        <v>5.0</v>
      </c>
      <c r="M49" s="27"/>
      <c r="N49" s="27"/>
      <c r="O49" s="27">
        <v>1.0</v>
      </c>
      <c r="P49" s="27"/>
      <c r="Q49" s="27"/>
      <c r="R49" s="27"/>
      <c r="S49" s="27"/>
      <c r="T49" s="14">
        <f t="shared" si="4"/>
        <v>6</v>
      </c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ht="15.75" customHeight="1">
      <c r="A50" s="31" t="s">
        <v>904</v>
      </c>
      <c r="B50" s="17" t="s">
        <v>62</v>
      </c>
      <c r="C50" s="25"/>
      <c r="D50" s="17"/>
      <c r="E50" s="18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14">
        <f t="shared" si="4"/>
        <v>0</v>
      </c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ht="15.75" customHeight="1">
      <c r="A51" s="156" t="s">
        <v>1984</v>
      </c>
      <c r="B51" s="19" t="s">
        <v>62</v>
      </c>
      <c r="C51" s="16"/>
      <c r="D51" s="17"/>
      <c r="E51" s="18"/>
      <c r="F51" s="14"/>
      <c r="G51" s="20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>
        <f t="shared" si="4"/>
        <v>0</v>
      </c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ht="15.75" customHeight="1">
      <c r="A52" s="156" t="s">
        <v>1985</v>
      </c>
      <c r="B52" s="17" t="s">
        <v>62</v>
      </c>
      <c r="C52" s="25"/>
      <c r="D52" s="17"/>
      <c r="E52" s="18"/>
      <c r="F52" s="27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14">
        <f t="shared" si="4"/>
        <v>0</v>
      </c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ht="15.75" customHeight="1">
      <c r="A53" s="156" t="s">
        <v>1006</v>
      </c>
      <c r="B53" s="19" t="s">
        <v>62</v>
      </c>
      <c r="C53" s="16"/>
      <c r="D53" s="17"/>
      <c r="E53" s="18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40"/>
      <c r="R53" s="40"/>
      <c r="S53" s="40"/>
      <c r="T53" s="14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ht="15.75" customHeight="1">
      <c r="A54" s="156" t="s">
        <v>1066</v>
      </c>
      <c r="B54" s="19" t="s">
        <v>62</v>
      </c>
      <c r="C54" s="16"/>
      <c r="D54" s="17"/>
      <c r="E54" s="18"/>
      <c r="F54" s="14"/>
      <c r="G54" s="14"/>
      <c r="H54" s="14"/>
      <c r="I54" s="14"/>
      <c r="J54" s="14"/>
      <c r="K54" s="14"/>
      <c r="L54" s="14"/>
      <c r="M54" s="14"/>
      <c r="N54" s="27"/>
      <c r="O54" s="27"/>
      <c r="P54" s="27"/>
      <c r="Q54" s="46"/>
      <c r="R54" s="33"/>
      <c r="S54" s="46"/>
      <c r="T54" s="14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ht="15.75" customHeight="1">
      <c r="A55" s="157" t="s">
        <v>1085</v>
      </c>
      <c r="B55" s="17" t="s">
        <v>62</v>
      </c>
      <c r="C55" s="25"/>
      <c r="D55" s="17"/>
      <c r="E55" s="18"/>
      <c r="F55" s="27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14"/>
      <c r="R55" s="14"/>
      <c r="S55" s="19"/>
      <c r="T55" s="14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ht="15.75" customHeight="1">
      <c r="A56" s="23" t="s">
        <v>1198</v>
      </c>
      <c r="B56" s="17" t="s">
        <v>62</v>
      </c>
      <c r="C56" s="25"/>
      <c r="D56" s="17"/>
      <c r="E56" s="18"/>
      <c r="F56" s="27"/>
      <c r="G56" s="26"/>
      <c r="H56" s="27"/>
      <c r="I56" s="27"/>
      <c r="J56" s="27">
        <v>1.0</v>
      </c>
      <c r="K56" s="27">
        <v>1.0</v>
      </c>
      <c r="L56" s="27"/>
      <c r="M56" s="27"/>
      <c r="N56" s="27"/>
      <c r="O56" s="27"/>
      <c r="P56" s="27"/>
      <c r="Q56" s="27"/>
      <c r="R56" s="27"/>
      <c r="S56" s="27"/>
      <c r="T56" s="14">
        <f t="shared" ref="T56:T62" si="5">SUM(I56:S56)</f>
        <v>2</v>
      </c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ht="15.75" customHeight="1">
      <c r="A57" s="156" t="s">
        <v>1986</v>
      </c>
      <c r="B57" s="17" t="s">
        <v>62</v>
      </c>
      <c r="C57" s="25"/>
      <c r="D57" s="17"/>
      <c r="E57" s="18"/>
      <c r="F57" s="27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17">
        <v>1.0</v>
      </c>
      <c r="R57" s="17"/>
      <c r="S57" s="17"/>
      <c r="T57" s="14">
        <f t="shared" si="5"/>
        <v>1</v>
      </c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ht="15.75" customHeight="1">
      <c r="A58" s="23" t="s">
        <v>1298</v>
      </c>
      <c r="B58" s="19" t="s">
        <v>62</v>
      </c>
      <c r="C58" s="16"/>
      <c r="D58" s="17"/>
      <c r="E58" s="18"/>
      <c r="F58" s="14"/>
      <c r="G58" s="20"/>
      <c r="H58" s="14"/>
      <c r="I58" s="14"/>
      <c r="J58" s="14">
        <v>2.0</v>
      </c>
      <c r="K58" s="14">
        <v>1.0</v>
      </c>
      <c r="L58" s="14"/>
      <c r="M58" s="14"/>
      <c r="N58" s="14"/>
      <c r="O58" s="14"/>
      <c r="P58" s="14"/>
      <c r="Q58" s="14"/>
      <c r="R58" s="14"/>
      <c r="S58" s="14"/>
      <c r="T58" s="14">
        <f t="shared" si="5"/>
        <v>3</v>
      </c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ht="15.75" customHeight="1">
      <c r="A59" s="160" t="s">
        <v>1353</v>
      </c>
      <c r="B59" s="84" t="s">
        <v>62</v>
      </c>
      <c r="C59" s="81"/>
      <c r="D59" s="82"/>
      <c r="E59" s="82"/>
      <c r="F59" s="82"/>
      <c r="G59" s="82" t="s">
        <v>1987</v>
      </c>
      <c r="H59" s="82"/>
      <c r="I59" s="163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4">
        <f t="shared" si="5"/>
        <v>0</v>
      </c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ht="15.75" customHeight="1">
      <c r="A60" s="157" t="s">
        <v>1365</v>
      </c>
      <c r="B60" s="19" t="s">
        <v>62</v>
      </c>
      <c r="C60" s="16"/>
      <c r="D60" s="17"/>
      <c r="E60" s="18"/>
      <c r="F60" s="14"/>
      <c r="G60" s="20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27"/>
      <c r="S60" s="27"/>
      <c r="T60" s="14">
        <f t="shared" si="5"/>
        <v>0</v>
      </c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ht="15.75" customHeight="1">
      <c r="A61" s="156" t="s">
        <v>1988</v>
      </c>
      <c r="B61" s="14" t="s">
        <v>62</v>
      </c>
      <c r="C61" s="16"/>
      <c r="D61" s="17"/>
      <c r="E61" s="18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>
        <f t="shared" si="5"/>
        <v>0</v>
      </c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ht="15.75" customHeight="1">
      <c r="A62" s="156" t="s">
        <v>1387</v>
      </c>
      <c r="B62" s="17" t="s">
        <v>62</v>
      </c>
      <c r="C62" s="25"/>
      <c r="D62" s="17"/>
      <c r="E62" s="18"/>
      <c r="F62" s="27"/>
      <c r="G62" s="26"/>
      <c r="H62" s="27"/>
      <c r="I62" s="27"/>
      <c r="J62" s="27"/>
      <c r="K62" s="27"/>
      <c r="L62" s="27"/>
      <c r="M62" s="27"/>
      <c r="N62" s="27">
        <v>3.0</v>
      </c>
      <c r="O62" s="27"/>
      <c r="P62" s="27"/>
      <c r="Q62" s="27"/>
      <c r="R62" s="27"/>
      <c r="S62" s="27"/>
      <c r="T62" s="14">
        <f t="shared" si="5"/>
        <v>3</v>
      </c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ht="15.75" customHeight="1">
      <c r="A63" s="156" t="s">
        <v>1397</v>
      </c>
      <c r="B63" s="17" t="s">
        <v>62</v>
      </c>
      <c r="C63" s="25"/>
      <c r="D63" s="17"/>
      <c r="E63" s="18"/>
      <c r="F63" s="27"/>
      <c r="G63" s="27"/>
      <c r="H63" s="27"/>
      <c r="I63" s="27"/>
      <c r="J63" s="27"/>
      <c r="K63" s="14"/>
      <c r="L63" s="14"/>
      <c r="M63" s="14"/>
      <c r="N63" s="14"/>
      <c r="O63" s="14"/>
      <c r="P63" s="14"/>
      <c r="Q63" s="40"/>
      <c r="R63" s="40"/>
      <c r="S63" s="40"/>
      <c r="T63" s="14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ht="15.75" customHeight="1">
      <c r="A64" s="156" t="s">
        <v>1423</v>
      </c>
      <c r="B64" s="17" t="s">
        <v>62</v>
      </c>
      <c r="C64" s="25"/>
      <c r="D64" s="17"/>
      <c r="E64" s="18"/>
      <c r="F64" s="27"/>
      <c r="G64" s="27"/>
      <c r="H64" s="27"/>
      <c r="I64" s="27"/>
      <c r="J64" s="34"/>
      <c r="K64" s="34"/>
      <c r="L64" s="34"/>
      <c r="M64" s="34"/>
      <c r="N64" s="34"/>
      <c r="O64" s="34"/>
      <c r="P64" s="34"/>
      <c r="Q64" s="34"/>
      <c r="R64" s="40"/>
      <c r="S64" s="40"/>
      <c r="T64" s="34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ht="15.75" customHeight="1">
      <c r="A65" s="156" t="s">
        <v>1989</v>
      </c>
      <c r="B65" s="14" t="s">
        <v>62</v>
      </c>
      <c r="C65" s="16"/>
      <c r="D65" s="17"/>
      <c r="E65" s="18"/>
      <c r="F65" s="14"/>
      <c r="G65" s="14" t="s">
        <v>40</v>
      </c>
      <c r="H65" s="14" t="s">
        <v>91</v>
      </c>
      <c r="I65" s="14"/>
      <c r="J65" s="35"/>
      <c r="K65" s="35"/>
      <c r="L65" s="35"/>
      <c r="M65" s="35"/>
      <c r="N65" s="35"/>
      <c r="O65" s="35"/>
      <c r="P65" s="35"/>
      <c r="Q65" s="41"/>
      <c r="R65" s="41"/>
      <c r="S65" s="41"/>
      <c r="T65" s="35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ht="15.75" customHeight="1">
      <c r="A66" s="156" t="s">
        <v>1990</v>
      </c>
      <c r="B66" s="19" t="s">
        <v>62</v>
      </c>
      <c r="C66" s="16"/>
      <c r="D66" s="17"/>
      <c r="E66" s="18"/>
      <c r="F66" s="14"/>
      <c r="G66" s="20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f t="shared" ref="T66:T79" si="6">SUM(I66:S66)</f>
        <v>0</v>
      </c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ht="15.75" customHeight="1">
      <c r="A67" s="23" t="s">
        <v>1486</v>
      </c>
      <c r="B67" s="19" t="s">
        <v>62</v>
      </c>
      <c r="C67" s="16"/>
      <c r="D67" s="17"/>
      <c r="E67" s="18"/>
      <c r="F67" s="14"/>
      <c r="G67" s="20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>
        <f t="shared" si="6"/>
        <v>0</v>
      </c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ht="15.75" customHeight="1">
      <c r="A68" s="156" t="s">
        <v>1991</v>
      </c>
      <c r="B68" s="19" t="s">
        <v>62</v>
      </c>
      <c r="C68" s="16"/>
      <c r="D68" s="17"/>
      <c r="E68" s="18"/>
      <c r="F68" s="14"/>
      <c r="G68" s="20"/>
      <c r="H68" s="14"/>
      <c r="I68" s="14"/>
      <c r="J68" s="14">
        <v>2.0</v>
      </c>
      <c r="K68" s="14"/>
      <c r="L68" s="14"/>
      <c r="M68" s="14"/>
      <c r="N68" s="14"/>
      <c r="O68" s="14"/>
      <c r="P68" s="14"/>
      <c r="Q68" s="14"/>
      <c r="R68" s="14"/>
      <c r="S68" s="14"/>
      <c r="T68" s="14">
        <f t="shared" si="6"/>
        <v>2</v>
      </c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ht="15.75" customHeight="1">
      <c r="A69" s="157" t="s">
        <v>1992</v>
      </c>
      <c r="B69" s="19" t="s">
        <v>62</v>
      </c>
      <c r="C69" s="16"/>
      <c r="D69" s="17"/>
      <c r="E69" s="18"/>
      <c r="F69" s="14"/>
      <c r="G69" s="20"/>
      <c r="H69" s="14"/>
      <c r="I69" s="14"/>
      <c r="J69" s="14"/>
      <c r="K69" s="14"/>
      <c r="L69" s="14"/>
      <c r="M69" s="14">
        <v>1.0</v>
      </c>
      <c r="N69" s="14"/>
      <c r="O69" s="14"/>
      <c r="P69" s="14"/>
      <c r="Q69" s="14"/>
      <c r="R69" s="14"/>
      <c r="S69" s="14"/>
      <c r="T69" s="14">
        <f t="shared" si="6"/>
        <v>1</v>
      </c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ht="15.75" customHeight="1">
      <c r="A70" s="156" t="s">
        <v>1993</v>
      </c>
      <c r="B70" s="17" t="s">
        <v>62</v>
      </c>
      <c r="C70" s="25"/>
      <c r="D70" s="17"/>
      <c r="E70" s="18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>
        <v>1.0</v>
      </c>
      <c r="Q70" s="27"/>
      <c r="R70" s="27"/>
      <c r="S70" s="27"/>
      <c r="T70" s="14">
        <f t="shared" si="6"/>
        <v>1</v>
      </c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ht="15.75" customHeight="1">
      <c r="A71" s="31" t="s">
        <v>1596</v>
      </c>
      <c r="B71" s="17" t="s">
        <v>62</v>
      </c>
      <c r="C71" s="25"/>
      <c r="D71" s="17"/>
      <c r="E71" s="18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14">
        <f t="shared" si="6"/>
        <v>0</v>
      </c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ht="15.75" customHeight="1">
      <c r="A72" s="156" t="s">
        <v>1994</v>
      </c>
      <c r="B72" s="17" t="s">
        <v>62</v>
      </c>
      <c r="C72" s="25"/>
      <c r="D72" s="17"/>
      <c r="E72" s="18"/>
      <c r="F72" s="27"/>
      <c r="G72" s="26"/>
      <c r="H72" s="27"/>
      <c r="I72" s="27">
        <v>1.0</v>
      </c>
      <c r="J72" s="27">
        <v>2.0</v>
      </c>
      <c r="K72" s="27"/>
      <c r="L72" s="27"/>
      <c r="M72" s="27"/>
      <c r="N72" s="27"/>
      <c r="O72" s="27"/>
      <c r="P72" s="27"/>
      <c r="Q72" s="27"/>
      <c r="R72" s="27"/>
      <c r="S72" s="27"/>
      <c r="T72" s="14">
        <f t="shared" si="6"/>
        <v>3</v>
      </c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ht="15.75" customHeight="1">
      <c r="A73" s="156" t="s">
        <v>1617</v>
      </c>
      <c r="B73" s="19" t="s">
        <v>62</v>
      </c>
      <c r="C73" s="16"/>
      <c r="D73" s="17"/>
      <c r="E73" s="18"/>
      <c r="F73" s="14"/>
      <c r="G73" s="20"/>
      <c r="H73" s="14"/>
      <c r="I73" s="14"/>
      <c r="J73" s="14"/>
      <c r="K73" s="14"/>
      <c r="L73" s="14">
        <v>1.0</v>
      </c>
      <c r="M73" s="14"/>
      <c r="N73" s="14">
        <v>1.0</v>
      </c>
      <c r="O73" s="14"/>
      <c r="P73" s="14"/>
      <c r="Q73" s="14"/>
      <c r="R73" s="14"/>
      <c r="S73" s="14"/>
      <c r="T73" s="14">
        <f t="shared" si="6"/>
        <v>2</v>
      </c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ht="15.75" customHeight="1">
      <c r="A74" s="23" t="s">
        <v>1658</v>
      </c>
      <c r="B74" s="27" t="s">
        <v>62</v>
      </c>
      <c r="C74" s="25"/>
      <c r="D74" s="17"/>
      <c r="E74" s="18"/>
      <c r="F74" s="27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14">
        <f t="shared" si="6"/>
        <v>0</v>
      </c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ht="15.75" customHeight="1">
      <c r="A75" s="23" t="s">
        <v>1662</v>
      </c>
      <c r="B75" s="14" t="s">
        <v>62</v>
      </c>
      <c r="C75" s="16"/>
      <c r="D75" s="17"/>
      <c r="E75" s="18"/>
      <c r="F75" s="14"/>
      <c r="G75" s="67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9">
        <v>1.0</v>
      </c>
      <c r="S75" s="19"/>
      <c r="T75" s="14">
        <f t="shared" si="6"/>
        <v>1</v>
      </c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ht="15.75" customHeight="1">
      <c r="A76" s="23" t="s">
        <v>1665</v>
      </c>
      <c r="B76" s="17" t="s">
        <v>62</v>
      </c>
      <c r="C76" s="25"/>
      <c r="D76" s="17"/>
      <c r="E76" s="18"/>
      <c r="F76" s="27"/>
      <c r="G76" s="51"/>
      <c r="H76" s="27"/>
      <c r="I76" s="27"/>
      <c r="J76" s="27"/>
      <c r="K76" s="27"/>
      <c r="L76" s="27"/>
      <c r="M76" s="27"/>
      <c r="N76" s="27">
        <v>1.0</v>
      </c>
      <c r="O76" s="27"/>
      <c r="P76" s="27"/>
      <c r="Q76" s="27"/>
      <c r="R76" s="27"/>
      <c r="S76" s="27"/>
      <c r="T76" s="14">
        <f t="shared" si="6"/>
        <v>1</v>
      </c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 ht="15.75" customHeight="1">
      <c r="A77" s="23" t="s">
        <v>1692</v>
      </c>
      <c r="B77" s="17" t="s">
        <v>62</v>
      </c>
      <c r="C77" s="25"/>
      <c r="D77" s="17"/>
      <c r="E77" s="18"/>
      <c r="F77" s="27"/>
      <c r="G77" s="26"/>
      <c r="H77" s="27"/>
      <c r="I77" s="27"/>
      <c r="J77" s="27"/>
      <c r="K77" s="27"/>
      <c r="L77" s="27">
        <v>2.0</v>
      </c>
      <c r="M77" s="27"/>
      <c r="N77" s="27"/>
      <c r="O77" s="27"/>
      <c r="P77" s="27"/>
      <c r="Q77" s="27"/>
      <c r="R77" s="14"/>
      <c r="S77" s="14"/>
      <c r="T77" s="14">
        <f t="shared" si="6"/>
        <v>2</v>
      </c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ht="15.75" customHeight="1">
      <c r="A78" s="156" t="s">
        <v>1995</v>
      </c>
      <c r="B78" s="17" t="s">
        <v>62</v>
      </c>
      <c r="C78" s="25"/>
      <c r="D78" s="17"/>
      <c r="E78" s="18"/>
      <c r="F78" s="27"/>
      <c r="G78" s="27"/>
      <c r="H78" s="27"/>
      <c r="I78" s="27"/>
      <c r="J78" s="27"/>
      <c r="K78" s="27"/>
      <c r="L78" s="27"/>
      <c r="M78" s="27"/>
      <c r="N78" s="27"/>
      <c r="O78" s="27">
        <v>1.0</v>
      </c>
      <c r="P78" s="27"/>
      <c r="Q78" s="27"/>
      <c r="R78" s="27"/>
      <c r="S78" s="27"/>
      <c r="T78" s="14">
        <f t="shared" si="6"/>
        <v>1</v>
      </c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ht="15.75" customHeight="1">
      <c r="A79" s="156" t="s">
        <v>1996</v>
      </c>
      <c r="B79" s="14" t="s">
        <v>62</v>
      </c>
      <c r="C79" s="16"/>
      <c r="D79" s="17"/>
      <c r="E79" s="18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>
        <f t="shared" si="6"/>
        <v>0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ht="15.75" customHeight="1">
      <c r="A80" s="156" t="s">
        <v>1997</v>
      </c>
      <c r="B80" s="19" t="s">
        <v>62</v>
      </c>
      <c r="C80" s="60"/>
      <c r="D80" s="50"/>
      <c r="E80" s="48"/>
      <c r="F80" s="94"/>
      <c r="G80" s="14" t="s">
        <v>40</v>
      </c>
      <c r="H80" s="14" t="s">
        <v>116</v>
      </c>
      <c r="I80" s="14"/>
      <c r="J80" s="33"/>
      <c r="K80" s="33"/>
      <c r="L80" s="33"/>
      <c r="M80" s="33"/>
      <c r="N80" s="33"/>
      <c r="O80" s="33"/>
      <c r="P80" s="33"/>
      <c r="Q80" s="46"/>
      <c r="R80" s="33"/>
      <c r="S80" s="33"/>
      <c r="T80" s="14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 ht="15.75" customHeight="1">
      <c r="A81" s="134" t="s">
        <v>1763</v>
      </c>
      <c r="B81" s="19" t="s">
        <v>62</v>
      </c>
      <c r="C81" s="16"/>
      <c r="D81" s="17"/>
      <c r="E81" s="18"/>
      <c r="F81" s="14"/>
      <c r="G81" s="20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>
        <f t="shared" ref="T81:T82" si="7">SUM(I81:S81)</f>
        <v>0</v>
      </c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ht="15.75" customHeight="1">
      <c r="A82" s="156" t="s">
        <v>1998</v>
      </c>
      <c r="B82" s="46" t="s">
        <v>62</v>
      </c>
      <c r="C82" s="25"/>
      <c r="D82" s="17"/>
      <c r="E82" s="18"/>
      <c r="F82" s="27"/>
      <c r="G82" s="26"/>
      <c r="H82" s="27"/>
      <c r="I82" s="27"/>
      <c r="J82" s="27"/>
      <c r="K82" s="27"/>
      <c r="L82" s="27"/>
      <c r="M82" s="27"/>
      <c r="N82" s="27"/>
      <c r="O82" s="27"/>
      <c r="P82" s="33">
        <v>1.0</v>
      </c>
      <c r="Q82" s="33"/>
      <c r="R82" s="33"/>
      <c r="S82" s="33"/>
      <c r="T82" s="34">
        <f t="shared" si="7"/>
        <v>1</v>
      </c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ht="15.75" customHeight="1">
      <c r="A83" s="156" t="s">
        <v>1999</v>
      </c>
      <c r="B83" s="35"/>
      <c r="C83" s="16"/>
      <c r="D83" s="17"/>
      <c r="E83" s="18"/>
      <c r="F83" s="14"/>
      <c r="G83" s="20"/>
      <c r="H83" s="14"/>
      <c r="I83" s="14"/>
      <c r="J83" s="14"/>
      <c r="K83" s="14"/>
      <c r="L83" s="14"/>
      <c r="M83" s="14"/>
      <c r="N83" s="14"/>
      <c r="O83" s="14"/>
      <c r="P83" s="35"/>
      <c r="Q83" s="35"/>
      <c r="R83" s="35"/>
      <c r="S83" s="35"/>
      <c r="T83" s="35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ht="15.75" customHeight="1">
      <c r="A84" s="23" t="s">
        <v>1800</v>
      </c>
      <c r="B84" s="17" t="s">
        <v>62</v>
      </c>
      <c r="C84" s="25"/>
      <c r="D84" s="17"/>
      <c r="E84" s="18"/>
      <c r="F84" s="27"/>
      <c r="G84" s="26"/>
      <c r="H84" s="27"/>
      <c r="I84" s="27"/>
      <c r="J84" s="27"/>
      <c r="K84" s="27"/>
      <c r="L84" s="27"/>
      <c r="M84" s="27">
        <v>1.0</v>
      </c>
      <c r="N84" s="27"/>
      <c r="O84" s="27"/>
      <c r="P84" s="27"/>
      <c r="Q84" s="27"/>
      <c r="R84" s="27"/>
      <c r="S84" s="27"/>
      <c r="T84" s="14">
        <f t="shared" ref="T84:T86" si="8">SUM(I84:S84)</f>
        <v>1</v>
      </c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 ht="15.75" customHeight="1">
      <c r="A85" s="156" t="s">
        <v>2000</v>
      </c>
      <c r="B85" s="17" t="s">
        <v>62</v>
      </c>
      <c r="C85" s="25"/>
      <c r="D85" s="17"/>
      <c r="E85" s="18"/>
      <c r="F85" s="27"/>
      <c r="G85" s="27"/>
      <c r="H85" s="27"/>
      <c r="I85" s="27"/>
      <c r="J85" s="27"/>
      <c r="K85" s="27"/>
      <c r="L85" s="27"/>
      <c r="M85" s="27">
        <v>5.0</v>
      </c>
      <c r="N85" s="27"/>
      <c r="O85" s="27"/>
      <c r="P85" s="27"/>
      <c r="Q85" s="27"/>
      <c r="R85" s="27"/>
      <c r="S85" s="27"/>
      <c r="T85" s="14">
        <f t="shared" si="8"/>
        <v>5</v>
      </c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ht="15.75" customHeight="1">
      <c r="A86" s="156" t="s">
        <v>2001</v>
      </c>
      <c r="B86" s="27" t="s">
        <v>62</v>
      </c>
      <c r="C86" s="25"/>
      <c r="D86" s="17"/>
      <c r="E86" s="18"/>
      <c r="F86" s="27"/>
      <c r="G86" s="27" t="s">
        <v>40</v>
      </c>
      <c r="H86" s="53">
        <v>43132.0</v>
      </c>
      <c r="I86" s="27"/>
      <c r="J86" s="27"/>
      <c r="K86" s="27"/>
      <c r="L86" s="27"/>
      <c r="M86" s="27">
        <v>1.0</v>
      </c>
      <c r="N86" s="27"/>
      <c r="O86" s="27"/>
      <c r="P86" s="27"/>
      <c r="Q86" s="27"/>
      <c r="R86" s="27"/>
      <c r="S86" s="27"/>
      <c r="T86" s="14">
        <f t="shared" si="8"/>
        <v>1</v>
      </c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ht="15.75" customHeight="1">
      <c r="A87" s="157" t="s">
        <v>1890</v>
      </c>
      <c r="B87" s="17" t="s">
        <v>62</v>
      </c>
      <c r="C87" s="25"/>
      <c r="D87" s="17"/>
      <c r="E87" s="18"/>
      <c r="F87" s="27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14"/>
      <c r="S87" s="14"/>
      <c r="T87" s="14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ht="15.75" customHeight="1">
      <c r="A88" s="157" t="s">
        <v>1917</v>
      </c>
      <c r="B88" s="19" t="s">
        <v>62</v>
      </c>
      <c r="C88" s="16"/>
      <c r="D88" s="17"/>
      <c r="E88" s="18"/>
      <c r="F88" s="14"/>
      <c r="G88" s="20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27"/>
      <c r="S88" s="27"/>
      <c r="T88" s="14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ht="15.75" customHeight="1">
      <c r="A89" s="23" t="s">
        <v>1923</v>
      </c>
      <c r="B89" s="19" t="s">
        <v>62</v>
      </c>
      <c r="C89" s="16"/>
      <c r="D89" s="17"/>
      <c r="E89" s="18"/>
      <c r="F89" s="14"/>
      <c r="G89" s="20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>
        <f t="shared" ref="T89:T92" si="9">SUM(I89:S89)</f>
        <v>0</v>
      </c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 ht="15.75" customHeight="1">
      <c r="A90" s="156" t="s">
        <v>2002</v>
      </c>
      <c r="B90" s="19" t="s">
        <v>62</v>
      </c>
      <c r="C90" s="16"/>
      <c r="D90" s="17"/>
      <c r="E90" s="18"/>
      <c r="F90" s="14"/>
      <c r="G90" s="20"/>
      <c r="H90" s="14"/>
      <c r="I90" s="14"/>
      <c r="J90" s="14"/>
      <c r="K90" s="14">
        <v>1.0</v>
      </c>
      <c r="L90" s="14"/>
      <c r="M90" s="14"/>
      <c r="N90" s="14"/>
      <c r="O90" s="14"/>
      <c r="P90" s="14"/>
      <c r="Q90" s="14"/>
      <c r="R90" s="14"/>
      <c r="S90" s="14"/>
      <c r="T90" s="14">
        <f t="shared" si="9"/>
        <v>1</v>
      </c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 ht="15.75" customHeight="1">
      <c r="A91" s="157" t="s">
        <v>2003</v>
      </c>
      <c r="B91" s="17" t="s">
        <v>62</v>
      </c>
      <c r="C91" s="25"/>
      <c r="D91" s="17"/>
      <c r="E91" s="18"/>
      <c r="F91" s="27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33"/>
      <c r="R91" s="14"/>
      <c r="S91" s="14"/>
      <c r="T91" s="14">
        <f t="shared" si="9"/>
        <v>0</v>
      </c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ht="15.75" customHeight="1">
      <c r="A92" s="157" t="s">
        <v>2003</v>
      </c>
      <c r="B92" s="17" t="s">
        <v>62</v>
      </c>
      <c r="C92" s="25"/>
      <c r="D92" s="17"/>
      <c r="E92" s="18"/>
      <c r="F92" s="27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35"/>
      <c r="R92" s="14"/>
      <c r="S92" s="14"/>
      <c r="T92" s="14">
        <f t="shared" si="9"/>
        <v>0</v>
      </c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ht="15.75" customHeight="1">
      <c r="A93" s="96"/>
      <c r="B93" s="136"/>
      <c r="C93" s="137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>
        <f>SUM(T3:T92)</f>
        <v>67</v>
      </c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</row>
    <row r="94" ht="15.75" customHeight="1">
      <c r="A94" s="138"/>
      <c r="B94" s="139"/>
      <c r="C94" s="140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</row>
    <row r="95" ht="15.75" customHeight="1">
      <c r="A95" s="22"/>
      <c r="B95" s="22"/>
      <c r="C95" s="119"/>
      <c r="D95" s="22"/>
      <c r="E95" s="22"/>
      <c r="F95" s="22"/>
      <c r="G95" s="141"/>
      <c r="H95" s="22"/>
      <c r="I95" s="142">
        <f t="shared" ref="I95:S95" si="10">SUM(I3:I94)</f>
        <v>2</v>
      </c>
      <c r="J95" s="142">
        <f t="shared" si="10"/>
        <v>11</v>
      </c>
      <c r="K95" s="142">
        <f t="shared" si="10"/>
        <v>5</v>
      </c>
      <c r="L95" s="142">
        <f t="shared" si="10"/>
        <v>12</v>
      </c>
      <c r="M95" s="142">
        <f t="shared" si="10"/>
        <v>13</v>
      </c>
      <c r="N95" s="142">
        <f t="shared" si="10"/>
        <v>13</v>
      </c>
      <c r="O95" s="142">
        <f t="shared" si="10"/>
        <v>3</v>
      </c>
      <c r="P95" s="143">
        <f t="shared" si="10"/>
        <v>3</v>
      </c>
      <c r="Q95" s="143">
        <f t="shared" si="10"/>
        <v>3</v>
      </c>
      <c r="R95" s="143">
        <f t="shared" si="10"/>
        <v>2</v>
      </c>
      <c r="S95" s="143">
        <f t="shared" si="10"/>
        <v>0</v>
      </c>
      <c r="T95" s="143">
        <f>SUM(I95:S95)</f>
        <v>67</v>
      </c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</row>
    <row r="96" ht="15.75" customHeight="1">
      <c r="A96" s="28"/>
      <c r="B96" s="28"/>
      <c r="C96" s="120"/>
      <c r="D96" s="28"/>
      <c r="E96" s="28"/>
      <c r="F96" s="28"/>
      <c r="G96" s="89"/>
      <c r="H96" s="89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ht="15.75" customHeight="1">
      <c r="A97" s="22"/>
      <c r="B97" s="22"/>
      <c r="C97" s="119"/>
      <c r="D97" s="22"/>
      <c r="E97" s="22"/>
      <c r="F97" s="22"/>
      <c r="G97" s="141"/>
      <c r="H97" s="141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</sheetData>
  <customSheetViews>
    <customSheetView guid="{DB8EC755-B245-49D7-8157-0DC620AA3D89}" filter="1" showAutoFilter="1">
      <autoFilter ref="$A$1:$A$97"/>
    </customSheetView>
  </customSheetViews>
  <mergeCells count="30">
    <mergeCell ref="P17:P18"/>
    <mergeCell ref="Q17:Q18"/>
    <mergeCell ref="R17:R18"/>
    <mergeCell ref="S17:S18"/>
    <mergeCell ref="T17:T18"/>
    <mergeCell ref="G17:G18"/>
    <mergeCell ref="J17:J18"/>
    <mergeCell ref="K17:K18"/>
    <mergeCell ref="L17:L18"/>
    <mergeCell ref="M17:M18"/>
    <mergeCell ref="N17:N18"/>
    <mergeCell ref="O17:O18"/>
    <mergeCell ref="Q64:Q65"/>
    <mergeCell ref="R64:R65"/>
    <mergeCell ref="S64:S65"/>
    <mergeCell ref="T64:T65"/>
    <mergeCell ref="P64:P65"/>
    <mergeCell ref="P82:P83"/>
    <mergeCell ref="Q82:Q83"/>
    <mergeCell ref="R82:R83"/>
    <mergeCell ref="S82:S83"/>
    <mergeCell ref="T82:T83"/>
    <mergeCell ref="Q91:Q92"/>
    <mergeCell ref="J64:J65"/>
    <mergeCell ref="K64:K65"/>
    <mergeCell ref="L64:L65"/>
    <mergeCell ref="M64:M65"/>
    <mergeCell ref="N64:N65"/>
    <mergeCell ref="O64:O65"/>
    <mergeCell ref="B82:B83"/>
  </mergeCells>
  <conditionalFormatting sqref="A2:A5 A7 A11">
    <cfRule type="expression" dxfId="0" priority="1">
      <formula>$E2="N"</formula>
    </cfRule>
  </conditionalFormatting>
  <conditionalFormatting sqref="D17:E17 D43:E44 C55:E56">
    <cfRule type="expression" dxfId="0" priority="2">
      <formula>#REF!="N"</formula>
    </cfRule>
  </conditionalFormatting>
  <conditionalFormatting sqref="D17:E17 D43:E44 C55:E56">
    <cfRule type="expression" dxfId="1" priority="3">
      <formula>(#REF!&lt;&gt;"")</formula>
    </cfRule>
  </conditionalFormatting>
  <conditionalFormatting sqref="B95:D95">
    <cfRule type="notContainsBlanks" dxfId="2" priority="4">
      <formula>LEN(TRIM(B95))&gt;0</formula>
    </cfRule>
  </conditionalFormatting>
  <conditionalFormatting sqref="A2:B97 C2:C54 D2:T97 C56:C97">
    <cfRule type="expression" dxfId="0" priority="5">
      <formula>$F2="N"</formula>
    </cfRule>
  </conditionalFormatting>
  <conditionalFormatting sqref="A2:B97 C2:C54 D2:T97 C56:C97">
    <cfRule type="expression" dxfId="1" priority="6">
      <formula>($F2&lt;&gt;"")</formula>
    </cfRule>
  </conditionalFormatting>
  <conditionalFormatting sqref="M2:S18 T2:T92 M21:S27 M31:S58 M60:S92">
    <cfRule type="cellIs" dxfId="3" priority="7" operator="equal">
      <formula>0</formula>
    </cfRule>
  </conditionalFormatting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2" width="12.14"/>
    <col customWidth="1" min="3" max="3" width="20.0"/>
    <col customWidth="1" min="4" max="26" width="17.29"/>
  </cols>
  <sheetData>
    <row r="1" ht="15.75" customHeight="1">
      <c r="A1" s="165" t="s">
        <v>0</v>
      </c>
      <c r="B1" s="166" t="s">
        <v>1</v>
      </c>
      <c r="C1" s="167"/>
      <c r="D1" s="167"/>
    </row>
    <row r="2" ht="15.75" customHeight="1">
      <c r="A2" s="168" t="s">
        <v>61</v>
      </c>
      <c r="B2" s="169" t="s">
        <v>62</v>
      </c>
      <c r="C2" s="170"/>
      <c r="D2" s="170"/>
    </row>
    <row r="3" ht="15.75" customHeight="1">
      <c r="A3" s="168" t="s">
        <v>71</v>
      </c>
      <c r="B3" s="171" t="s">
        <v>62</v>
      </c>
      <c r="C3" s="170"/>
      <c r="D3" s="170"/>
    </row>
    <row r="4" ht="15.75" customHeight="1">
      <c r="A4" s="168" t="s">
        <v>127</v>
      </c>
      <c r="B4" s="169" t="s">
        <v>62</v>
      </c>
      <c r="C4" s="170"/>
      <c r="D4" s="170"/>
    </row>
    <row r="5" ht="15.75" customHeight="1">
      <c r="A5" s="168" t="s">
        <v>88</v>
      </c>
      <c r="B5" s="169" t="s">
        <v>62</v>
      </c>
      <c r="C5" s="167"/>
      <c r="D5" s="167"/>
    </row>
    <row r="6" ht="15.75" customHeight="1">
      <c r="A6" s="168" t="s">
        <v>2004</v>
      </c>
      <c r="B6" s="171" t="s">
        <v>62</v>
      </c>
      <c r="C6" s="167"/>
      <c r="D6" s="167"/>
    </row>
    <row r="7" ht="15.75" customHeight="1">
      <c r="A7" s="168" t="s">
        <v>185</v>
      </c>
      <c r="B7" s="171" t="s">
        <v>62</v>
      </c>
      <c r="C7" s="167"/>
      <c r="D7" s="167"/>
    </row>
    <row r="8" ht="15.75" customHeight="1">
      <c r="A8" s="168" t="s">
        <v>220</v>
      </c>
      <c r="B8" s="171" t="s">
        <v>62</v>
      </c>
      <c r="C8" s="167"/>
      <c r="D8" s="167"/>
    </row>
    <row r="9" ht="15.75" customHeight="1">
      <c r="A9" s="172" t="s">
        <v>253</v>
      </c>
      <c r="B9" s="169" t="s">
        <v>62</v>
      </c>
      <c r="C9" s="173"/>
      <c r="D9" s="173"/>
    </row>
    <row r="10" ht="15.75" customHeight="1">
      <c r="A10" s="174" t="s">
        <v>281</v>
      </c>
      <c r="B10" s="171" t="s">
        <v>62</v>
      </c>
      <c r="C10" s="173"/>
      <c r="D10" s="173"/>
    </row>
    <row r="11" ht="15.75" customHeight="1">
      <c r="A11" s="175" t="s">
        <v>300</v>
      </c>
      <c r="B11" s="176" t="s">
        <v>62</v>
      </c>
      <c r="C11" s="177"/>
      <c r="D11" s="177"/>
    </row>
    <row r="12" ht="15.75" customHeight="1">
      <c r="A12" s="168" t="s">
        <v>2005</v>
      </c>
      <c r="B12" s="166" t="s">
        <v>62</v>
      </c>
      <c r="C12" s="177"/>
      <c r="D12" s="177"/>
    </row>
    <row r="13" ht="15.75" customHeight="1">
      <c r="A13" s="168" t="s">
        <v>312</v>
      </c>
      <c r="B13" s="175" t="s">
        <v>62</v>
      </c>
      <c r="C13" s="177"/>
      <c r="D13" s="177"/>
    </row>
    <row r="14" ht="15.75" customHeight="1">
      <c r="A14" s="168" t="s">
        <v>349</v>
      </c>
      <c r="B14" s="168" t="s">
        <v>62</v>
      </c>
      <c r="C14" s="177"/>
      <c r="D14" s="177"/>
    </row>
    <row r="15" ht="15.75" customHeight="1">
      <c r="A15" s="165" t="s">
        <v>380</v>
      </c>
      <c r="B15" s="178" t="s">
        <v>62</v>
      </c>
      <c r="C15" s="167"/>
      <c r="D15" s="167"/>
    </row>
    <row r="16" ht="15.75" customHeight="1">
      <c r="A16" s="179" t="s">
        <v>380</v>
      </c>
      <c r="B16" s="179" t="s">
        <v>62</v>
      </c>
      <c r="C16" s="167"/>
      <c r="D16" s="167"/>
    </row>
    <row r="17" ht="15.75" customHeight="1">
      <c r="A17" s="175" t="s">
        <v>408</v>
      </c>
      <c r="B17" s="176" t="s">
        <v>62</v>
      </c>
      <c r="C17" s="177"/>
      <c r="D17" s="177"/>
    </row>
    <row r="18" ht="15.75" customHeight="1">
      <c r="A18" s="175" t="s">
        <v>2006</v>
      </c>
      <c r="B18" s="176" t="s">
        <v>62</v>
      </c>
      <c r="C18" s="177"/>
      <c r="D18" s="177"/>
    </row>
    <row r="19" ht="15.75" customHeight="1">
      <c r="A19" s="178" t="s">
        <v>470</v>
      </c>
      <c r="B19" s="178" t="s">
        <v>62</v>
      </c>
      <c r="C19" s="180"/>
      <c r="D19" s="180"/>
    </row>
    <row r="20" ht="15.75" customHeight="1">
      <c r="A20" s="179" t="s">
        <v>470</v>
      </c>
      <c r="B20" s="179" t="s">
        <v>62</v>
      </c>
      <c r="C20" s="180"/>
      <c r="D20" s="180"/>
    </row>
    <row r="21" ht="15.75" customHeight="1">
      <c r="A21" s="178" t="s">
        <v>519</v>
      </c>
      <c r="B21" s="178" t="s">
        <v>62</v>
      </c>
      <c r="C21" s="180"/>
      <c r="D21" s="180"/>
    </row>
    <row r="22" ht="15.75" customHeight="1">
      <c r="A22" s="178" t="s">
        <v>545</v>
      </c>
      <c r="B22" s="178" t="s">
        <v>62</v>
      </c>
      <c r="C22" s="180"/>
      <c r="D22" s="180"/>
    </row>
    <row r="23" ht="15.75" customHeight="1">
      <c r="A23" s="178" t="s">
        <v>546</v>
      </c>
      <c r="B23" s="178" t="s">
        <v>62</v>
      </c>
      <c r="C23" s="180"/>
      <c r="D23" s="180"/>
    </row>
    <row r="24" ht="15.75" customHeight="1">
      <c r="A24" s="172" t="s">
        <v>574</v>
      </c>
      <c r="B24" s="172" t="s">
        <v>62</v>
      </c>
      <c r="C24" s="180"/>
      <c r="D24" s="180"/>
    </row>
    <row r="25" ht="15.75" customHeight="1">
      <c r="A25" s="174" t="s">
        <v>594</v>
      </c>
      <c r="B25" s="174" t="s">
        <v>62</v>
      </c>
      <c r="C25" s="180"/>
      <c r="D25" s="180"/>
    </row>
    <row r="26" ht="15.75" customHeight="1">
      <c r="A26" s="174" t="s">
        <v>609</v>
      </c>
      <c r="B26" s="174" t="s">
        <v>62</v>
      </c>
      <c r="C26" s="180"/>
      <c r="D26" s="180"/>
    </row>
    <row r="27" ht="15.75" customHeight="1">
      <c r="A27" s="172" t="s">
        <v>635</v>
      </c>
      <c r="B27" s="172" t="s">
        <v>62</v>
      </c>
      <c r="C27" s="181"/>
      <c r="D27" s="181"/>
    </row>
    <row r="28" ht="15.75" customHeight="1">
      <c r="A28" s="174" t="s">
        <v>665</v>
      </c>
      <c r="B28" s="174" t="s">
        <v>62</v>
      </c>
      <c r="C28" s="181"/>
      <c r="D28" s="181"/>
    </row>
    <row r="29" ht="15.75" customHeight="1">
      <c r="A29" s="174" t="s">
        <v>669</v>
      </c>
      <c r="B29" s="174" t="s">
        <v>62</v>
      </c>
      <c r="C29" s="181"/>
      <c r="D29" s="181"/>
    </row>
    <row r="30" ht="15.75" customHeight="1">
      <c r="A30" s="174" t="s">
        <v>680</v>
      </c>
      <c r="B30" s="174" t="s">
        <v>62</v>
      </c>
      <c r="C30" s="170"/>
      <c r="D30" s="170"/>
    </row>
    <row r="31" ht="15.75" customHeight="1">
      <c r="A31" s="174" t="s">
        <v>684</v>
      </c>
      <c r="B31" s="174" t="s">
        <v>62</v>
      </c>
      <c r="C31" s="180"/>
      <c r="D31" s="180"/>
    </row>
    <row r="32" ht="15.75" customHeight="1">
      <c r="A32" s="168" t="s">
        <v>685</v>
      </c>
      <c r="B32" s="174" t="s">
        <v>62</v>
      </c>
      <c r="C32" s="180"/>
      <c r="D32" s="180"/>
    </row>
    <row r="33" ht="15.75" customHeight="1">
      <c r="A33" s="168" t="s">
        <v>717</v>
      </c>
      <c r="B33" s="174" t="s">
        <v>62</v>
      </c>
      <c r="C33" s="180"/>
      <c r="D33" s="180"/>
    </row>
    <row r="34" ht="15.75" customHeight="1">
      <c r="A34" s="168" t="s">
        <v>2007</v>
      </c>
      <c r="B34" s="174" t="s">
        <v>62</v>
      </c>
      <c r="C34" s="180"/>
      <c r="D34" s="180"/>
    </row>
    <row r="35" ht="15.75" customHeight="1">
      <c r="A35" s="168" t="s">
        <v>761</v>
      </c>
      <c r="B35" s="174" t="s">
        <v>62</v>
      </c>
      <c r="C35" s="180"/>
      <c r="D35" s="180"/>
    </row>
    <row r="36" ht="15.75" customHeight="1">
      <c r="A36" s="168" t="s">
        <v>775</v>
      </c>
      <c r="B36" s="174" t="s">
        <v>62</v>
      </c>
      <c r="C36" s="180"/>
      <c r="D36" s="180"/>
    </row>
    <row r="37" ht="15.75" customHeight="1">
      <c r="A37" s="178" t="s">
        <v>789</v>
      </c>
      <c r="B37" s="174" t="s">
        <v>62</v>
      </c>
      <c r="C37" s="173"/>
      <c r="D37" s="173"/>
    </row>
    <row r="38" ht="15.75" customHeight="1">
      <c r="A38" s="174" t="s">
        <v>789</v>
      </c>
      <c r="B38" s="174" t="s">
        <v>62</v>
      </c>
      <c r="C38" s="173"/>
      <c r="D38" s="173"/>
    </row>
    <row r="39" ht="15.75" customHeight="1">
      <c r="A39" s="172" t="s">
        <v>821</v>
      </c>
      <c r="B39" s="174" t="s">
        <v>62</v>
      </c>
      <c r="C39" s="173"/>
      <c r="D39" s="173"/>
    </row>
    <row r="40" ht="15.75" customHeight="1">
      <c r="A40" s="174" t="s">
        <v>823</v>
      </c>
      <c r="B40" s="174" t="s">
        <v>62</v>
      </c>
      <c r="C40" s="173"/>
      <c r="D40" s="173"/>
    </row>
    <row r="41" ht="15.75" customHeight="1">
      <c r="A41" s="174" t="s">
        <v>824</v>
      </c>
      <c r="B41" s="174" t="s">
        <v>62</v>
      </c>
      <c r="C41" s="173"/>
      <c r="D41" s="173"/>
    </row>
    <row r="42" ht="15.75" customHeight="1">
      <c r="A42" s="174" t="s">
        <v>825</v>
      </c>
      <c r="B42" s="174" t="s">
        <v>62</v>
      </c>
      <c r="C42" s="173"/>
      <c r="D42" s="173"/>
    </row>
    <row r="43" ht="15.75" customHeight="1">
      <c r="A43" s="174" t="s">
        <v>834</v>
      </c>
      <c r="B43" s="174" t="s">
        <v>62</v>
      </c>
      <c r="C43" s="173"/>
      <c r="D43" s="173"/>
    </row>
    <row r="44" ht="15.75" customHeight="1">
      <c r="A44" s="174" t="s">
        <v>882</v>
      </c>
      <c r="B44" s="174" t="s">
        <v>62</v>
      </c>
      <c r="C44" s="173"/>
      <c r="D44" s="173"/>
    </row>
    <row r="45" ht="15.75" customHeight="1">
      <c r="A45" s="174" t="s">
        <v>902</v>
      </c>
      <c r="B45" s="174" t="s">
        <v>62</v>
      </c>
      <c r="C45" s="173"/>
      <c r="D45" s="173"/>
    </row>
    <row r="46" ht="15.75" customHeight="1">
      <c r="A46" s="174" t="s">
        <v>970</v>
      </c>
      <c r="B46" s="174" t="s">
        <v>62</v>
      </c>
      <c r="C46" s="173"/>
      <c r="D46" s="173"/>
    </row>
    <row r="47" ht="15.75" customHeight="1">
      <c r="A47" s="174" t="s">
        <v>985</v>
      </c>
      <c r="B47" s="174" t="s">
        <v>62</v>
      </c>
      <c r="C47" s="173"/>
      <c r="D47" s="173"/>
    </row>
    <row r="48" ht="15.75" customHeight="1">
      <c r="A48" s="174" t="s">
        <v>1004</v>
      </c>
      <c r="B48" s="174" t="s">
        <v>62</v>
      </c>
      <c r="C48" s="173"/>
      <c r="D48" s="173"/>
    </row>
    <row r="49" ht="15.75" customHeight="1">
      <c r="A49" s="174" t="s">
        <v>1111</v>
      </c>
      <c r="B49" s="174" t="s">
        <v>62</v>
      </c>
      <c r="C49" s="173"/>
      <c r="D49" s="173"/>
    </row>
    <row r="50" ht="15.75" customHeight="1">
      <c r="A50" s="172" t="s">
        <v>1150</v>
      </c>
      <c r="B50" s="174" t="s">
        <v>62</v>
      </c>
      <c r="C50" s="173"/>
      <c r="D50" s="173"/>
    </row>
    <row r="51" ht="15.75" customHeight="1">
      <c r="A51" s="175" t="s">
        <v>2008</v>
      </c>
      <c r="B51" s="174" t="s">
        <v>62</v>
      </c>
      <c r="C51" s="173"/>
      <c r="D51" s="173"/>
    </row>
    <row r="52" ht="15.75" customHeight="1">
      <c r="A52" s="168" t="s">
        <v>1170</v>
      </c>
      <c r="B52" s="174" t="s">
        <v>62</v>
      </c>
      <c r="C52" s="173"/>
      <c r="D52" s="173"/>
    </row>
    <row r="53" ht="15.75" customHeight="1">
      <c r="A53" s="168" t="s">
        <v>1176</v>
      </c>
      <c r="B53" s="168" t="s">
        <v>62</v>
      </c>
      <c r="C53" s="180"/>
      <c r="D53" s="180"/>
    </row>
    <row r="54" ht="15.75" customHeight="1">
      <c r="A54" s="168" t="s">
        <v>1181</v>
      </c>
      <c r="B54" s="168" t="s">
        <v>62</v>
      </c>
      <c r="C54" s="180"/>
      <c r="D54" s="180"/>
    </row>
    <row r="55" ht="15.75" customHeight="1">
      <c r="A55" s="168" t="s">
        <v>1190</v>
      </c>
      <c r="B55" s="168" t="s">
        <v>62</v>
      </c>
      <c r="C55" s="180"/>
      <c r="D55" s="180"/>
    </row>
    <row r="56" ht="15.75" customHeight="1">
      <c r="A56" s="174" t="s">
        <v>1221</v>
      </c>
      <c r="B56" s="168" t="s">
        <v>62</v>
      </c>
      <c r="C56" s="173"/>
      <c r="D56" s="173"/>
    </row>
    <row r="57" ht="15.75" customHeight="1">
      <c r="A57" s="174" t="s">
        <v>1222</v>
      </c>
      <c r="B57" s="168" t="s">
        <v>62</v>
      </c>
      <c r="C57" s="173"/>
      <c r="D57" s="173"/>
    </row>
    <row r="58" ht="15.75" customHeight="1">
      <c r="A58" s="174" t="s">
        <v>1225</v>
      </c>
      <c r="B58" s="168" t="s">
        <v>62</v>
      </c>
      <c r="C58" s="173"/>
      <c r="D58" s="173"/>
    </row>
    <row r="59" ht="15.75" customHeight="1">
      <c r="A59" s="174" t="s">
        <v>1232</v>
      </c>
      <c r="B59" s="168" t="s">
        <v>62</v>
      </c>
      <c r="C59" s="173"/>
      <c r="D59" s="173"/>
    </row>
    <row r="60" ht="15.75" customHeight="1">
      <c r="A60" s="174" t="s">
        <v>1245</v>
      </c>
      <c r="B60" s="168" t="s">
        <v>62</v>
      </c>
      <c r="C60" s="173"/>
      <c r="D60" s="173"/>
    </row>
    <row r="61" ht="15.75" customHeight="1">
      <c r="A61" s="175" t="s">
        <v>2009</v>
      </c>
      <c r="B61" s="175" t="s">
        <v>62</v>
      </c>
      <c r="C61" s="173"/>
      <c r="D61" s="173"/>
    </row>
    <row r="62" ht="15.75" customHeight="1">
      <c r="A62" s="168" t="s">
        <v>1295</v>
      </c>
      <c r="B62" s="168" t="s">
        <v>62</v>
      </c>
      <c r="C62" s="173"/>
      <c r="D62" s="173"/>
    </row>
    <row r="63" ht="15.75" customHeight="1">
      <c r="A63" s="175" t="s">
        <v>1310</v>
      </c>
      <c r="B63" s="168" t="s">
        <v>62</v>
      </c>
      <c r="C63" s="180"/>
      <c r="D63" s="180"/>
    </row>
    <row r="64" ht="15.75" customHeight="1">
      <c r="A64" s="175" t="s">
        <v>1304</v>
      </c>
      <c r="B64" s="175" t="s">
        <v>62</v>
      </c>
      <c r="C64" s="180"/>
      <c r="D64" s="180"/>
    </row>
    <row r="65" ht="15.75" customHeight="1">
      <c r="A65" s="168" t="s">
        <v>1326</v>
      </c>
      <c r="B65" s="168" t="s">
        <v>62</v>
      </c>
      <c r="C65" s="180"/>
      <c r="D65" s="180"/>
    </row>
    <row r="66" ht="15.75" customHeight="1">
      <c r="A66" s="168" t="s">
        <v>1328</v>
      </c>
      <c r="B66" s="168" t="s">
        <v>62</v>
      </c>
      <c r="C66" s="180"/>
      <c r="D66" s="180"/>
    </row>
    <row r="67" ht="15.75" customHeight="1">
      <c r="A67" s="172" t="s">
        <v>1371</v>
      </c>
      <c r="B67" s="172" t="s">
        <v>62</v>
      </c>
      <c r="C67" s="170"/>
      <c r="D67" s="170"/>
    </row>
    <row r="68" ht="15.75" customHeight="1">
      <c r="A68" s="168" t="s">
        <v>1401</v>
      </c>
      <c r="B68" s="175" t="s">
        <v>62</v>
      </c>
      <c r="C68" s="173"/>
      <c r="D68" s="173"/>
    </row>
    <row r="69" ht="15.75" customHeight="1">
      <c r="A69" s="168" t="s">
        <v>1429</v>
      </c>
      <c r="B69" s="168" t="s">
        <v>62</v>
      </c>
      <c r="C69" s="173"/>
      <c r="D69" s="173"/>
    </row>
    <row r="70" ht="15.75" customHeight="1">
      <c r="A70" s="168" t="s">
        <v>1451</v>
      </c>
      <c r="B70" s="168" t="s">
        <v>62</v>
      </c>
      <c r="C70" s="173"/>
      <c r="D70" s="173"/>
    </row>
    <row r="71" ht="15.75" customHeight="1">
      <c r="A71" s="168" t="s">
        <v>1525</v>
      </c>
      <c r="B71" s="168" t="s">
        <v>62</v>
      </c>
      <c r="C71" s="173"/>
      <c r="D71" s="173"/>
    </row>
    <row r="72" ht="15.75" customHeight="1">
      <c r="A72" s="174" t="s">
        <v>2010</v>
      </c>
      <c r="B72" s="168" t="s">
        <v>62</v>
      </c>
      <c r="C72" s="173"/>
      <c r="D72" s="173"/>
    </row>
    <row r="73" ht="15.75" customHeight="1">
      <c r="A73" s="174" t="s">
        <v>1558</v>
      </c>
      <c r="B73" s="168" t="s">
        <v>62</v>
      </c>
      <c r="C73" s="173"/>
      <c r="D73" s="173"/>
    </row>
    <row r="74" ht="15.75" customHeight="1">
      <c r="A74" s="174" t="s">
        <v>1559</v>
      </c>
      <c r="B74" s="168" t="s">
        <v>62</v>
      </c>
      <c r="C74" s="173"/>
      <c r="D74" s="173"/>
    </row>
    <row r="75" ht="15.75" customHeight="1">
      <c r="A75" s="174" t="s">
        <v>1592</v>
      </c>
      <c r="B75" s="168" t="s">
        <v>62</v>
      </c>
      <c r="C75" s="173"/>
      <c r="D75" s="173"/>
    </row>
    <row r="76" ht="15.75" customHeight="1">
      <c r="A76" s="174" t="s">
        <v>1595</v>
      </c>
      <c r="B76" s="168" t="s">
        <v>62</v>
      </c>
      <c r="C76" s="173"/>
      <c r="D76" s="173"/>
    </row>
    <row r="77" ht="15.75" customHeight="1">
      <c r="A77" s="172" t="s">
        <v>1606</v>
      </c>
      <c r="B77" s="172" t="s">
        <v>62</v>
      </c>
      <c r="C77" s="173"/>
      <c r="D77" s="173"/>
    </row>
    <row r="78" ht="15.75" customHeight="1">
      <c r="A78" s="172" t="s">
        <v>1611</v>
      </c>
      <c r="B78" s="182" t="s">
        <v>62</v>
      </c>
      <c r="C78" s="173"/>
      <c r="D78" s="173"/>
    </row>
    <row r="79" ht="15.75" customHeight="1">
      <c r="A79" s="174" t="s">
        <v>1612</v>
      </c>
      <c r="B79" s="183" t="s">
        <v>62</v>
      </c>
      <c r="C79" s="173"/>
      <c r="D79" s="173"/>
    </row>
    <row r="80" ht="15.75" customHeight="1">
      <c r="A80" s="174" t="s">
        <v>1661</v>
      </c>
      <c r="B80" s="183" t="s">
        <v>62</v>
      </c>
      <c r="C80" s="173"/>
      <c r="D80" s="173"/>
    </row>
    <row r="81" ht="15.75" customHeight="1">
      <c r="A81" s="174" t="s">
        <v>1686</v>
      </c>
      <c r="B81" s="183" t="s">
        <v>62</v>
      </c>
      <c r="C81" s="173"/>
      <c r="D81" s="173"/>
    </row>
    <row r="82" ht="15.75" customHeight="1">
      <c r="A82" s="174" t="s">
        <v>1687</v>
      </c>
      <c r="B82" s="183" t="s">
        <v>62</v>
      </c>
      <c r="C82" s="173"/>
      <c r="D82" s="173"/>
    </row>
    <row r="83" ht="15.75" customHeight="1">
      <c r="A83" s="174" t="s">
        <v>1688</v>
      </c>
      <c r="B83" s="183" t="s">
        <v>62</v>
      </c>
      <c r="C83" s="173"/>
      <c r="D83" s="173"/>
    </row>
    <row r="84" ht="15.75" customHeight="1">
      <c r="A84" s="168" t="s">
        <v>1694</v>
      </c>
      <c r="B84" s="168" t="s">
        <v>62</v>
      </c>
      <c r="C84" s="173"/>
      <c r="D84" s="173"/>
    </row>
    <row r="85" ht="15.75" customHeight="1">
      <c r="A85" s="168" t="s">
        <v>2011</v>
      </c>
      <c r="B85" s="168" t="s">
        <v>62</v>
      </c>
      <c r="C85" s="173"/>
      <c r="D85" s="173"/>
    </row>
    <row r="86" ht="15.75" customHeight="1">
      <c r="A86" s="168" t="s">
        <v>1742</v>
      </c>
      <c r="B86" s="168" t="s">
        <v>62</v>
      </c>
      <c r="C86" s="173"/>
      <c r="D86" s="173"/>
    </row>
    <row r="87" ht="15.75" customHeight="1">
      <c r="A87" s="168" t="s">
        <v>1826</v>
      </c>
      <c r="B87" s="168" t="s">
        <v>62</v>
      </c>
      <c r="C87" s="173"/>
      <c r="D87" s="173"/>
    </row>
    <row r="88" ht="15.75" customHeight="1">
      <c r="A88" s="168" t="s">
        <v>1831</v>
      </c>
      <c r="B88" s="168" t="s">
        <v>62</v>
      </c>
      <c r="C88" s="173"/>
      <c r="D88" s="173"/>
    </row>
    <row r="89" ht="15.75" customHeight="1">
      <c r="A89" s="168" t="s">
        <v>1885</v>
      </c>
      <c r="B89" s="168" t="s">
        <v>62</v>
      </c>
      <c r="C89" s="173"/>
      <c r="D89" s="173"/>
    </row>
    <row r="90" ht="15.75" customHeight="1">
      <c r="A90" s="168" t="s">
        <v>1888</v>
      </c>
      <c r="B90" s="168" t="s">
        <v>62</v>
      </c>
      <c r="C90" s="173"/>
      <c r="D90" s="173"/>
    </row>
    <row r="91" ht="15.75" customHeight="1">
      <c r="A91" s="168" t="s">
        <v>1888</v>
      </c>
      <c r="B91" s="168" t="s">
        <v>62</v>
      </c>
      <c r="C91" s="173"/>
      <c r="D91" s="173"/>
    </row>
    <row r="92" ht="15.75" customHeight="1">
      <c r="A92" s="175" t="s">
        <v>1894</v>
      </c>
      <c r="B92" s="175" t="s">
        <v>62</v>
      </c>
      <c r="C92" s="173"/>
      <c r="D92" s="173"/>
    </row>
    <row r="93" ht="15.75" customHeight="1">
      <c r="A93" s="175" t="s">
        <v>1922</v>
      </c>
      <c r="B93" s="175" t="s">
        <v>62</v>
      </c>
      <c r="C93" s="173"/>
      <c r="D93" s="173"/>
    </row>
    <row r="94" ht="15.75" customHeight="1">
      <c r="A94" s="168" t="s">
        <v>1963</v>
      </c>
      <c r="B94" s="168" t="s">
        <v>62</v>
      </c>
      <c r="C94" s="173"/>
      <c r="D94" s="173"/>
    </row>
    <row r="95" ht="15.75" customHeight="1">
      <c r="A95" s="174" t="s">
        <v>132</v>
      </c>
      <c r="B95" s="184" t="s">
        <v>133</v>
      </c>
      <c r="C95" s="185" t="s">
        <v>2012</v>
      </c>
      <c r="D95" s="180"/>
    </row>
    <row r="96" ht="15.75" customHeight="1">
      <c r="A96" s="174" t="s">
        <v>273</v>
      </c>
      <c r="B96" s="184" t="s">
        <v>133</v>
      </c>
      <c r="C96" s="180"/>
      <c r="D96" s="180"/>
    </row>
    <row r="97" ht="15.75" customHeight="1">
      <c r="A97" s="174" t="s">
        <v>898</v>
      </c>
      <c r="B97" s="184" t="s">
        <v>133</v>
      </c>
      <c r="C97" s="180"/>
      <c r="D97" s="180"/>
    </row>
    <row r="98" ht="15.75" customHeight="1">
      <c r="A98" s="172" t="s">
        <v>2013</v>
      </c>
      <c r="B98" s="186" t="s">
        <v>133</v>
      </c>
      <c r="C98" s="180"/>
      <c r="D98" s="180"/>
    </row>
    <row r="99" ht="15.75" customHeight="1">
      <c r="A99" s="175" t="s">
        <v>1053</v>
      </c>
      <c r="B99" s="186" t="s">
        <v>133</v>
      </c>
      <c r="C99" s="173"/>
      <c r="D99" s="173"/>
    </row>
    <row r="100" ht="15.75" customHeight="1">
      <c r="A100" s="175" t="s">
        <v>1281</v>
      </c>
      <c r="B100" s="186" t="s">
        <v>133</v>
      </c>
      <c r="C100" s="173"/>
      <c r="D100" s="173"/>
    </row>
    <row r="101" ht="15.75" customHeight="1">
      <c r="A101" s="187" t="s">
        <v>1394</v>
      </c>
      <c r="B101" s="186" t="s">
        <v>133</v>
      </c>
      <c r="C101" s="173"/>
      <c r="D101" s="173"/>
    </row>
    <row r="102" ht="15.75" customHeight="1">
      <c r="A102" s="187" t="s">
        <v>1394</v>
      </c>
      <c r="B102" s="186" t="s">
        <v>133</v>
      </c>
      <c r="C102" s="180"/>
      <c r="D102" s="180"/>
    </row>
    <row r="103" ht="15.75" customHeight="1">
      <c r="A103" s="188" t="s">
        <v>2014</v>
      </c>
      <c r="B103" s="184" t="s">
        <v>133</v>
      </c>
      <c r="C103" s="180"/>
      <c r="D103" s="180"/>
    </row>
    <row r="104" ht="15.75" customHeight="1">
      <c r="A104" s="168" t="s">
        <v>2015</v>
      </c>
      <c r="B104" s="189" t="s">
        <v>1271</v>
      </c>
      <c r="C104" s="167" t="s">
        <v>2012</v>
      </c>
      <c r="D104" s="167"/>
    </row>
    <row r="105" ht="15.75" customHeight="1">
      <c r="A105" s="174" t="s">
        <v>1540</v>
      </c>
      <c r="B105" s="189" t="s">
        <v>1271</v>
      </c>
      <c r="C105" s="170"/>
      <c r="D105" s="170"/>
    </row>
    <row r="106" ht="15.75" customHeight="1">
      <c r="A106" s="168" t="s">
        <v>1846</v>
      </c>
      <c r="B106" s="189" t="s">
        <v>1271</v>
      </c>
      <c r="C106" s="167"/>
      <c r="D106" s="167"/>
    </row>
    <row r="107" ht="15.75" customHeight="1">
      <c r="A107" s="168" t="s">
        <v>1948</v>
      </c>
      <c r="B107" s="186" t="s">
        <v>1271</v>
      </c>
      <c r="C107" s="173"/>
      <c r="D107" s="173"/>
    </row>
    <row r="108" ht="15.75" customHeight="1">
      <c r="A108" s="168" t="s">
        <v>322</v>
      </c>
      <c r="B108" s="189" t="s">
        <v>323</v>
      </c>
      <c r="C108" s="167" t="s">
        <v>2012</v>
      </c>
      <c r="D108" s="167"/>
    </row>
    <row r="109" ht="15.75" customHeight="1">
      <c r="A109" s="174" t="s">
        <v>1212</v>
      </c>
      <c r="B109" s="189" t="s">
        <v>323</v>
      </c>
      <c r="C109" s="170"/>
      <c r="D109" s="170"/>
    </row>
    <row r="110" ht="15.75" customHeight="1">
      <c r="A110" s="175" t="s">
        <v>2016</v>
      </c>
      <c r="B110" s="186" t="s">
        <v>323</v>
      </c>
      <c r="C110" s="173"/>
      <c r="D110" s="173"/>
    </row>
    <row r="111" ht="15.75" customHeight="1">
      <c r="A111" s="174" t="s">
        <v>1958</v>
      </c>
      <c r="B111" s="186" t="s">
        <v>323</v>
      </c>
      <c r="C111" s="180"/>
      <c r="D111" s="180"/>
    </row>
    <row r="112" ht="15.75" customHeight="1">
      <c r="A112" s="175" t="s">
        <v>1960</v>
      </c>
      <c r="B112" s="186" t="s">
        <v>323</v>
      </c>
      <c r="C112" s="173"/>
      <c r="D112" s="173"/>
    </row>
    <row r="113" ht="15.75" customHeight="1">
      <c r="A113" s="172" t="s">
        <v>1959</v>
      </c>
      <c r="B113" s="186" t="s">
        <v>323</v>
      </c>
      <c r="C113" s="180"/>
      <c r="D113" s="180"/>
    </row>
    <row r="114" ht="15.75" customHeight="1">
      <c r="A114" s="175" t="s">
        <v>2017</v>
      </c>
      <c r="B114" s="189" t="s">
        <v>295</v>
      </c>
      <c r="C114" s="167" t="s">
        <v>2012</v>
      </c>
      <c r="D114" s="167"/>
    </row>
    <row r="115" ht="15.75" customHeight="1">
      <c r="A115" s="175" t="s">
        <v>596</v>
      </c>
      <c r="B115" s="189" t="s">
        <v>295</v>
      </c>
      <c r="C115" s="167"/>
      <c r="D115" s="167"/>
    </row>
    <row r="116" ht="15.75" customHeight="1">
      <c r="A116" s="172" t="s">
        <v>682</v>
      </c>
      <c r="B116" s="189" t="s">
        <v>295</v>
      </c>
      <c r="C116" s="170"/>
      <c r="D116" s="170"/>
    </row>
    <row r="117" ht="15.75" customHeight="1">
      <c r="A117" s="174" t="s">
        <v>731</v>
      </c>
      <c r="B117" s="190" t="s">
        <v>295</v>
      </c>
      <c r="C117" s="170"/>
      <c r="D117" s="170"/>
    </row>
    <row r="118" ht="15.75" customHeight="1">
      <c r="A118" s="175" t="s">
        <v>1562</v>
      </c>
      <c r="B118" s="186" t="s">
        <v>295</v>
      </c>
      <c r="C118" s="173"/>
      <c r="D118" s="173"/>
    </row>
    <row r="119" ht="15.75" customHeight="1">
      <c r="A119" s="172" t="s">
        <v>2018</v>
      </c>
      <c r="B119" s="186" t="s">
        <v>295</v>
      </c>
      <c r="C119" s="180"/>
      <c r="D119" s="180"/>
    </row>
    <row r="120" ht="15.75" customHeight="1">
      <c r="A120" s="174" t="s">
        <v>226</v>
      </c>
      <c r="B120" s="189" t="s">
        <v>227</v>
      </c>
      <c r="C120" s="191" t="s">
        <v>2012</v>
      </c>
      <c r="D120" s="170"/>
    </row>
    <row r="121" ht="15.75" customHeight="1">
      <c r="A121" s="174" t="s">
        <v>548</v>
      </c>
      <c r="B121" s="190" t="s">
        <v>227</v>
      </c>
      <c r="C121" s="191"/>
      <c r="D121" s="170"/>
    </row>
    <row r="122" ht="15.75" customHeight="1">
      <c r="A122" s="174" t="s">
        <v>583</v>
      </c>
      <c r="B122" s="190" t="s">
        <v>227</v>
      </c>
      <c r="C122" s="191"/>
      <c r="D122" s="170"/>
    </row>
    <row r="123" ht="15.75" customHeight="1">
      <c r="A123" s="172" t="s">
        <v>1104</v>
      </c>
      <c r="B123" s="186" t="s">
        <v>227</v>
      </c>
      <c r="C123" s="180"/>
      <c r="D123" s="180"/>
    </row>
    <row r="124" ht="15.75" customHeight="1">
      <c r="A124" s="175" t="s">
        <v>1149</v>
      </c>
      <c r="B124" s="186" t="s">
        <v>227</v>
      </c>
      <c r="C124" s="173"/>
      <c r="D124" s="173"/>
    </row>
    <row r="125" ht="15.75" customHeight="1">
      <c r="A125" s="172" t="s">
        <v>1204</v>
      </c>
      <c r="B125" s="186" t="s">
        <v>227</v>
      </c>
      <c r="C125" s="180"/>
      <c r="D125" s="180"/>
    </row>
    <row r="126" ht="15.75" customHeight="1">
      <c r="A126" s="174" t="s">
        <v>599</v>
      </c>
      <c r="B126" s="168" t="s">
        <v>600</v>
      </c>
      <c r="C126" s="185" t="s">
        <v>2012</v>
      </c>
      <c r="D126" s="180"/>
    </row>
    <row r="127" ht="15.75" customHeight="1">
      <c r="A127" s="174" t="s">
        <v>2019</v>
      </c>
      <c r="B127" s="175" t="s">
        <v>600</v>
      </c>
      <c r="C127" s="185"/>
      <c r="D127" s="180"/>
    </row>
    <row r="128" ht="15.75" customHeight="1">
      <c r="A128" s="174" t="s">
        <v>2020</v>
      </c>
      <c r="B128" s="168" t="s">
        <v>600</v>
      </c>
      <c r="C128" s="185"/>
      <c r="D128" s="180"/>
    </row>
    <row r="129" ht="15.75" customHeight="1">
      <c r="A129" s="174" t="s">
        <v>1110</v>
      </c>
      <c r="B129" s="168" t="s">
        <v>600</v>
      </c>
      <c r="C129" s="185"/>
      <c r="D129" s="180"/>
    </row>
    <row r="130" ht="15.75" customHeight="1">
      <c r="A130" s="174" t="s">
        <v>1724</v>
      </c>
      <c r="B130" s="175" t="s">
        <v>600</v>
      </c>
      <c r="C130" s="180"/>
      <c r="D130" s="180"/>
    </row>
    <row r="131" ht="15.75" customHeight="1">
      <c r="A131" s="176" t="s">
        <v>579</v>
      </c>
      <c r="B131" s="176" t="s">
        <v>580</v>
      </c>
      <c r="C131" s="192" t="s">
        <v>2021</v>
      </c>
      <c r="D131" s="167"/>
    </row>
    <row r="132" ht="15.75" customHeight="1">
      <c r="A132" s="166" t="s">
        <v>627</v>
      </c>
      <c r="B132" s="166" t="s">
        <v>580</v>
      </c>
      <c r="C132" s="192"/>
      <c r="D132" s="167"/>
    </row>
    <row r="133" ht="15.75" customHeight="1">
      <c r="A133" s="172" t="s">
        <v>2022</v>
      </c>
      <c r="B133" s="172" t="s">
        <v>580</v>
      </c>
      <c r="C133" s="180"/>
      <c r="D133" s="180"/>
    </row>
    <row r="134" ht="15.75" customHeight="1">
      <c r="A134" s="175" t="s">
        <v>956</v>
      </c>
      <c r="B134" s="175" t="s">
        <v>580</v>
      </c>
      <c r="C134" s="173"/>
      <c r="D134" s="173"/>
    </row>
    <row r="135" ht="15.75" customHeight="1">
      <c r="A135" s="172" t="s">
        <v>957</v>
      </c>
      <c r="B135" s="172" t="s">
        <v>580</v>
      </c>
      <c r="C135" s="180"/>
      <c r="D135" s="180"/>
    </row>
    <row r="136" ht="15.75" customHeight="1">
      <c r="A136" s="172" t="s">
        <v>1005</v>
      </c>
      <c r="B136" s="172" t="s">
        <v>580</v>
      </c>
      <c r="C136" s="180"/>
      <c r="D136" s="180"/>
    </row>
    <row r="137" ht="15.75" customHeight="1">
      <c r="A137" s="172" t="s">
        <v>1054</v>
      </c>
      <c r="B137" s="172" t="s">
        <v>580</v>
      </c>
      <c r="C137" s="180"/>
      <c r="D137" s="180"/>
    </row>
    <row r="138" ht="15.75" customHeight="1">
      <c r="A138" s="174" t="s">
        <v>1463</v>
      </c>
      <c r="B138" s="172" t="s">
        <v>580</v>
      </c>
      <c r="C138" s="180"/>
      <c r="D138" s="180"/>
    </row>
    <row r="139" ht="15.75" customHeight="1">
      <c r="A139" s="174" t="s">
        <v>1855</v>
      </c>
      <c r="B139" s="172" t="s">
        <v>580</v>
      </c>
      <c r="C139" s="180"/>
      <c r="D139" s="180"/>
    </row>
    <row r="140" ht="15.75" customHeight="1">
      <c r="A140" s="174" t="s">
        <v>144</v>
      </c>
      <c r="B140" s="189" t="s">
        <v>145</v>
      </c>
      <c r="C140" s="170" t="s">
        <v>2012</v>
      </c>
      <c r="D140" s="170"/>
    </row>
    <row r="141" ht="15.75" customHeight="1">
      <c r="A141" s="174" t="s">
        <v>686</v>
      </c>
      <c r="B141" s="189" t="s">
        <v>145</v>
      </c>
      <c r="C141" s="170"/>
      <c r="D141" s="170"/>
    </row>
    <row r="142" ht="15.75" customHeight="1">
      <c r="A142" s="168" t="s">
        <v>1112</v>
      </c>
      <c r="B142" s="189" t="s">
        <v>145</v>
      </c>
      <c r="C142" s="167"/>
      <c r="D142" s="167"/>
    </row>
    <row r="143" ht="15.75" customHeight="1">
      <c r="A143" s="168" t="s">
        <v>1182</v>
      </c>
      <c r="B143" s="189" t="s">
        <v>145</v>
      </c>
      <c r="C143" s="193"/>
      <c r="D143" s="193"/>
    </row>
    <row r="144" ht="15.75" customHeight="1">
      <c r="A144" s="168" t="s">
        <v>1183</v>
      </c>
      <c r="B144" s="189" t="s">
        <v>145</v>
      </c>
      <c r="C144" s="167"/>
      <c r="D144" s="167"/>
    </row>
    <row r="145" ht="15.75" customHeight="1">
      <c r="A145" s="168" t="s">
        <v>1560</v>
      </c>
      <c r="B145" s="186" t="s">
        <v>145</v>
      </c>
      <c r="C145" s="173"/>
      <c r="D145" s="173"/>
    </row>
    <row r="146" ht="15.75" customHeight="1">
      <c r="A146" s="168" t="s">
        <v>1579</v>
      </c>
      <c r="B146" s="189" t="s">
        <v>145</v>
      </c>
      <c r="C146" s="167"/>
      <c r="D146" s="167"/>
    </row>
    <row r="147" ht="15.75" customHeight="1">
      <c r="A147" s="168" t="s">
        <v>1781</v>
      </c>
      <c r="B147" s="186" t="s">
        <v>145</v>
      </c>
      <c r="C147" s="173"/>
      <c r="D147" s="173"/>
    </row>
    <row r="148" ht="15.75" customHeight="1">
      <c r="A148" s="168" t="s">
        <v>1924</v>
      </c>
      <c r="B148" s="186" t="s">
        <v>145</v>
      </c>
      <c r="C148" s="173"/>
      <c r="D148" s="173"/>
    </row>
    <row r="149" ht="15.75" customHeight="1">
      <c r="A149" s="168" t="s">
        <v>584</v>
      </c>
      <c r="B149" s="189" t="s">
        <v>585</v>
      </c>
      <c r="C149" s="192" t="s">
        <v>2012</v>
      </c>
      <c r="D149" s="167"/>
    </row>
    <row r="150" ht="15.75" customHeight="1">
      <c r="A150" s="168" t="s">
        <v>897</v>
      </c>
      <c r="B150" s="186" t="s">
        <v>585</v>
      </c>
      <c r="C150" s="173"/>
      <c r="D150" s="173"/>
    </row>
    <row r="151" ht="15.75" customHeight="1">
      <c r="A151" s="174" t="s">
        <v>1021</v>
      </c>
      <c r="B151" s="189" t="s">
        <v>585</v>
      </c>
      <c r="C151" s="170"/>
      <c r="D151" s="170"/>
    </row>
    <row r="152" ht="15.75" customHeight="1">
      <c r="A152" s="174" t="s">
        <v>2023</v>
      </c>
      <c r="B152" s="186" t="s">
        <v>585</v>
      </c>
      <c r="C152" s="180"/>
      <c r="D152" s="180"/>
    </row>
    <row r="153" ht="15.75" customHeight="1">
      <c r="A153" s="174" t="s">
        <v>1119</v>
      </c>
      <c r="B153" s="184" t="s">
        <v>585</v>
      </c>
      <c r="C153" s="180"/>
      <c r="D153" s="180"/>
    </row>
    <row r="154" ht="15.75" customHeight="1">
      <c r="A154" s="168" t="s">
        <v>2024</v>
      </c>
      <c r="B154" s="189" t="s">
        <v>585</v>
      </c>
      <c r="C154" s="167"/>
      <c r="D154" s="167"/>
    </row>
    <row r="155" ht="15.75" customHeight="1">
      <c r="A155" s="168" t="s">
        <v>1257</v>
      </c>
      <c r="B155" s="186" t="s">
        <v>585</v>
      </c>
      <c r="C155" s="173"/>
      <c r="D155" s="173"/>
    </row>
    <row r="156" ht="15.75" customHeight="1">
      <c r="A156" s="168" t="s">
        <v>2025</v>
      </c>
      <c r="B156" s="186" t="s">
        <v>585</v>
      </c>
      <c r="C156" s="173"/>
      <c r="D156" s="173"/>
    </row>
    <row r="157" ht="15.75" customHeight="1">
      <c r="A157" s="168" t="s">
        <v>1619</v>
      </c>
      <c r="B157" s="186" t="s">
        <v>585</v>
      </c>
      <c r="C157" s="173"/>
      <c r="D157" s="173"/>
    </row>
    <row r="158" ht="15.75" customHeight="1">
      <c r="A158" s="168" t="s">
        <v>1667</v>
      </c>
      <c r="B158" s="186" t="s">
        <v>585</v>
      </c>
      <c r="C158" s="173"/>
      <c r="D158" s="173"/>
    </row>
    <row r="159" ht="15.75" customHeight="1">
      <c r="A159" s="168" t="s">
        <v>2026</v>
      </c>
      <c r="B159" s="184" t="s">
        <v>585</v>
      </c>
      <c r="C159" s="173"/>
      <c r="D159" s="173"/>
    </row>
    <row r="160" ht="15.75" customHeight="1">
      <c r="A160" s="174" t="s">
        <v>237</v>
      </c>
      <c r="B160" s="189" t="s">
        <v>238</v>
      </c>
      <c r="C160" s="191" t="s">
        <v>2012</v>
      </c>
      <c r="D160" s="170"/>
    </row>
    <row r="161" ht="15.75" customHeight="1">
      <c r="A161" s="168" t="s">
        <v>239</v>
      </c>
      <c r="B161" s="189" t="s">
        <v>238</v>
      </c>
      <c r="C161" s="167"/>
      <c r="D161" s="167"/>
    </row>
    <row r="162" ht="15.75" customHeight="1">
      <c r="A162" s="166" t="s">
        <v>297</v>
      </c>
      <c r="B162" s="189" t="s">
        <v>238</v>
      </c>
      <c r="C162" s="193"/>
      <c r="D162" s="193"/>
    </row>
    <row r="163" ht="15.75" customHeight="1">
      <c r="A163" s="174" t="s">
        <v>298</v>
      </c>
      <c r="B163" s="189" t="s">
        <v>238</v>
      </c>
      <c r="C163" s="170"/>
      <c r="D163" s="170"/>
    </row>
    <row r="164" ht="15.75" customHeight="1">
      <c r="A164" s="174" t="s">
        <v>318</v>
      </c>
      <c r="B164" s="189" t="s">
        <v>238</v>
      </c>
      <c r="C164" s="170"/>
      <c r="D164" s="170"/>
    </row>
    <row r="165" ht="15.75" customHeight="1">
      <c r="A165" s="168" t="s">
        <v>754</v>
      </c>
      <c r="B165" s="189" t="s">
        <v>238</v>
      </c>
      <c r="C165" s="167"/>
      <c r="D165" s="167"/>
    </row>
    <row r="166" ht="15.75" customHeight="1">
      <c r="A166" s="174" t="s">
        <v>792</v>
      </c>
      <c r="B166" s="186" t="s">
        <v>238</v>
      </c>
      <c r="C166" s="180"/>
      <c r="D166" s="180"/>
    </row>
    <row r="167" ht="15.75" customHeight="1">
      <c r="A167" s="174" t="s">
        <v>1697</v>
      </c>
      <c r="B167" s="186" t="s">
        <v>238</v>
      </c>
      <c r="C167" s="180"/>
      <c r="D167" s="180"/>
    </row>
    <row r="168" ht="15.75" customHeight="1">
      <c r="A168" s="174" t="s">
        <v>1717</v>
      </c>
      <c r="B168" s="184" t="s">
        <v>238</v>
      </c>
      <c r="C168" s="180"/>
      <c r="D168" s="180"/>
    </row>
    <row r="169" ht="15.75" customHeight="1">
      <c r="A169" s="174" t="s">
        <v>1727</v>
      </c>
      <c r="B169" s="184" t="s">
        <v>238</v>
      </c>
      <c r="C169" s="180"/>
      <c r="D169" s="180"/>
    </row>
    <row r="170" ht="15.75" customHeight="1">
      <c r="A170" s="168" t="s">
        <v>1947</v>
      </c>
      <c r="B170" s="186" t="s">
        <v>238</v>
      </c>
      <c r="C170" s="173"/>
      <c r="D170" s="173"/>
    </row>
    <row r="171" ht="15.75" customHeight="1">
      <c r="A171" s="168" t="s">
        <v>251</v>
      </c>
      <c r="B171" s="189" t="s">
        <v>252</v>
      </c>
      <c r="C171" s="192" t="s">
        <v>2012</v>
      </c>
      <c r="D171" s="167"/>
    </row>
    <row r="172" ht="15.75" customHeight="1">
      <c r="A172" s="174" t="s">
        <v>418</v>
      </c>
      <c r="B172" s="186" t="s">
        <v>252</v>
      </c>
      <c r="C172" s="180"/>
      <c r="D172" s="180"/>
    </row>
    <row r="173" ht="15.75" customHeight="1">
      <c r="A173" s="174" t="s">
        <v>819</v>
      </c>
      <c r="B173" s="184" t="s">
        <v>252</v>
      </c>
      <c r="C173" s="180"/>
      <c r="D173" s="180"/>
    </row>
    <row r="174" ht="15.75" customHeight="1">
      <c r="A174" s="174" t="s">
        <v>2027</v>
      </c>
      <c r="B174" s="186" t="s">
        <v>252</v>
      </c>
      <c r="C174" s="180"/>
      <c r="D174" s="180"/>
    </row>
    <row r="175" ht="15.75" customHeight="1">
      <c r="A175" s="168" t="s">
        <v>2028</v>
      </c>
      <c r="B175" s="186" t="s">
        <v>252</v>
      </c>
      <c r="C175" s="173"/>
      <c r="D175" s="173"/>
    </row>
    <row r="176" ht="15.75" customHeight="1">
      <c r="A176" s="168" t="s">
        <v>1302</v>
      </c>
      <c r="B176" s="186" t="s">
        <v>252</v>
      </c>
      <c r="C176" s="173"/>
      <c r="D176" s="173"/>
    </row>
    <row r="177" ht="15.75" customHeight="1">
      <c r="A177" s="168" t="s">
        <v>1656</v>
      </c>
      <c r="B177" s="184" t="s">
        <v>252</v>
      </c>
      <c r="C177" s="173"/>
      <c r="D177" s="173"/>
    </row>
    <row r="178" ht="15.75" customHeight="1">
      <c r="A178" s="168" t="s">
        <v>1708</v>
      </c>
      <c r="B178" s="184" t="s">
        <v>252</v>
      </c>
      <c r="C178" s="173"/>
      <c r="D178" s="173"/>
    </row>
    <row r="179" ht="15.75" customHeight="1">
      <c r="A179" s="174" t="s">
        <v>715</v>
      </c>
      <c r="B179" s="186" t="s">
        <v>716</v>
      </c>
      <c r="C179" s="185" t="s">
        <v>2029</v>
      </c>
      <c r="D179" s="180"/>
    </row>
    <row r="180" ht="15.75" customHeight="1">
      <c r="A180" s="174" t="s">
        <v>738</v>
      </c>
      <c r="B180" s="189" t="s">
        <v>716</v>
      </c>
      <c r="C180" s="170"/>
      <c r="D180" s="170"/>
    </row>
    <row r="181" ht="15.75" customHeight="1">
      <c r="A181" s="174" t="s">
        <v>916</v>
      </c>
      <c r="B181" s="189" t="s">
        <v>716</v>
      </c>
      <c r="C181" s="170"/>
      <c r="D181" s="170"/>
    </row>
    <row r="182" ht="15.75" customHeight="1">
      <c r="A182" s="168" t="s">
        <v>2030</v>
      </c>
      <c r="B182" s="186" t="s">
        <v>716</v>
      </c>
      <c r="C182" s="173"/>
      <c r="D182" s="173"/>
    </row>
    <row r="183" ht="15.75" customHeight="1">
      <c r="A183" s="174" t="s">
        <v>1057</v>
      </c>
      <c r="B183" s="186" t="s">
        <v>716</v>
      </c>
      <c r="C183" s="180"/>
      <c r="D183" s="180"/>
    </row>
    <row r="184" ht="15.75" customHeight="1">
      <c r="A184" s="174" t="s">
        <v>2031</v>
      </c>
      <c r="B184" s="186" t="s">
        <v>716</v>
      </c>
      <c r="C184" s="180"/>
      <c r="D184" s="180"/>
    </row>
    <row r="185" ht="15.75" customHeight="1">
      <c r="A185" s="168" t="s">
        <v>1261</v>
      </c>
      <c r="B185" s="186" t="s">
        <v>716</v>
      </c>
      <c r="C185" s="173"/>
      <c r="D185" s="173"/>
    </row>
    <row r="186" ht="15.75" customHeight="1">
      <c r="A186" s="168" t="s">
        <v>208</v>
      </c>
      <c r="B186" s="184" t="s">
        <v>209</v>
      </c>
      <c r="C186" s="194" t="s">
        <v>2012</v>
      </c>
      <c r="D186" s="173"/>
    </row>
    <row r="187" ht="15.75" customHeight="1">
      <c r="A187" s="168" t="s">
        <v>767</v>
      </c>
      <c r="B187" s="184" t="s">
        <v>209</v>
      </c>
      <c r="C187" s="173"/>
      <c r="D187" s="173"/>
    </row>
    <row r="188" ht="15.75" customHeight="1">
      <c r="A188" s="168" t="s">
        <v>1500</v>
      </c>
      <c r="B188" s="184" t="s">
        <v>209</v>
      </c>
      <c r="C188" s="173"/>
      <c r="D188" s="173"/>
    </row>
    <row r="189" ht="15.75" customHeight="1">
      <c r="A189" s="168" t="s">
        <v>1842</v>
      </c>
      <c r="B189" s="184" t="s">
        <v>209</v>
      </c>
      <c r="C189" s="173"/>
      <c r="D189" s="173"/>
    </row>
    <row r="190" ht="15.75" customHeight="1">
      <c r="A190" s="168" t="s">
        <v>101</v>
      </c>
      <c r="B190" s="186" t="s">
        <v>102</v>
      </c>
      <c r="C190" s="194" t="s">
        <v>2012</v>
      </c>
      <c r="D190" s="173"/>
    </row>
    <row r="191" ht="15.75" customHeight="1">
      <c r="A191" s="175" t="s">
        <v>656</v>
      </c>
      <c r="B191" s="186" t="s">
        <v>102</v>
      </c>
      <c r="C191" s="173"/>
      <c r="D191" s="173"/>
    </row>
    <row r="192" ht="15.75" customHeight="1">
      <c r="A192" s="175" t="s">
        <v>868</v>
      </c>
      <c r="B192" s="186" t="s">
        <v>102</v>
      </c>
      <c r="C192" s="173"/>
      <c r="D192" s="173"/>
    </row>
    <row r="193" ht="15.75" customHeight="1">
      <c r="A193" s="168" t="s">
        <v>912</v>
      </c>
      <c r="B193" s="184" t="s">
        <v>102</v>
      </c>
      <c r="C193" s="173"/>
      <c r="D193" s="173"/>
    </row>
    <row r="194" ht="15.75" customHeight="1">
      <c r="A194" s="175" t="s">
        <v>1012</v>
      </c>
      <c r="B194" s="186" t="s">
        <v>102</v>
      </c>
      <c r="C194" s="173"/>
      <c r="D194" s="173"/>
    </row>
    <row r="195" ht="15.75" customHeight="1">
      <c r="A195" s="172" t="s">
        <v>1013</v>
      </c>
      <c r="B195" s="186" t="s">
        <v>102</v>
      </c>
      <c r="C195" s="180"/>
      <c r="D195" s="180"/>
    </row>
    <row r="196" ht="15.75" customHeight="1">
      <c r="A196" s="174" t="s">
        <v>1051</v>
      </c>
      <c r="B196" s="184" t="s">
        <v>102</v>
      </c>
      <c r="C196" s="180"/>
      <c r="D196" s="180"/>
    </row>
    <row r="197" ht="15.75" customHeight="1">
      <c r="A197" s="174" t="s">
        <v>1460</v>
      </c>
      <c r="B197" s="184" t="s">
        <v>102</v>
      </c>
      <c r="C197" s="180"/>
      <c r="D197" s="180"/>
    </row>
    <row r="198" ht="15.75" customHeight="1">
      <c r="A198" s="168" t="s">
        <v>1468</v>
      </c>
      <c r="B198" s="186" t="s">
        <v>102</v>
      </c>
      <c r="C198" s="173"/>
      <c r="D198" s="173"/>
    </row>
    <row r="199" ht="15.75" customHeight="1">
      <c r="A199" s="175" t="s">
        <v>1482</v>
      </c>
      <c r="B199" s="186" t="s">
        <v>102</v>
      </c>
      <c r="C199" s="173"/>
      <c r="D199" s="173"/>
    </row>
    <row r="200" ht="15.75" customHeight="1">
      <c r="A200" s="172" t="s">
        <v>1896</v>
      </c>
      <c r="B200" s="186" t="s">
        <v>102</v>
      </c>
      <c r="C200" s="180"/>
      <c r="D200" s="180"/>
    </row>
    <row r="201" ht="15.75" customHeight="1">
      <c r="A201" s="174" t="s">
        <v>203</v>
      </c>
      <c r="B201" s="186" t="s">
        <v>204</v>
      </c>
      <c r="C201" s="185" t="s">
        <v>2032</v>
      </c>
      <c r="D201" s="180"/>
    </row>
    <row r="202" ht="15.75" customHeight="1">
      <c r="A202" s="174" t="s">
        <v>259</v>
      </c>
      <c r="B202" s="189" t="s">
        <v>204</v>
      </c>
      <c r="C202" s="170"/>
      <c r="D202" s="170"/>
    </row>
    <row r="203" ht="15.75" customHeight="1">
      <c r="A203" s="174" t="s">
        <v>2033</v>
      </c>
      <c r="B203" s="186" t="s">
        <v>204</v>
      </c>
      <c r="C203" s="180"/>
      <c r="D203" s="180"/>
    </row>
    <row r="204" ht="15.75" customHeight="1">
      <c r="A204" s="168" t="s">
        <v>2034</v>
      </c>
      <c r="B204" s="186" t="s">
        <v>204</v>
      </c>
      <c r="C204" s="173"/>
      <c r="D204" s="173"/>
    </row>
    <row r="205" ht="15.75" customHeight="1">
      <c r="A205" s="168" t="s">
        <v>1589</v>
      </c>
      <c r="B205" s="186" t="s">
        <v>204</v>
      </c>
      <c r="C205" s="173"/>
      <c r="D205" s="173"/>
    </row>
    <row r="206" ht="15.75" customHeight="1">
      <c r="A206" s="168" t="s">
        <v>1761</v>
      </c>
      <c r="B206" s="184" t="s">
        <v>204</v>
      </c>
      <c r="C206" s="173"/>
      <c r="D206" s="173"/>
    </row>
    <row r="207" ht="15.75" customHeight="1">
      <c r="A207" s="168" t="s">
        <v>1764</v>
      </c>
      <c r="B207" s="186" t="s">
        <v>204</v>
      </c>
      <c r="C207" s="173"/>
      <c r="D207" s="173"/>
    </row>
    <row r="208" ht="15.75" customHeight="1">
      <c r="A208" s="168" t="s">
        <v>1807</v>
      </c>
      <c r="B208" s="184" t="s">
        <v>204</v>
      </c>
      <c r="C208" s="173"/>
      <c r="D208" s="173"/>
    </row>
    <row r="209" ht="15.75" customHeight="1">
      <c r="A209" s="168" t="s">
        <v>148</v>
      </c>
      <c r="B209" s="190" t="s">
        <v>149</v>
      </c>
      <c r="C209" s="192" t="s">
        <v>2029</v>
      </c>
      <c r="D209" s="167"/>
    </row>
    <row r="210" ht="15.75" customHeight="1">
      <c r="A210" s="168" t="s">
        <v>417</v>
      </c>
      <c r="B210" s="189" t="s">
        <v>149</v>
      </c>
      <c r="C210" s="192"/>
      <c r="D210" s="167"/>
    </row>
    <row r="211" ht="15.75" customHeight="1">
      <c r="A211" s="168" t="s">
        <v>449</v>
      </c>
      <c r="B211" s="190" t="s">
        <v>149</v>
      </c>
      <c r="C211" s="192"/>
      <c r="D211" s="167"/>
    </row>
    <row r="212" ht="15.75" customHeight="1">
      <c r="A212" s="168" t="s">
        <v>612</v>
      </c>
      <c r="B212" s="186" t="s">
        <v>149</v>
      </c>
      <c r="C212" s="173"/>
      <c r="D212" s="173"/>
    </row>
    <row r="213" ht="15.75" customHeight="1">
      <c r="A213" s="174" t="s">
        <v>1184</v>
      </c>
      <c r="B213" s="186" t="s">
        <v>149</v>
      </c>
      <c r="C213" s="180"/>
      <c r="D213" s="180"/>
    </row>
    <row r="214" ht="15.75" customHeight="1">
      <c r="A214" s="174" t="s">
        <v>1186</v>
      </c>
      <c r="B214" s="186" t="s">
        <v>149</v>
      </c>
      <c r="C214" s="180"/>
      <c r="D214" s="180"/>
    </row>
    <row r="215" ht="15.75" customHeight="1">
      <c r="A215" s="168" t="s">
        <v>1317</v>
      </c>
      <c r="B215" s="186" t="s">
        <v>149</v>
      </c>
      <c r="C215" s="173"/>
      <c r="D215" s="173"/>
    </row>
    <row r="216" ht="15.75" customHeight="1">
      <c r="A216" s="174" t="s">
        <v>1522</v>
      </c>
      <c r="B216" s="184" t="s">
        <v>149</v>
      </c>
      <c r="C216" s="180"/>
      <c r="D216" s="180"/>
    </row>
    <row r="217" ht="15.75" customHeight="1">
      <c r="A217" s="174" t="s">
        <v>1526</v>
      </c>
      <c r="B217" s="184" t="s">
        <v>149</v>
      </c>
      <c r="C217" s="180"/>
      <c r="D217" s="180"/>
    </row>
    <row r="218" ht="15.75" customHeight="1">
      <c r="A218" s="174" t="s">
        <v>1830</v>
      </c>
      <c r="B218" s="184" t="s">
        <v>149</v>
      </c>
      <c r="C218" s="180"/>
      <c r="D218" s="180"/>
    </row>
    <row r="219" ht="15.75" customHeight="1">
      <c r="A219" s="174" t="s">
        <v>1901</v>
      </c>
      <c r="B219" s="184" t="s">
        <v>149</v>
      </c>
      <c r="C219" s="180"/>
      <c r="D219" s="180"/>
    </row>
    <row r="220" ht="15.75" customHeight="1">
      <c r="A220" s="174" t="s">
        <v>175</v>
      </c>
      <c r="B220" s="190" t="s">
        <v>176</v>
      </c>
      <c r="C220" s="191" t="s">
        <v>2012</v>
      </c>
      <c r="D220" s="170"/>
    </row>
    <row r="221" ht="15.75" customHeight="1">
      <c r="A221" s="174" t="s">
        <v>274</v>
      </c>
      <c r="B221" s="190" t="s">
        <v>176</v>
      </c>
      <c r="C221" s="191"/>
      <c r="D221" s="170"/>
    </row>
    <row r="222" ht="15.75" customHeight="1">
      <c r="A222" s="174" t="s">
        <v>856</v>
      </c>
      <c r="B222" s="189" t="s">
        <v>176</v>
      </c>
      <c r="C222" s="191"/>
      <c r="D222" s="170"/>
    </row>
    <row r="223" ht="15.75" customHeight="1">
      <c r="A223" s="168" t="s">
        <v>966</v>
      </c>
      <c r="B223" s="186" t="s">
        <v>176</v>
      </c>
      <c r="C223" s="173"/>
      <c r="D223" s="173"/>
    </row>
    <row r="224" ht="15.75" customHeight="1">
      <c r="A224" s="168" t="s">
        <v>973</v>
      </c>
      <c r="B224" s="189" t="s">
        <v>176</v>
      </c>
      <c r="C224" s="167"/>
      <c r="D224" s="167"/>
    </row>
    <row r="225" ht="15.75" customHeight="1">
      <c r="A225" s="168" t="s">
        <v>1130</v>
      </c>
      <c r="B225" s="190" t="s">
        <v>176</v>
      </c>
      <c r="C225" s="167"/>
      <c r="D225" s="167"/>
    </row>
    <row r="226" ht="15.75" customHeight="1">
      <c r="A226" s="168" t="s">
        <v>1321</v>
      </c>
      <c r="B226" s="190" t="s">
        <v>176</v>
      </c>
      <c r="C226" s="167"/>
      <c r="D226" s="167"/>
    </row>
    <row r="227" ht="15.75" customHeight="1">
      <c r="A227" s="168" t="s">
        <v>2035</v>
      </c>
      <c r="B227" s="186" t="s">
        <v>176</v>
      </c>
      <c r="C227" s="173"/>
      <c r="D227" s="173"/>
    </row>
    <row r="228" ht="15.75" customHeight="1">
      <c r="A228" s="168" t="s">
        <v>1377</v>
      </c>
      <c r="B228" s="186" t="s">
        <v>176</v>
      </c>
      <c r="C228" s="173"/>
      <c r="D228" s="173"/>
    </row>
    <row r="229" ht="15.75" customHeight="1">
      <c r="A229" s="168" t="s">
        <v>1379</v>
      </c>
      <c r="B229" s="186" t="s">
        <v>176</v>
      </c>
      <c r="C229" s="173"/>
      <c r="D229" s="173"/>
    </row>
    <row r="230" ht="15.75" customHeight="1">
      <c r="A230" s="174" t="s">
        <v>1380</v>
      </c>
      <c r="B230" s="186" t="s">
        <v>176</v>
      </c>
      <c r="C230" s="180"/>
      <c r="D230" s="180"/>
    </row>
    <row r="231" ht="15.75" customHeight="1">
      <c r="A231" s="174" t="s">
        <v>1381</v>
      </c>
      <c r="B231" s="186" t="s">
        <v>176</v>
      </c>
      <c r="C231" s="180"/>
      <c r="D231" s="180"/>
    </row>
    <row r="232" ht="15.75" customHeight="1">
      <c r="A232" s="174" t="s">
        <v>1730</v>
      </c>
      <c r="B232" s="184" t="s">
        <v>176</v>
      </c>
      <c r="C232" s="180"/>
      <c r="D232" s="180"/>
    </row>
    <row r="233" ht="15.75" customHeight="1">
      <c r="A233" s="168" t="s">
        <v>1738</v>
      </c>
      <c r="B233" s="186" t="s">
        <v>176</v>
      </c>
      <c r="C233" s="173"/>
      <c r="D233" s="173"/>
    </row>
    <row r="234" ht="15.75" customHeight="1">
      <c r="A234" s="172" t="s">
        <v>2036</v>
      </c>
      <c r="B234" s="189" t="s">
        <v>87</v>
      </c>
      <c r="C234" s="191" t="s">
        <v>2012</v>
      </c>
      <c r="D234" s="170"/>
    </row>
    <row r="235" ht="15.75" customHeight="1">
      <c r="A235" s="168" t="s">
        <v>97</v>
      </c>
      <c r="B235" s="189" t="s">
        <v>87</v>
      </c>
      <c r="C235" s="167"/>
      <c r="D235" s="167"/>
    </row>
    <row r="236" ht="15.75" customHeight="1">
      <c r="A236" s="174" t="s">
        <v>426</v>
      </c>
      <c r="B236" s="186" t="s">
        <v>87</v>
      </c>
      <c r="C236" s="180"/>
      <c r="D236" s="180"/>
    </row>
    <row r="237" ht="15.75" customHeight="1">
      <c r="A237" s="168" t="s">
        <v>496</v>
      </c>
      <c r="B237" s="186" t="s">
        <v>87</v>
      </c>
      <c r="C237" s="173"/>
      <c r="D237" s="173"/>
    </row>
    <row r="238" ht="15.75" customHeight="1">
      <c r="A238" s="168" t="s">
        <v>497</v>
      </c>
      <c r="B238" s="189" t="s">
        <v>87</v>
      </c>
      <c r="C238" s="193"/>
      <c r="D238" s="193"/>
    </row>
    <row r="239" ht="15.75" customHeight="1">
      <c r="A239" s="168" t="s">
        <v>501</v>
      </c>
      <c r="B239" s="186" t="s">
        <v>87</v>
      </c>
      <c r="C239" s="173"/>
      <c r="D239" s="173"/>
    </row>
    <row r="240" ht="15.75" customHeight="1">
      <c r="A240" s="174" t="s">
        <v>2037</v>
      </c>
      <c r="B240" s="186" t="s">
        <v>87</v>
      </c>
      <c r="C240" s="180"/>
      <c r="D240" s="180"/>
    </row>
    <row r="241" ht="15.75" customHeight="1">
      <c r="A241" s="174" t="s">
        <v>2038</v>
      </c>
      <c r="B241" s="186" t="s">
        <v>87</v>
      </c>
      <c r="C241" s="180"/>
      <c r="D241" s="180"/>
    </row>
    <row r="242" ht="15.75" customHeight="1">
      <c r="A242" s="168" t="s">
        <v>790</v>
      </c>
      <c r="B242" s="186" t="s">
        <v>87</v>
      </c>
      <c r="C242" s="173"/>
      <c r="D242" s="173"/>
    </row>
    <row r="243" ht="15.75" customHeight="1">
      <c r="A243" s="168" t="s">
        <v>2039</v>
      </c>
      <c r="B243" s="184" t="s">
        <v>87</v>
      </c>
      <c r="C243" s="173"/>
      <c r="D243" s="173"/>
    </row>
    <row r="244" ht="15.75" customHeight="1">
      <c r="A244" s="168" t="s">
        <v>1457</v>
      </c>
      <c r="B244" s="184" t="s">
        <v>87</v>
      </c>
      <c r="C244" s="173"/>
      <c r="D244" s="173"/>
    </row>
    <row r="245" ht="15.75" customHeight="1">
      <c r="A245" s="168" t="s">
        <v>1608</v>
      </c>
      <c r="B245" s="184" t="s">
        <v>87</v>
      </c>
      <c r="C245" s="173"/>
      <c r="D245" s="173"/>
    </row>
    <row r="246" ht="15.75" customHeight="1">
      <c r="A246" s="168" t="s">
        <v>1847</v>
      </c>
      <c r="B246" s="184" t="s">
        <v>87</v>
      </c>
      <c r="C246" s="173"/>
      <c r="D246" s="173"/>
    </row>
    <row r="247" ht="15.75" customHeight="1">
      <c r="A247" s="168" t="s">
        <v>1916</v>
      </c>
      <c r="B247" s="184" t="s">
        <v>87</v>
      </c>
      <c r="C247" s="173"/>
      <c r="D247" s="173"/>
    </row>
    <row r="248" ht="15.75" customHeight="1">
      <c r="A248" s="174" t="s">
        <v>2040</v>
      </c>
      <c r="B248" s="186" t="s">
        <v>90</v>
      </c>
      <c r="C248" s="180" t="s">
        <v>2012</v>
      </c>
      <c r="D248" s="180"/>
    </row>
    <row r="249" ht="15.75" customHeight="1">
      <c r="A249" s="168" t="s">
        <v>104</v>
      </c>
      <c r="B249" s="189" t="s">
        <v>90</v>
      </c>
      <c r="C249" s="167"/>
      <c r="D249" s="167"/>
    </row>
    <row r="250" ht="15.75" customHeight="1">
      <c r="A250" s="168" t="s">
        <v>105</v>
      </c>
      <c r="B250" s="186" t="s">
        <v>90</v>
      </c>
      <c r="C250" s="180"/>
      <c r="D250" s="180"/>
    </row>
    <row r="251" ht="15.75" customHeight="1">
      <c r="A251" s="168" t="s">
        <v>2041</v>
      </c>
      <c r="B251" s="186" t="s">
        <v>90</v>
      </c>
      <c r="C251" s="173"/>
      <c r="D251" s="173"/>
    </row>
    <row r="252" ht="15.75" customHeight="1">
      <c r="A252" s="174" t="s">
        <v>339</v>
      </c>
      <c r="B252" s="189" t="s">
        <v>90</v>
      </c>
      <c r="C252" s="170"/>
      <c r="D252" s="170"/>
    </row>
    <row r="253" ht="15.75" customHeight="1">
      <c r="A253" s="174" t="s">
        <v>566</v>
      </c>
      <c r="B253" s="186" t="s">
        <v>90</v>
      </c>
      <c r="C253" s="180"/>
      <c r="D253" s="180"/>
    </row>
    <row r="254" ht="15.75" customHeight="1">
      <c r="A254" s="168" t="s">
        <v>935</v>
      </c>
      <c r="B254" s="186" t="s">
        <v>90</v>
      </c>
      <c r="C254" s="173"/>
      <c r="D254" s="173"/>
    </row>
    <row r="255" ht="15.75" customHeight="1">
      <c r="A255" s="168" t="s">
        <v>1388</v>
      </c>
      <c r="B255" s="186" t="s">
        <v>90</v>
      </c>
      <c r="C255" s="173"/>
      <c r="D255" s="173"/>
    </row>
    <row r="256" ht="15.75" customHeight="1">
      <c r="A256" s="174" t="s">
        <v>1403</v>
      </c>
      <c r="B256" s="186" t="s">
        <v>90</v>
      </c>
      <c r="C256" s="180"/>
      <c r="D256" s="180"/>
    </row>
    <row r="257" ht="15.75" customHeight="1">
      <c r="A257" s="174" t="s">
        <v>1915</v>
      </c>
      <c r="B257" s="186" t="s">
        <v>90</v>
      </c>
      <c r="C257" s="180"/>
      <c r="D257" s="180"/>
    </row>
    <row r="258" ht="15.75" customHeight="1">
      <c r="A258" s="174" t="s">
        <v>2042</v>
      </c>
      <c r="B258" s="184" t="s">
        <v>90</v>
      </c>
      <c r="C258" s="180"/>
      <c r="D258" s="180"/>
    </row>
    <row r="259" ht="15.75" customHeight="1">
      <c r="A259" s="168" t="s">
        <v>20</v>
      </c>
      <c r="B259" s="175" t="s">
        <v>21</v>
      </c>
      <c r="C259" s="194" t="s">
        <v>2043</v>
      </c>
      <c r="D259" s="173"/>
    </row>
    <row r="260" ht="15.75" customHeight="1">
      <c r="A260" s="168" t="s">
        <v>56</v>
      </c>
      <c r="B260" s="176" t="s">
        <v>21</v>
      </c>
      <c r="C260" s="173"/>
      <c r="D260" s="173"/>
    </row>
    <row r="261" ht="15.75" customHeight="1">
      <c r="A261" s="174" t="s">
        <v>57</v>
      </c>
      <c r="B261" s="169" t="s">
        <v>21</v>
      </c>
      <c r="C261" s="170"/>
      <c r="D261" s="170"/>
    </row>
    <row r="262" ht="15.75" customHeight="1">
      <c r="A262" s="168" t="s">
        <v>58</v>
      </c>
      <c r="B262" s="176" t="s">
        <v>21</v>
      </c>
      <c r="C262" s="167"/>
      <c r="D262" s="167"/>
    </row>
    <row r="263" ht="15.75" customHeight="1">
      <c r="A263" s="168" t="s">
        <v>115</v>
      </c>
      <c r="B263" s="168" t="s">
        <v>21</v>
      </c>
      <c r="C263" s="173"/>
      <c r="D263" s="173"/>
    </row>
    <row r="264" ht="15.75" customHeight="1">
      <c r="A264" s="168" t="s">
        <v>139</v>
      </c>
      <c r="B264" s="176" t="s">
        <v>21</v>
      </c>
      <c r="C264" s="167"/>
      <c r="D264" s="167"/>
    </row>
    <row r="265" ht="15.75" customHeight="1">
      <c r="A265" s="174" t="s">
        <v>287</v>
      </c>
      <c r="B265" s="172" t="s">
        <v>21</v>
      </c>
      <c r="C265" s="195"/>
      <c r="D265" s="195"/>
    </row>
    <row r="266" ht="15.75" customHeight="1">
      <c r="A266" s="174" t="s">
        <v>305</v>
      </c>
      <c r="B266" s="172" t="s">
        <v>21</v>
      </c>
      <c r="C266" s="180"/>
      <c r="D266" s="180"/>
    </row>
    <row r="267" ht="15.75" customHeight="1">
      <c r="A267" s="174" t="s">
        <v>316</v>
      </c>
      <c r="B267" s="172" t="s">
        <v>21</v>
      </c>
      <c r="C267" s="180"/>
      <c r="D267" s="180"/>
    </row>
    <row r="268" ht="15.75" customHeight="1">
      <c r="A268" s="174" t="s">
        <v>334</v>
      </c>
      <c r="B268" s="174" t="s">
        <v>21</v>
      </c>
      <c r="C268" s="180"/>
      <c r="D268" s="180"/>
    </row>
    <row r="269" ht="15.75" customHeight="1">
      <c r="A269" s="168" t="s">
        <v>2044</v>
      </c>
      <c r="B269" s="176" t="s">
        <v>21</v>
      </c>
      <c r="C269" s="167"/>
      <c r="D269" s="167"/>
    </row>
    <row r="270" ht="15.75" customHeight="1">
      <c r="A270" s="168" t="s">
        <v>2045</v>
      </c>
      <c r="B270" s="175" t="s">
        <v>21</v>
      </c>
      <c r="C270" s="173"/>
      <c r="D270" s="173"/>
    </row>
    <row r="271" ht="15.75" customHeight="1">
      <c r="A271" s="168" t="s">
        <v>541</v>
      </c>
      <c r="B271" s="168" t="s">
        <v>21</v>
      </c>
      <c r="C271" s="173"/>
      <c r="D271" s="173"/>
    </row>
    <row r="272" ht="15.75" customHeight="1">
      <c r="A272" s="168" t="s">
        <v>575</v>
      </c>
      <c r="B272" s="168" t="s">
        <v>21</v>
      </c>
      <c r="C272" s="173"/>
      <c r="D272" s="173"/>
    </row>
    <row r="273" ht="15.75" customHeight="1">
      <c r="A273" s="168" t="s">
        <v>794</v>
      </c>
      <c r="B273" s="172" t="s">
        <v>21</v>
      </c>
      <c r="C273" s="180"/>
      <c r="D273" s="180"/>
    </row>
    <row r="274" ht="15.75" customHeight="1">
      <c r="A274" s="168" t="s">
        <v>872</v>
      </c>
      <c r="B274" s="174" t="s">
        <v>21</v>
      </c>
      <c r="C274" s="180"/>
      <c r="D274" s="180"/>
    </row>
    <row r="275" ht="15.75" customHeight="1">
      <c r="A275" s="168" t="s">
        <v>938</v>
      </c>
      <c r="B275" s="174" t="s">
        <v>21</v>
      </c>
      <c r="C275" s="180"/>
      <c r="D275" s="180"/>
    </row>
    <row r="276" ht="15.75" customHeight="1">
      <c r="A276" s="174" t="s">
        <v>960</v>
      </c>
      <c r="B276" s="172" t="s">
        <v>21</v>
      </c>
      <c r="C276" s="173"/>
      <c r="D276" s="173"/>
    </row>
    <row r="277" ht="15.75" customHeight="1">
      <c r="A277" s="168" t="s">
        <v>1022</v>
      </c>
      <c r="B277" s="175" t="s">
        <v>21</v>
      </c>
      <c r="C277" s="173"/>
      <c r="D277" s="173"/>
    </row>
    <row r="278" ht="15.75" customHeight="1">
      <c r="A278" s="174" t="s">
        <v>2046</v>
      </c>
      <c r="B278" s="174" t="s">
        <v>21</v>
      </c>
      <c r="C278" s="180"/>
      <c r="D278" s="180"/>
    </row>
    <row r="279" ht="15.75" customHeight="1">
      <c r="A279" s="168" t="s">
        <v>1194</v>
      </c>
      <c r="B279" s="175" t="s">
        <v>21</v>
      </c>
      <c r="C279" s="173"/>
      <c r="D279" s="173"/>
    </row>
    <row r="280" ht="15.75" customHeight="1">
      <c r="A280" s="168" t="s">
        <v>2047</v>
      </c>
      <c r="B280" s="168" t="s">
        <v>21</v>
      </c>
      <c r="C280" s="173"/>
      <c r="D280" s="173"/>
    </row>
    <row r="281" ht="15.75" customHeight="1">
      <c r="A281" s="168" t="s">
        <v>2048</v>
      </c>
      <c r="B281" s="175" t="s">
        <v>21</v>
      </c>
      <c r="C281" s="193"/>
      <c r="D281" s="193"/>
    </row>
    <row r="282" ht="15.75" customHeight="1">
      <c r="A282" s="174" t="s">
        <v>1307</v>
      </c>
      <c r="B282" s="171" t="s">
        <v>21</v>
      </c>
      <c r="C282" s="170"/>
      <c r="D282" s="170"/>
    </row>
    <row r="283" ht="15.75" customHeight="1">
      <c r="A283" s="174" t="s">
        <v>1338</v>
      </c>
      <c r="B283" s="175" t="s">
        <v>21</v>
      </c>
      <c r="C283" s="170"/>
      <c r="D283" s="170"/>
    </row>
    <row r="284" ht="15.75" customHeight="1">
      <c r="A284" s="174" t="s">
        <v>2049</v>
      </c>
      <c r="B284" s="171" t="s">
        <v>21</v>
      </c>
      <c r="C284" s="170"/>
      <c r="D284" s="170"/>
    </row>
    <row r="285" ht="15.75" customHeight="1">
      <c r="A285" s="174" t="s">
        <v>2050</v>
      </c>
      <c r="B285" s="175" t="s">
        <v>21</v>
      </c>
      <c r="C285" s="170"/>
      <c r="D285" s="170"/>
    </row>
    <row r="286" ht="15.75" customHeight="1">
      <c r="A286" s="174" t="s">
        <v>1365</v>
      </c>
      <c r="B286" s="171" t="s">
        <v>21</v>
      </c>
      <c r="C286" s="170"/>
      <c r="D286" s="170"/>
    </row>
    <row r="287" ht="15.75" customHeight="1">
      <c r="A287" s="174" t="s">
        <v>1421</v>
      </c>
      <c r="B287" s="171" t="s">
        <v>21</v>
      </c>
      <c r="C287" s="170"/>
      <c r="D287" s="170"/>
    </row>
    <row r="288" ht="15.75" customHeight="1">
      <c r="A288" s="174" t="s">
        <v>1441</v>
      </c>
      <c r="B288" s="175" t="s">
        <v>21</v>
      </c>
      <c r="C288" s="170"/>
      <c r="D288" s="170"/>
    </row>
    <row r="289" ht="15.75" customHeight="1">
      <c r="A289" s="174" t="s">
        <v>1452</v>
      </c>
      <c r="B289" s="171" t="s">
        <v>21</v>
      </c>
      <c r="C289" s="170"/>
      <c r="D289" s="170"/>
    </row>
    <row r="290" ht="15.75" customHeight="1">
      <c r="A290" s="174" t="s">
        <v>1497</v>
      </c>
      <c r="B290" s="175" t="s">
        <v>21</v>
      </c>
      <c r="C290" s="170"/>
      <c r="D290" s="170"/>
    </row>
    <row r="291" ht="15.75" customHeight="1">
      <c r="A291" s="174" t="s">
        <v>1516</v>
      </c>
      <c r="B291" s="171" t="s">
        <v>21</v>
      </c>
      <c r="C291" s="170"/>
      <c r="D291" s="170"/>
    </row>
    <row r="292" ht="15.75" customHeight="1">
      <c r="A292" s="174" t="s">
        <v>1549</v>
      </c>
      <c r="B292" s="175" t="s">
        <v>21</v>
      </c>
      <c r="C292" s="170"/>
      <c r="D292" s="170"/>
    </row>
    <row r="293" ht="15.75" customHeight="1">
      <c r="A293" s="174" t="s">
        <v>1593</v>
      </c>
      <c r="B293" s="175" t="s">
        <v>21</v>
      </c>
      <c r="C293" s="170"/>
      <c r="D293" s="170"/>
    </row>
    <row r="294" ht="15.75" customHeight="1">
      <c r="A294" s="174" t="s">
        <v>1594</v>
      </c>
      <c r="B294" s="171" t="s">
        <v>21</v>
      </c>
      <c r="C294" s="170"/>
      <c r="D294" s="170"/>
    </row>
    <row r="295" ht="15.75" customHeight="1">
      <c r="A295" s="174" t="s">
        <v>1615</v>
      </c>
      <c r="B295" s="175" t="s">
        <v>21</v>
      </c>
      <c r="C295" s="170"/>
      <c r="D295" s="170"/>
    </row>
    <row r="296" ht="15.75" customHeight="1">
      <c r="A296" s="174" t="s">
        <v>1693</v>
      </c>
      <c r="B296" s="171" t="s">
        <v>21</v>
      </c>
      <c r="C296" s="170"/>
      <c r="D296" s="170"/>
    </row>
    <row r="297" ht="15.75" customHeight="1">
      <c r="A297" s="174" t="s">
        <v>2051</v>
      </c>
      <c r="B297" s="175" t="s">
        <v>21</v>
      </c>
      <c r="C297" s="170"/>
      <c r="D297" s="170"/>
    </row>
    <row r="298" ht="15.75" customHeight="1">
      <c r="A298" s="174" t="s">
        <v>1743</v>
      </c>
      <c r="B298" s="171" t="s">
        <v>21</v>
      </c>
      <c r="C298" s="170"/>
      <c r="D298" s="170"/>
    </row>
    <row r="299" ht="15.75" customHeight="1">
      <c r="A299" s="174" t="s">
        <v>1772</v>
      </c>
      <c r="B299" s="175" t="s">
        <v>21</v>
      </c>
      <c r="C299" s="170"/>
      <c r="D299" s="170"/>
    </row>
    <row r="300" ht="15.75" customHeight="1">
      <c r="A300" s="174" t="s">
        <v>1806</v>
      </c>
      <c r="B300" s="171" t="s">
        <v>21</v>
      </c>
      <c r="C300" s="170"/>
      <c r="D300" s="170"/>
    </row>
    <row r="301" ht="15.75" customHeight="1">
      <c r="A301" s="174" t="s">
        <v>1839</v>
      </c>
      <c r="B301" s="171" t="s">
        <v>21</v>
      </c>
      <c r="C301" s="170"/>
      <c r="D301" s="170"/>
    </row>
    <row r="302" ht="15.75" customHeight="1">
      <c r="A302" s="174" t="s">
        <v>1859</v>
      </c>
      <c r="B302" s="175" t="s">
        <v>21</v>
      </c>
      <c r="C302" s="170"/>
      <c r="D302" s="170"/>
    </row>
    <row r="303" ht="15.75" customHeight="1">
      <c r="A303" s="174" t="s">
        <v>1890</v>
      </c>
      <c r="B303" s="171" t="s">
        <v>21</v>
      </c>
      <c r="C303" s="170"/>
      <c r="D303" s="170"/>
    </row>
    <row r="304" ht="15.75" customHeight="1">
      <c r="A304" s="174" t="s">
        <v>1900</v>
      </c>
      <c r="B304" s="171" t="s">
        <v>21</v>
      </c>
      <c r="C304" s="170"/>
      <c r="D304" s="170"/>
    </row>
    <row r="305" ht="15.75" customHeight="1">
      <c r="A305" s="174" t="s">
        <v>1905</v>
      </c>
      <c r="B305" s="175" t="s">
        <v>21</v>
      </c>
      <c r="C305" s="170"/>
      <c r="D305" s="170"/>
    </row>
    <row r="306" ht="15.75" customHeight="1">
      <c r="A306" s="174" t="s">
        <v>1906</v>
      </c>
      <c r="B306" s="171" t="s">
        <v>21</v>
      </c>
      <c r="C306" s="170"/>
      <c r="D306" s="170"/>
    </row>
    <row r="307" ht="15.75" customHeight="1">
      <c r="A307" s="174" t="s">
        <v>1907</v>
      </c>
      <c r="B307" s="171" t="s">
        <v>21</v>
      </c>
      <c r="C307" s="170"/>
      <c r="D307" s="170"/>
    </row>
    <row r="308" ht="15.75" customHeight="1">
      <c r="A308" s="174" t="s">
        <v>2052</v>
      </c>
      <c r="B308" s="175" t="s">
        <v>21</v>
      </c>
      <c r="C308" s="170"/>
      <c r="D308" s="170"/>
    </row>
    <row r="309" ht="15.75" customHeight="1">
      <c r="A309" s="174" t="s">
        <v>2053</v>
      </c>
      <c r="B309" s="171" t="s">
        <v>21</v>
      </c>
      <c r="C309" s="170"/>
      <c r="D309" s="170"/>
    </row>
    <row r="310" ht="15.75" customHeight="1">
      <c r="A310" s="174" t="s">
        <v>1917</v>
      </c>
      <c r="B310" s="175" t="s">
        <v>21</v>
      </c>
      <c r="C310" s="170"/>
      <c r="D310" s="170"/>
    </row>
    <row r="311" ht="15.75" customHeight="1">
      <c r="A311" s="174" t="s">
        <v>1951</v>
      </c>
      <c r="B311" s="175" t="s">
        <v>21</v>
      </c>
      <c r="C311" s="170"/>
      <c r="D311" s="170"/>
    </row>
    <row r="312" ht="15.75" customHeight="1">
      <c r="A312" s="168" t="s">
        <v>41</v>
      </c>
      <c r="B312" s="168" t="s">
        <v>42</v>
      </c>
      <c r="C312" s="194" t="s">
        <v>2054</v>
      </c>
      <c r="D312" s="173"/>
    </row>
    <row r="313" ht="15.75" customHeight="1">
      <c r="A313" s="168" t="s">
        <v>92</v>
      </c>
      <c r="B313" s="168" t="s">
        <v>42</v>
      </c>
      <c r="C313" s="194"/>
      <c r="D313" s="173"/>
    </row>
    <row r="314" ht="15.75" customHeight="1">
      <c r="A314" s="168" t="s">
        <v>93</v>
      </c>
      <c r="B314" s="175" t="s">
        <v>42</v>
      </c>
      <c r="C314" s="194"/>
      <c r="D314" s="173"/>
    </row>
    <row r="315" ht="15.75" customHeight="1">
      <c r="A315" s="174" t="s">
        <v>94</v>
      </c>
      <c r="B315" s="169" t="s">
        <v>42</v>
      </c>
      <c r="C315" s="170"/>
      <c r="D315" s="170"/>
    </row>
    <row r="316" ht="15.75" customHeight="1">
      <c r="A316" s="174" t="s">
        <v>95</v>
      </c>
      <c r="B316" s="169" t="s">
        <v>42</v>
      </c>
      <c r="C316" s="170"/>
      <c r="D316" s="170"/>
    </row>
    <row r="317" ht="15.75" customHeight="1">
      <c r="A317" s="174" t="s">
        <v>96</v>
      </c>
      <c r="B317" s="172" t="s">
        <v>42</v>
      </c>
      <c r="C317" s="180"/>
      <c r="D317" s="180"/>
    </row>
    <row r="318" ht="15.75" customHeight="1">
      <c r="A318" s="174" t="s">
        <v>98</v>
      </c>
      <c r="B318" s="174" t="s">
        <v>42</v>
      </c>
      <c r="C318" s="180"/>
      <c r="D318" s="180"/>
    </row>
    <row r="319" ht="15.75" customHeight="1">
      <c r="A319" s="174" t="s">
        <v>117</v>
      </c>
      <c r="B319" s="169" t="s">
        <v>42</v>
      </c>
      <c r="C319" s="170"/>
      <c r="D319" s="170"/>
    </row>
    <row r="320" ht="15.75" customHeight="1">
      <c r="A320" s="168" t="s">
        <v>140</v>
      </c>
      <c r="B320" s="175" t="s">
        <v>42</v>
      </c>
      <c r="C320" s="173"/>
      <c r="D320" s="173"/>
    </row>
    <row r="321" ht="15.75" customHeight="1">
      <c r="A321" s="168" t="s">
        <v>190</v>
      </c>
      <c r="B321" s="175" t="s">
        <v>42</v>
      </c>
      <c r="C321" s="173"/>
      <c r="D321" s="173"/>
    </row>
    <row r="322" ht="15.75" customHeight="1">
      <c r="A322" s="174" t="s">
        <v>223</v>
      </c>
      <c r="B322" s="169" t="s">
        <v>42</v>
      </c>
      <c r="C322" s="170"/>
      <c r="D322" s="170"/>
    </row>
    <row r="323" ht="15.75" customHeight="1">
      <c r="A323" s="168" t="s">
        <v>228</v>
      </c>
      <c r="B323" s="176" t="s">
        <v>42</v>
      </c>
      <c r="C323" s="167"/>
      <c r="D323" s="167"/>
    </row>
    <row r="324" ht="15.75" customHeight="1">
      <c r="A324" s="174" t="s">
        <v>434</v>
      </c>
      <c r="B324" s="172" t="s">
        <v>42</v>
      </c>
      <c r="C324" s="180"/>
      <c r="D324" s="180"/>
    </row>
    <row r="325" ht="15.75" customHeight="1">
      <c r="A325" s="168" t="s">
        <v>482</v>
      </c>
      <c r="B325" s="175" t="s">
        <v>42</v>
      </c>
      <c r="C325" s="173"/>
      <c r="D325" s="173"/>
    </row>
    <row r="326" ht="15.75" customHeight="1">
      <c r="A326" s="174" t="s">
        <v>508</v>
      </c>
      <c r="B326" s="172" t="s">
        <v>42</v>
      </c>
      <c r="C326" s="180"/>
      <c r="D326" s="180"/>
    </row>
    <row r="327" ht="15.75" customHeight="1">
      <c r="A327" s="174" t="s">
        <v>514</v>
      </c>
      <c r="B327" s="172" t="s">
        <v>42</v>
      </c>
      <c r="C327" s="180"/>
      <c r="D327" s="180"/>
    </row>
    <row r="328" ht="15.75" customHeight="1">
      <c r="A328" s="168" t="s">
        <v>549</v>
      </c>
      <c r="B328" s="175" t="s">
        <v>42</v>
      </c>
      <c r="C328" s="173"/>
      <c r="D328" s="173"/>
    </row>
    <row r="329" ht="15.75" customHeight="1">
      <c r="A329" s="174" t="s">
        <v>556</v>
      </c>
      <c r="B329" s="172" t="s">
        <v>42</v>
      </c>
      <c r="C329" s="180"/>
      <c r="D329" s="180"/>
    </row>
    <row r="330" ht="15.75" customHeight="1">
      <c r="A330" s="174" t="s">
        <v>671</v>
      </c>
      <c r="B330" s="174" t="s">
        <v>42</v>
      </c>
      <c r="C330" s="180"/>
      <c r="D330" s="180"/>
    </row>
    <row r="331" ht="15.75" customHeight="1">
      <c r="A331" s="168" t="s">
        <v>733</v>
      </c>
      <c r="B331" s="175" t="s">
        <v>42</v>
      </c>
      <c r="C331" s="173"/>
      <c r="D331" s="173"/>
    </row>
    <row r="332" ht="15.75" customHeight="1">
      <c r="A332" s="168" t="s">
        <v>812</v>
      </c>
      <c r="B332" s="175" t="s">
        <v>42</v>
      </c>
      <c r="C332" s="173"/>
      <c r="D332" s="173"/>
    </row>
    <row r="333" ht="15.75" customHeight="1">
      <c r="A333" s="174" t="s">
        <v>831</v>
      </c>
      <c r="B333" s="174" t="s">
        <v>42</v>
      </c>
      <c r="C333" s="173"/>
      <c r="D333" s="173"/>
    </row>
    <row r="334" ht="15.75" customHeight="1">
      <c r="A334" s="174" t="s">
        <v>844</v>
      </c>
      <c r="B334" s="172" t="s">
        <v>42</v>
      </c>
      <c r="C334" s="180"/>
      <c r="D334" s="180"/>
    </row>
    <row r="335" ht="15.75" customHeight="1">
      <c r="A335" s="174" t="s">
        <v>861</v>
      </c>
      <c r="B335" s="174" t="s">
        <v>42</v>
      </c>
      <c r="C335" s="180"/>
      <c r="D335" s="180"/>
    </row>
    <row r="336" ht="15.75" customHeight="1">
      <c r="A336" s="174" t="s">
        <v>892</v>
      </c>
      <c r="B336" s="172" t="s">
        <v>42</v>
      </c>
      <c r="C336" s="180"/>
      <c r="D336" s="180"/>
    </row>
    <row r="337" ht="15.75" customHeight="1">
      <c r="A337" s="174" t="s">
        <v>893</v>
      </c>
      <c r="B337" s="174" t="s">
        <v>42</v>
      </c>
      <c r="C337" s="180"/>
      <c r="D337" s="180"/>
    </row>
    <row r="338" ht="15.75" customHeight="1">
      <c r="A338" s="174" t="s">
        <v>932</v>
      </c>
      <c r="B338" s="174" t="s">
        <v>42</v>
      </c>
      <c r="C338" s="180"/>
      <c r="D338" s="180"/>
    </row>
    <row r="339" ht="15.75" customHeight="1">
      <c r="A339" s="168" t="s">
        <v>937</v>
      </c>
      <c r="B339" s="175" t="s">
        <v>42</v>
      </c>
      <c r="C339" s="173"/>
      <c r="D339" s="173"/>
    </row>
    <row r="340" ht="15.75" customHeight="1">
      <c r="A340" s="174" t="s">
        <v>999</v>
      </c>
      <c r="B340" s="172" t="s">
        <v>42</v>
      </c>
      <c r="C340" s="173"/>
      <c r="D340" s="173"/>
    </row>
    <row r="341" ht="15.75" customHeight="1">
      <c r="A341" s="168" t="s">
        <v>1028</v>
      </c>
      <c r="B341" s="175" t="s">
        <v>42</v>
      </c>
      <c r="C341" s="173"/>
      <c r="D341" s="173"/>
    </row>
    <row r="342" ht="15.75" customHeight="1">
      <c r="A342" s="174" t="s">
        <v>2055</v>
      </c>
      <c r="B342" s="172" t="s">
        <v>42</v>
      </c>
      <c r="C342" s="180"/>
      <c r="D342" s="180"/>
    </row>
    <row r="343" ht="15.75" customHeight="1">
      <c r="A343" s="168" t="s">
        <v>1091</v>
      </c>
      <c r="B343" s="175" t="s">
        <v>42</v>
      </c>
      <c r="C343" s="180"/>
      <c r="D343" s="180"/>
    </row>
    <row r="344" ht="15.75" customHeight="1">
      <c r="A344" s="168" t="s">
        <v>1098</v>
      </c>
      <c r="B344" s="175" t="s">
        <v>42</v>
      </c>
      <c r="C344" s="180"/>
      <c r="D344" s="180"/>
    </row>
    <row r="345" ht="15.75" customHeight="1">
      <c r="A345" s="168" t="s">
        <v>1099</v>
      </c>
      <c r="B345" s="172" t="s">
        <v>42</v>
      </c>
      <c r="C345" s="180"/>
      <c r="D345" s="180"/>
    </row>
    <row r="346" ht="15.75" customHeight="1">
      <c r="A346" s="168" t="s">
        <v>2056</v>
      </c>
      <c r="B346" s="174" t="s">
        <v>42</v>
      </c>
      <c r="C346" s="180"/>
      <c r="D346" s="180"/>
    </row>
    <row r="347" ht="15.75" customHeight="1">
      <c r="A347" s="168" t="s">
        <v>1175</v>
      </c>
      <c r="B347" s="175" t="s">
        <v>42</v>
      </c>
      <c r="C347" s="180"/>
      <c r="D347" s="180"/>
    </row>
    <row r="348" ht="15.75" customHeight="1">
      <c r="A348" s="168" t="s">
        <v>1205</v>
      </c>
      <c r="B348" s="172" t="s">
        <v>42</v>
      </c>
      <c r="C348" s="180"/>
      <c r="D348" s="180"/>
    </row>
    <row r="349" ht="15.75" customHeight="1">
      <c r="A349" s="168" t="s">
        <v>1337</v>
      </c>
      <c r="B349" s="175" t="s">
        <v>42</v>
      </c>
      <c r="C349" s="180"/>
      <c r="D349" s="180"/>
    </row>
    <row r="350" ht="15.75" customHeight="1">
      <c r="A350" s="168" t="s">
        <v>1342</v>
      </c>
      <c r="B350" s="172" t="s">
        <v>42</v>
      </c>
      <c r="C350" s="180"/>
      <c r="D350" s="180"/>
    </row>
    <row r="351" ht="15.75" customHeight="1">
      <c r="A351" s="168" t="s">
        <v>1484</v>
      </c>
      <c r="B351" s="175" t="s">
        <v>42</v>
      </c>
      <c r="C351" s="180"/>
      <c r="D351" s="180"/>
    </row>
    <row r="352" ht="15.75" customHeight="1">
      <c r="A352" s="168" t="s">
        <v>1524</v>
      </c>
      <c r="B352" s="175" t="s">
        <v>42</v>
      </c>
      <c r="C352" s="180"/>
      <c r="D352" s="180"/>
    </row>
    <row r="353" ht="15.75" customHeight="1">
      <c r="A353" s="168" t="s">
        <v>1651</v>
      </c>
      <c r="B353" s="175" t="s">
        <v>42</v>
      </c>
      <c r="C353" s="180"/>
      <c r="D353" s="180"/>
    </row>
    <row r="354" ht="15.75" customHeight="1">
      <c r="A354" s="168" t="s">
        <v>1715</v>
      </c>
      <c r="B354" s="172" t="s">
        <v>42</v>
      </c>
      <c r="C354" s="180"/>
      <c r="D354" s="180"/>
    </row>
    <row r="355" ht="15.75" customHeight="1">
      <c r="A355" s="168" t="s">
        <v>1844</v>
      </c>
      <c r="B355" s="175" t="s">
        <v>42</v>
      </c>
      <c r="C355" s="180"/>
      <c r="D355" s="180"/>
    </row>
    <row r="356" ht="15.75" customHeight="1">
      <c r="A356" s="168" t="s">
        <v>1851</v>
      </c>
      <c r="B356" s="172" t="s">
        <v>42</v>
      </c>
      <c r="C356" s="180"/>
      <c r="D356" s="180"/>
    </row>
    <row r="357" ht="15.75" customHeight="1">
      <c r="A357" s="168" t="s">
        <v>1897</v>
      </c>
      <c r="B357" s="175" t="s">
        <v>42</v>
      </c>
      <c r="C357" s="180"/>
      <c r="D357" s="180"/>
    </row>
    <row r="358" ht="15.75" customHeight="1">
      <c r="A358" s="168" t="s">
        <v>1964</v>
      </c>
      <c r="B358" s="175" t="s">
        <v>42</v>
      </c>
      <c r="C358" s="180"/>
      <c r="D358" s="180"/>
    </row>
    <row r="359" ht="15.75" customHeight="1">
      <c r="A359" s="168" t="s">
        <v>106</v>
      </c>
      <c r="B359" s="168" t="s">
        <v>107</v>
      </c>
      <c r="C359" s="194" t="s">
        <v>2029</v>
      </c>
      <c r="D359" s="173"/>
    </row>
    <row r="360" ht="15.75" customHeight="1">
      <c r="A360" s="174" t="s">
        <v>236</v>
      </c>
      <c r="B360" s="172" t="s">
        <v>107</v>
      </c>
      <c r="C360" s="167"/>
      <c r="D360" s="167"/>
    </row>
    <row r="361" ht="15.75" customHeight="1">
      <c r="A361" s="174" t="s">
        <v>289</v>
      </c>
      <c r="B361" s="169" t="s">
        <v>107</v>
      </c>
      <c r="C361" s="170"/>
      <c r="D361" s="170"/>
    </row>
    <row r="362" ht="15.75" customHeight="1">
      <c r="A362" s="174" t="s">
        <v>332</v>
      </c>
      <c r="B362" s="169" t="s">
        <v>107</v>
      </c>
      <c r="C362" s="170"/>
      <c r="D362" s="170"/>
    </row>
    <row r="363" ht="15.75" customHeight="1">
      <c r="A363" s="174" t="s">
        <v>336</v>
      </c>
      <c r="B363" s="171" t="s">
        <v>107</v>
      </c>
      <c r="C363" s="170"/>
      <c r="D363" s="170"/>
    </row>
    <row r="364" ht="15.75" customHeight="1">
      <c r="A364" s="168" t="s">
        <v>354</v>
      </c>
      <c r="B364" s="175" t="s">
        <v>107</v>
      </c>
      <c r="C364" s="173"/>
      <c r="D364" s="173"/>
    </row>
    <row r="365" ht="15.75" customHeight="1">
      <c r="A365" s="174" t="s">
        <v>2057</v>
      </c>
      <c r="B365" s="172" t="s">
        <v>107</v>
      </c>
      <c r="C365" s="173"/>
      <c r="D365" s="173"/>
    </row>
    <row r="366" ht="15.75" customHeight="1">
      <c r="A366" s="174" t="s">
        <v>373</v>
      </c>
      <c r="B366" s="172" t="s">
        <v>107</v>
      </c>
      <c r="C366" s="180"/>
      <c r="D366" s="180"/>
    </row>
    <row r="367" ht="15.75" customHeight="1">
      <c r="A367" s="174" t="s">
        <v>399</v>
      </c>
      <c r="B367" s="174" t="s">
        <v>107</v>
      </c>
      <c r="C367" s="180"/>
      <c r="D367" s="180"/>
    </row>
    <row r="368" ht="15.75" customHeight="1">
      <c r="A368" s="168" t="s">
        <v>404</v>
      </c>
      <c r="B368" s="176" t="s">
        <v>107</v>
      </c>
      <c r="C368" s="167"/>
      <c r="D368" s="167"/>
    </row>
    <row r="369" ht="15.75" customHeight="1">
      <c r="A369" s="174" t="s">
        <v>698</v>
      </c>
      <c r="B369" s="169" t="s">
        <v>107</v>
      </c>
      <c r="C369" s="170"/>
      <c r="D369" s="170"/>
    </row>
    <row r="370" ht="15.75" customHeight="1">
      <c r="A370" s="168" t="s">
        <v>701</v>
      </c>
      <c r="B370" s="176" t="s">
        <v>107</v>
      </c>
      <c r="C370" s="167"/>
      <c r="D370" s="167"/>
    </row>
    <row r="371" ht="15.75" customHeight="1">
      <c r="A371" s="174" t="s">
        <v>704</v>
      </c>
      <c r="B371" s="169" t="s">
        <v>107</v>
      </c>
      <c r="C371" s="170"/>
      <c r="D371" s="170"/>
    </row>
    <row r="372" ht="15.75" customHeight="1">
      <c r="A372" s="168" t="s">
        <v>719</v>
      </c>
      <c r="B372" s="175" t="s">
        <v>107</v>
      </c>
      <c r="C372" s="173"/>
      <c r="D372" s="173"/>
    </row>
    <row r="373" ht="15.75" customHeight="1">
      <c r="A373" s="168" t="s">
        <v>2058</v>
      </c>
      <c r="B373" s="175" t="s">
        <v>107</v>
      </c>
      <c r="C373" s="173"/>
      <c r="D373" s="173"/>
    </row>
    <row r="374" ht="15.75" customHeight="1">
      <c r="A374" s="174" t="s">
        <v>744</v>
      </c>
      <c r="B374" s="172" t="s">
        <v>107</v>
      </c>
      <c r="C374" s="180"/>
      <c r="D374" s="180"/>
    </row>
    <row r="375" ht="15.75" customHeight="1">
      <c r="A375" s="174" t="s">
        <v>747</v>
      </c>
      <c r="B375" s="172" t="s">
        <v>107</v>
      </c>
      <c r="C375" s="180"/>
      <c r="D375" s="180"/>
    </row>
    <row r="376" ht="15.75" customHeight="1">
      <c r="A376" s="174" t="s">
        <v>750</v>
      </c>
      <c r="B376" s="172" t="s">
        <v>107</v>
      </c>
      <c r="C376" s="180"/>
      <c r="D376" s="180"/>
    </row>
    <row r="377" ht="15.75" customHeight="1">
      <c r="A377" s="174" t="s">
        <v>752</v>
      </c>
      <c r="B377" s="172" t="s">
        <v>107</v>
      </c>
      <c r="C377" s="180"/>
      <c r="D377" s="180"/>
    </row>
    <row r="378" ht="15.75" customHeight="1">
      <c r="A378" s="174" t="s">
        <v>880</v>
      </c>
      <c r="B378" s="174" t="s">
        <v>107</v>
      </c>
      <c r="C378" s="180"/>
      <c r="D378" s="180"/>
    </row>
    <row r="379" ht="15.75" customHeight="1">
      <c r="A379" s="174" t="s">
        <v>889</v>
      </c>
      <c r="B379" s="174" t="s">
        <v>107</v>
      </c>
      <c r="C379" s="180"/>
      <c r="D379" s="180"/>
    </row>
    <row r="380" ht="15.75" customHeight="1">
      <c r="A380" s="168" t="s">
        <v>951</v>
      </c>
      <c r="B380" s="175" t="s">
        <v>107</v>
      </c>
      <c r="C380" s="173"/>
      <c r="D380" s="173"/>
    </row>
    <row r="381" ht="15.75" customHeight="1">
      <c r="A381" s="168" t="s">
        <v>954</v>
      </c>
      <c r="B381" s="175" t="s">
        <v>107</v>
      </c>
      <c r="C381" s="173"/>
      <c r="D381" s="173"/>
    </row>
    <row r="382" ht="15.75" customHeight="1">
      <c r="A382" s="168" t="s">
        <v>958</v>
      </c>
      <c r="B382" s="175" t="s">
        <v>107</v>
      </c>
      <c r="C382" s="173"/>
      <c r="D382" s="173"/>
    </row>
    <row r="383" ht="15.75" customHeight="1">
      <c r="A383" s="168" t="s">
        <v>967</v>
      </c>
      <c r="B383" s="175" t="s">
        <v>107</v>
      </c>
      <c r="C383" s="173"/>
      <c r="D383" s="173"/>
    </row>
    <row r="384" ht="15.75" customHeight="1">
      <c r="A384" s="174" t="s">
        <v>1010</v>
      </c>
      <c r="B384" s="169" t="s">
        <v>107</v>
      </c>
      <c r="C384" s="167"/>
      <c r="D384" s="167"/>
    </row>
    <row r="385" ht="15.75" customHeight="1">
      <c r="A385" s="168" t="s">
        <v>2059</v>
      </c>
      <c r="B385" s="175" t="s">
        <v>107</v>
      </c>
      <c r="C385" s="173"/>
      <c r="D385" s="173"/>
    </row>
    <row r="386" ht="15.75" customHeight="1">
      <c r="A386" s="168" t="s">
        <v>1050</v>
      </c>
      <c r="B386" s="168" t="s">
        <v>107</v>
      </c>
      <c r="C386" s="173"/>
      <c r="D386" s="173"/>
    </row>
    <row r="387" ht="15.75" customHeight="1">
      <c r="A387" s="168" t="s">
        <v>1087</v>
      </c>
      <c r="B387" s="175" t="s">
        <v>107</v>
      </c>
      <c r="C387" s="173"/>
      <c r="D387" s="173"/>
    </row>
    <row r="388" ht="15.75" customHeight="1">
      <c r="A388" s="174" t="s">
        <v>1090</v>
      </c>
      <c r="B388" s="172" t="s">
        <v>107</v>
      </c>
      <c r="C388" s="180"/>
      <c r="D388" s="180"/>
    </row>
    <row r="389" ht="15.75" customHeight="1">
      <c r="A389" s="168" t="s">
        <v>1336</v>
      </c>
      <c r="B389" s="176" t="s">
        <v>107</v>
      </c>
      <c r="C389" s="170"/>
      <c r="D389" s="170"/>
    </row>
    <row r="390" ht="15.75" customHeight="1">
      <c r="A390" s="168" t="s">
        <v>1344</v>
      </c>
      <c r="B390" s="175" t="s">
        <v>107</v>
      </c>
      <c r="C390" s="173"/>
      <c r="D390" s="173"/>
    </row>
    <row r="391" ht="15.75" customHeight="1">
      <c r="A391" s="174" t="s">
        <v>1355</v>
      </c>
      <c r="B391" s="172" t="s">
        <v>107</v>
      </c>
      <c r="C391" s="180"/>
      <c r="D391" s="180"/>
    </row>
    <row r="392" ht="15.75" customHeight="1">
      <c r="A392" s="174" t="s">
        <v>1396</v>
      </c>
      <c r="B392" s="174" t="s">
        <v>107</v>
      </c>
      <c r="C392" s="180"/>
      <c r="D392" s="180"/>
    </row>
    <row r="393" ht="15.75" customHeight="1">
      <c r="A393" s="174" t="s">
        <v>1410</v>
      </c>
      <c r="B393" s="172" t="s">
        <v>107</v>
      </c>
      <c r="C393" s="180"/>
      <c r="D393" s="180"/>
    </row>
    <row r="394" ht="15.75" customHeight="1">
      <c r="A394" s="174" t="s">
        <v>1425</v>
      </c>
      <c r="B394" s="174" t="s">
        <v>107</v>
      </c>
      <c r="C394" s="180"/>
      <c r="D394" s="180"/>
    </row>
    <row r="395" ht="15.75" customHeight="1">
      <c r="A395" s="174" t="s">
        <v>1431</v>
      </c>
      <c r="B395" s="174" t="s">
        <v>107</v>
      </c>
      <c r="C395" s="180"/>
      <c r="D395" s="180"/>
    </row>
    <row r="396" ht="15.75" customHeight="1">
      <c r="A396" s="168" t="s">
        <v>1442</v>
      </c>
      <c r="B396" s="175" t="s">
        <v>107</v>
      </c>
      <c r="C396" s="173"/>
      <c r="D396" s="173"/>
    </row>
    <row r="397" ht="15.75" customHeight="1">
      <c r="A397" s="174" t="s">
        <v>1459</v>
      </c>
      <c r="B397" s="171" t="s">
        <v>107</v>
      </c>
      <c r="C397" s="170"/>
      <c r="D397" s="170"/>
    </row>
    <row r="398" ht="15.75" customHeight="1">
      <c r="A398" s="174" t="s">
        <v>1462</v>
      </c>
      <c r="B398" s="175" t="s">
        <v>107</v>
      </c>
      <c r="C398" s="170"/>
      <c r="D398" s="170"/>
    </row>
    <row r="399" ht="15.75" customHeight="1">
      <c r="A399" s="174" t="s">
        <v>1492</v>
      </c>
      <c r="B399" s="171" t="s">
        <v>107</v>
      </c>
      <c r="C399" s="170"/>
      <c r="D399" s="170"/>
    </row>
    <row r="400" ht="15.75" customHeight="1">
      <c r="A400" s="174" t="s">
        <v>1548</v>
      </c>
      <c r="B400" s="175" t="s">
        <v>107</v>
      </c>
      <c r="C400" s="170"/>
      <c r="D400" s="170"/>
    </row>
    <row r="401" ht="15.75" customHeight="1">
      <c r="A401" s="172" t="s">
        <v>1642</v>
      </c>
      <c r="B401" s="168" t="s">
        <v>107</v>
      </c>
      <c r="C401" s="170"/>
      <c r="D401" s="170"/>
    </row>
    <row r="402" ht="15.75" customHeight="1">
      <c r="A402" s="174" t="s">
        <v>1640</v>
      </c>
      <c r="B402" s="168" t="s">
        <v>107</v>
      </c>
      <c r="C402" s="170"/>
      <c r="D402" s="170"/>
    </row>
    <row r="403" ht="15.75" customHeight="1">
      <c r="A403" s="174" t="s">
        <v>1646</v>
      </c>
      <c r="B403" s="171" t="s">
        <v>107</v>
      </c>
      <c r="C403" s="170"/>
      <c r="D403" s="170"/>
    </row>
    <row r="404" ht="15.75" customHeight="1">
      <c r="A404" s="174" t="s">
        <v>2060</v>
      </c>
      <c r="B404" s="175" t="s">
        <v>107</v>
      </c>
      <c r="C404" s="170"/>
      <c r="D404" s="170"/>
    </row>
    <row r="405" ht="15.75" customHeight="1">
      <c r="A405" s="174" t="s">
        <v>1680</v>
      </c>
      <c r="B405" s="171" t="s">
        <v>107</v>
      </c>
      <c r="C405" s="170"/>
      <c r="D405" s="170"/>
    </row>
    <row r="406" ht="15.75" customHeight="1">
      <c r="A406" s="174" t="s">
        <v>1865</v>
      </c>
      <c r="B406" s="175" t="s">
        <v>107</v>
      </c>
      <c r="C406" s="170"/>
      <c r="D406" s="170"/>
    </row>
    <row r="407" ht="15.75" customHeight="1">
      <c r="A407" s="174" t="s">
        <v>1866</v>
      </c>
      <c r="B407" s="171" t="s">
        <v>107</v>
      </c>
      <c r="C407" s="170"/>
      <c r="D407" s="170"/>
    </row>
    <row r="408" ht="15.75" customHeight="1">
      <c r="A408" s="174" t="s">
        <v>805</v>
      </c>
      <c r="B408" s="171" t="s">
        <v>2061</v>
      </c>
      <c r="C408" s="170"/>
      <c r="D408" s="170"/>
    </row>
    <row r="409" ht="15.75" customHeight="1">
      <c r="A409" s="174" t="s">
        <v>2062</v>
      </c>
      <c r="B409" s="171" t="s">
        <v>2061</v>
      </c>
      <c r="C409" s="170"/>
      <c r="D409" s="170"/>
    </row>
    <row r="410" ht="15.75" customHeight="1">
      <c r="A410" s="174" t="s">
        <v>135</v>
      </c>
      <c r="B410" s="172" t="s">
        <v>136</v>
      </c>
      <c r="C410" s="185" t="s">
        <v>2063</v>
      </c>
      <c r="D410" s="180"/>
    </row>
    <row r="411" ht="15.75" customHeight="1">
      <c r="A411" s="174" t="s">
        <v>146</v>
      </c>
      <c r="B411" s="169" t="s">
        <v>136</v>
      </c>
      <c r="C411" s="170"/>
      <c r="D411" s="170"/>
    </row>
    <row r="412" ht="15.75" customHeight="1">
      <c r="A412" s="174" t="s">
        <v>147</v>
      </c>
      <c r="B412" s="169" t="s">
        <v>136</v>
      </c>
      <c r="C412" s="170"/>
      <c r="D412" s="170"/>
    </row>
    <row r="413" ht="15.75" customHeight="1">
      <c r="A413" s="168" t="s">
        <v>244</v>
      </c>
      <c r="B413" s="175" t="s">
        <v>136</v>
      </c>
      <c r="C413" s="173"/>
      <c r="D413" s="173"/>
    </row>
    <row r="414" ht="15.75" customHeight="1">
      <c r="A414" s="168" t="s">
        <v>245</v>
      </c>
      <c r="B414" s="176" t="s">
        <v>136</v>
      </c>
      <c r="C414" s="167"/>
      <c r="D414" s="167"/>
    </row>
    <row r="415" ht="15.75" customHeight="1">
      <c r="A415" s="174" t="s">
        <v>328</v>
      </c>
      <c r="B415" s="169" t="s">
        <v>136</v>
      </c>
      <c r="C415" s="170"/>
      <c r="D415" s="170"/>
    </row>
    <row r="416" ht="15.75" customHeight="1">
      <c r="A416" s="174" t="s">
        <v>2064</v>
      </c>
      <c r="B416" s="172" t="s">
        <v>136</v>
      </c>
      <c r="C416" s="167"/>
      <c r="D416" s="167"/>
    </row>
    <row r="417" ht="15.75" customHeight="1">
      <c r="A417" s="174" t="s">
        <v>422</v>
      </c>
      <c r="B417" s="172" t="s">
        <v>136</v>
      </c>
      <c r="C417" s="180"/>
      <c r="D417" s="180"/>
    </row>
    <row r="418" ht="15.75" customHeight="1">
      <c r="A418" s="168" t="s">
        <v>439</v>
      </c>
      <c r="B418" s="176" t="s">
        <v>136</v>
      </c>
      <c r="C418" s="167"/>
      <c r="D418" s="167"/>
    </row>
    <row r="419" ht="15.75" customHeight="1">
      <c r="A419" s="174" t="s">
        <v>445</v>
      </c>
      <c r="B419" s="169" t="s">
        <v>136</v>
      </c>
      <c r="C419" s="170"/>
      <c r="D419" s="170"/>
    </row>
    <row r="420" ht="15.75" customHeight="1">
      <c r="A420" s="168" t="s">
        <v>486</v>
      </c>
      <c r="B420" s="176" t="s">
        <v>136</v>
      </c>
      <c r="C420" s="167"/>
      <c r="D420" s="167"/>
    </row>
    <row r="421" ht="15.75" customHeight="1">
      <c r="A421" s="174" t="s">
        <v>664</v>
      </c>
      <c r="B421" s="169" t="s">
        <v>136</v>
      </c>
      <c r="C421" s="170"/>
      <c r="D421" s="170"/>
    </row>
    <row r="422" ht="15.75" customHeight="1">
      <c r="A422" s="166" t="s">
        <v>681</v>
      </c>
      <c r="B422" s="175" t="s">
        <v>136</v>
      </c>
      <c r="C422" s="173"/>
      <c r="D422" s="173"/>
    </row>
    <row r="423" ht="15.75" customHeight="1">
      <c r="A423" s="171" t="s">
        <v>683</v>
      </c>
      <c r="B423" s="172" t="s">
        <v>136</v>
      </c>
      <c r="C423" s="180"/>
      <c r="D423" s="180"/>
    </row>
    <row r="424" ht="15.75" customHeight="1">
      <c r="A424" s="168" t="s">
        <v>769</v>
      </c>
      <c r="B424" s="175" t="s">
        <v>136</v>
      </c>
      <c r="C424" s="173"/>
      <c r="D424" s="173"/>
    </row>
    <row r="425" ht="15.75" customHeight="1">
      <c r="A425" s="174" t="s">
        <v>797</v>
      </c>
      <c r="B425" s="172" t="s">
        <v>136</v>
      </c>
      <c r="C425" s="180"/>
      <c r="D425" s="180"/>
    </row>
    <row r="426" ht="15.75" customHeight="1">
      <c r="A426" s="174" t="s">
        <v>798</v>
      </c>
      <c r="B426" s="172" t="s">
        <v>136</v>
      </c>
      <c r="C426" s="180"/>
      <c r="D426" s="180"/>
    </row>
    <row r="427" ht="15.75" customHeight="1">
      <c r="A427" s="168" t="s">
        <v>2065</v>
      </c>
      <c r="B427" s="175" t="s">
        <v>136</v>
      </c>
      <c r="C427" s="173"/>
      <c r="D427" s="173"/>
    </row>
    <row r="428" ht="15.75" customHeight="1">
      <c r="A428" s="174" t="s">
        <v>800</v>
      </c>
      <c r="B428" s="172" t="s">
        <v>136</v>
      </c>
      <c r="C428" s="180"/>
      <c r="D428" s="180"/>
    </row>
    <row r="429" ht="15.75" customHeight="1">
      <c r="A429" s="174" t="s">
        <v>801</v>
      </c>
      <c r="B429" s="174" t="s">
        <v>136</v>
      </c>
      <c r="C429" s="180"/>
      <c r="D429" s="180"/>
    </row>
    <row r="430" ht="15.75" customHeight="1">
      <c r="A430" s="171" t="s">
        <v>803</v>
      </c>
      <c r="B430" s="172" t="s">
        <v>136</v>
      </c>
      <c r="C430" s="180"/>
      <c r="D430" s="180"/>
    </row>
    <row r="431" ht="15.75" customHeight="1">
      <c r="A431" s="166" t="s">
        <v>2066</v>
      </c>
      <c r="B431" s="175" t="s">
        <v>136</v>
      </c>
      <c r="C431" s="173"/>
      <c r="D431" s="173"/>
    </row>
    <row r="432" ht="15.75" customHeight="1">
      <c r="A432" s="171" t="s">
        <v>807</v>
      </c>
      <c r="B432" s="172" t="s">
        <v>136</v>
      </c>
      <c r="C432" s="180"/>
      <c r="D432" s="180"/>
    </row>
    <row r="433" ht="15.75" customHeight="1">
      <c r="A433" s="171" t="s">
        <v>809</v>
      </c>
      <c r="B433" s="174" t="s">
        <v>136</v>
      </c>
      <c r="C433" s="180"/>
      <c r="D433" s="180"/>
    </row>
    <row r="434" ht="15.75" customHeight="1">
      <c r="A434" s="171" t="s">
        <v>811</v>
      </c>
      <c r="B434" s="174" t="s">
        <v>136</v>
      </c>
      <c r="C434" s="180"/>
      <c r="D434" s="180"/>
    </row>
    <row r="435" ht="15.75" customHeight="1">
      <c r="A435" s="171" t="s">
        <v>838</v>
      </c>
      <c r="B435" s="168" t="s">
        <v>136</v>
      </c>
      <c r="C435" s="180"/>
      <c r="D435" s="180"/>
    </row>
    <row r="436" ht="15.75" customHeight="1">
      <c r="A436" s="171" t="s">
        <v>931</v>
      </c>
      <c r="B436" s="172" t="s">
        <v>136</v>
      </c>
      <c r="C436" s="180"/>
      <c r="D436" s="180"/>
    </row>
    <row r="437" ht="15.75" customHeight="1">
      <c r="A437" s="171" t="s">
        <v>2067</v>
      </c>
      <c r="B437" s="175" t="s">
        <v>136</v>
      </c>
      <c r="C437" s="180"/>
      <c r="D437" s="180"/>
    </row>
    <row r="438" ht="15.75" customHeight="1">
      <c r="A438" s="171" t="s">
        <v>1125</v>
      </c>
      <c r="B438" s="172" t="s">
        <v>136</v>
      </c>
      <c r="C438" s="180"/>
      <c r="D438" s="180"/>
    </row>
    <row r="439" ht="15.75" customHeight="1">
      <c r="A439" s="171" t="s">
        <v>1123</v>
      </c>
      <c r="B439" s="175" t="s">
        <v>136</v>
      </c>
      <c r="C439" s="180"/>
      <c r="D439" s="180"/>
    </row>
    <row r="440" ht="15.75" customHeight="1">
      <c r="A440" s="171" t="s">
        <v>2068</v>
      </c>
      <c r="B440" s="172" t="s">
        <v>136</v>
      </c>
      <c r="C440" s="180"/>
      <c r="D440" s="180"/>
    </row>
    <row r="441" ht="15.75" customHeight="1">
      <c r="A441" s="171" t="s">
        <v>2069</v>
      </c>
      <c r="B441" s="175" t="s">
        <v>136</v>
      </c>
      <c r="C441" s="180"/>
      <c r="D441" s="180"/>
    </row>
    <row r="442" ht="15.75" customHeight="1">
      <c r="A442" s="171" t="s">
        <v>2070</v>
      </c>
      <c r="B442" s="172" t="s">
        <v>136</v>
      </c>
      <c r="C442" s="180"/>
      <c r="D442" s="180"/>
    </row>
    <row r="443" ht="15.75" customHeight="1">
      <c r="A443" s="171" t="s">
        <v>2071</v>
      </c>
      <c r="B443" s="175" t="s">
        <v>136</v>
      </c>
      <c r="C443" s="180"/>
      <c r="D443" s="180"/>
    </row>
    <row r="444" ht="15.75" customHeight="1">
      <c r="A444" s="171" t="s">
        <v>2072</v>
      </c>
      <c r="B444" s="172" t="s">
        <v>136</v>
      </c>
      <c r="C444" s="180"/>
      <c r="D444" s="180"/>
    </row>
    <row r="445" ht="15.75" customHeight="1">
      <c r="A445" s="171" t="s">
        <v>1300</v>
      </c>
      <c r="B445" s="175" t="s">
        <v>136</v>
      </c>
      <c r="C445" s="180"/>
      <c r="D445" s="180"/>
    </row>
    <row r="446" ht="15.75" customHeight="1">
      <c r="A446" s="171" t="s">
        <v>1366</v>
      </c>
      <c r="B446" s="175" t="s">
        <v>136</v>
      </c>
      <c r="C446" s="180"/>
      <c r="D446" s="180"/>
    </row>
    <row r="447" ht="15.75" customHeight="1">
      <c r="A447" s="171" t="s">
        <v>1399</v>
      </c>
      <c r="B447" s="172" t="s">
        <v>136</v>
      </c>
      <c r="C447" s="180"/>
      <c r="D447" s="180"/>
    </row>
    <row r="448" ht="15.75" customHeight="1">
      <c r="A448" s="171" t="s">
        <v>1406</v>
      </c>
      <c r="B448" s="175" t="s">
        <v>136</v>
      </c>
      <c r="C448" s="180"/>
      <c r="D448" s="180"/>
    </row>
    <row r="449" ht="15.75" customHeight="1">
      <c r="A449" s="171" t="s">
        <v>1407</v>
      </c>
      <c r="B449" s="172" t="s">
        <v>136</v>
      </c>
      <c r="C449" s="180"/>
      <c r="D449" s="180"/>
    </row>
    <row r="450" ht="15.75" customHeight="1">
      <c r="A450" s="171" t="s">
        <v>1412</v>
      </c>
      <c r="B450" s="175" t="s">
        <v>136</v>
      </c>
      <c r="C450" s="180"/>
      <c r="D450" s="180"/>
    </row>
    <row r="451" ht="15.75" customHeight="1">
      <c r="A451" s="171" t="s">
        <v>1413</v>
      </c>
      <c r="B451" s="172" t="s">
        <v>136</v>
      </c>
      <c r="C451" s="180"/>
      <c r="D451" s="180"/>
    </row>
    <row r="452" ht="15.75" customHeight="1">
      <c r="A452" s="171" t="s">
        <v>1671</v>
      </c>
      <c r="B452" s="175" t="s">
        <v>136</v>
      </c>
      <c r="C452" s="180"/>
      <c r="D452" s="180"/>
    </row>
    <row r="453" ht="15.75" customHeight="1">
      <c r="A453" s="171" t="s">
        <v>1711</v>
      </c>
      <c r="B453" s="168" t="s">
        <v>136</v>
      </c>
      <c r="C453" s="180"/>
      <c r="D453" s="180"/>
    </row>
    <row r="454" ht="15.75" customHeight="1">
      <c r="A454" s="171" t="s">
        <v>1799</v>
      </c>
      <c r="B454" s="172" t="s">
        <v>136</v>
      </c>
      <c r="C454" s="180"/>
      <c r="D454" s="180"/>
    </row>
    <row r="455" ht="15.75" customHeight="1">
      <c r="A455" s="171" t="s">
        <v>1950</v>
      </c>
      <c r="B455" s="175" t="s">
        <v>136</v>
      </c>
      <c r="C455" s="180"/>
      <c r="D455" s="180"/>
    </row>
    <row r="456" ht="15.75" customHeight="1">
      <c r="A456" s="174" t="s">
        <v>37</v>
      </c>
      <c r="B456" s="189" t="s">
        <v>38</v>
      </c>
      <c r="C456" s="191" t="s">
        <v>2073</v>
      </c>
      <c r="D456" s="170"/>
    </row>
    <row r="457" ht="15.75" customHeight="1">
      <c r="A457" s="174" t="s">
        <v>314</v>
      </c>
      <c r="B457" s="186" t="s">
        <v>38</v>
      </c>
      <c r="C457" s="180"/>
      <c r="D457" s="180"/>
    </row>
    <row r="458" ht="15.75" customHeight="1">
      <c r="A458" s="174" t="s">
        <v>315</v>
      </c>
      <c r="B458" s="186" t="s">
        <v>38</v>
      </c>
      <c r="C458" s="180"/>
      <c r="D458" s="180"/>
    </row>
    <row r="459" ht="15.75" customHeight="1">
      <c r="A459" s="174" t="s">
        <v>393</v>
      </c>
      <c r="B459" s="189" t="s">
        <v>38</v>
      </c>
      <c r="C459" s="170"/>
      <c r="D459" s="170"/>
    </row>
    <row r="460" ht="15.75" customHeight="1">
      <c r="A460" s="174" t="s">
        <v>401</v>
      </c>
      <c r="B460" s="189" t="s">
        <v>38</v>
      </c>
      <c r="C460" s="170"/>
      <c r="D460" s="170"/>
    </row>
    <row r="461" ht="15.75" customHeight="1">
      <c r="A461" s="168" t="s">
        <v>448</v>
      </c>
      <c r="B461" s="189" t="s">
        <v>38</v>
      </c>
      <c r="C461" s="167"/>
      <c r="D461" s="167"/>
    </row>
    <row r="462" ht="15.75" customHeight="1">
      <c r="A462" s="174" t="s">
        <v>516</v>
      </c>
      <c r="B462" s="189" t="s">
        <v>38</v>
      </c>
      <c r="C462" s="170"/>
      <c r="D462" s="170"/>
    </row>
    <row r="463" ht="15.75" customHeight="1">
      <c r="A463" s="168" t="s">
        <v>526</v>
      </c>
      <c r="B463" s="189" t="s">
        <v>38</v>
      </c>
      <c r="C463" s="167"/>
      <c r="D463" s="167"/>
    </row>
    <row r="464" ht="15.75" customHeight="1">
      <c r="A464" s="174" t="s">
        <v>2074</v>
      </c>
      <c r="B464" s="189" t="s">
        <v>38</v>
      </c>
      <c r="C464" s="170"/>
      <c r="D464" s="170"/>
    </row>
    <row r="465" ht="15.75" customHeight="1">
      <c r="A465" s="168" t="s">
        <v>592</v>
      </c>
      <c r="B465" s="189" t="s">
        <v>38</v>
      </c>
      <c r="C465" s="167"/>
      <c r="D465" s="167"/>
    </row>
    <row r="466" ht="15.75" customHeight="1">
      <c r="A466" s="174" t="s">
        <v>634</v>
      </c>
      <c r="B466" s="186" t="s">
        <v>38</v>
      </c>
      <c r="C466" s="180"/>
      <c r="D466" s="180"/>
    </row>
    <row r="467" ht="15.75" customHeight="1">
      <c r="A467" s="168" t="s">
        <v>653</v>
      </c>
      <c r="B467" s="186" t="s">
        <v>38</v>
      </c>
      <c r="C467" s="173"/>
      <c r="D467" s="173"/>
    </row>
    <row r="468" ht="15.75" customHeight="1">
      <c r="A468" s="174" t="s">
        <v>2075</v>
      </c>
      <c r="B468" s="189" t="s">
        <v>38</v>
      </c>
      <c r="C468" s="170"/>
      <c r="D468" s="170"/>
    </row>
    <row r="469" ht="15.75" customHeight="1">
      <c r="A469" s="174" t="s">
        <v>2076</v>
      </c>
      <c r="B469" s="189" t="s">
        <v>38</v>
      </c>
      <c r="C469" s="170"/>
      <c r="D469" s="170"/>
    </row>
    <row r="470" ht="15.75" customHeight="1">
      <c r="A470" s="166" t="s">
        <v>2077</v>
      </c>
      <c r="B470" s="189" t="s">
        <v>38</v>
      </c>
      <c r="C470" s="193"/>
      <c r="D470" s="193"/>
    </row>
    <row r="471" ht="15.75" customHeight="1">
      <c r="A471" s="168" t="s">
        <v>741</v>
      </c>
      <c r="B471" s="189" t="s">
        <v>38</v>
      </c>
      <c r="C471" s="167"/>
      <c r="D471" s="167"/>
    </row>
    <row r="472" ht="15.75" customHeight="1">
      <c r="A472" s="174" t="s">
        <v>749</v>
      </c>
      <c r="B472" s="189" t="s">
        <v>38</v>
      </c>
      <c r="C472" s="170"/>
      <c r="D472" s="170"/>
    </row>
    <row r="473" ht="15.75" customHeight="1">
      <c r="A473" s="174" t="s">
        <v>759</v>
      </c>
      <c r="B473" s="189" t="s">
        <v>38</v>
      </c>
      <c r="C473" s="170"/>
      <c r="D473" s="170"/>
    </row>
    <row r="474" ht="15.75" customHeight="1">
      <c r="A474" s="168" t="s">
        <v>833</v>
      </c>
      <c r="B474" s="189" t="s">
        <v>38</v>
      </c>
      <c r="C474" s="167"/>
      <c r="D474" s="167"/>
    </row>
    <row r="475" ht="15.75" customHeight="1">
      <c r="A475" s="174" t="s">
        <v>869</v>
      </c>
      <c r="B475" s="189" t="s">
        <v>38</v>
      </c>
      <c r="C475" s="170"/>
      <c r="D475" s="170"/>
    </row>
    <row r="476" ht="15.75" customHeight="1">
      <c r="A476" s="174" t="s">
        <v>895</v>
      </c>
      <c r="B476" s="189" t="s">
        <v>38</v>
      </c>
      <c r="C476" s="170"/>
      <c r="D476" s="170"/>
    </row>
    <row r="477" ht="15.75" customHeight="1">
      <c r="A477" s="174" t="s">
        <v>927</v>
      </c>
      <c r="B477" s="186" t="s">
        <v>38</v>
      </c>
      <c r="C477" s="180"/>
      <c r="D477" s="180"/>
    </row>
    <row r="478" ht="15.75" customHeight="1">
      <c r="A478" s="168" t="s">
        <v>2078</v>
      </c>
      <c r="B478" s="186" t="s">
        <v>38</v>
      </c>
      <c r="C478" s="173"/>
      <c r="D478" s="173"/>
    </row>
    <row r="479" ht="15.75" customHeight="1">
      <c r="A479" s="168" t="s">
        <v>1025</v>
      </c>
      <c r="B479" s="186" t="s">
        <v>38</v>
      </c>
      <c r="C479" s="173"/>
      <c r="D479" s="173"/>
    </row>
    <row r="480" ht="15.75" customHeight="1">
      <c r="A480" s="168" t="s">
        <v>1052</v>
      </c>
      <c r="B480" s="186" t="s">
        <v>38</v>
      </c>
      <c r="C480" s="173"/>
      <c r="D480" s="173"/>
    </row>
    <row r="481" ht="15.75" customHeight="1">
      <c r="A481" s="166" t="s">
        <v>1131</v>
      </c>
      <c r="B481" s="189" t="s">
        <v>38</v>
      </c>
      <c r="C481" s="193"/>
      <c r="D481" s="193"/>
    </row>
    <row r="482" ht="15.75" customHeight="1">
      <c r="A482" s="166" t="s">
        <v>1132</v>
      </c>
      <c r="B482" s="189" t="s">
        <v>38</v>
      </c>
      <c r="C482" s="193"/>
      <c r="D482" s="193"/>
    </row>
    <row r="483" ht="15.75" customHeight="1">
      <c r="A483" s="196" t="s">
        <v>1159</v>
      </c>
      <c r="B483" s="186" t="s">
        <v>38</v>
      </c>
      <c r="C483" s="180"/>
      <c r="D483" s="180"/>
    </row>
    <row r="484" ht="15.75" customHeight="1">
      <c r="A484" s="174" t="s">
        <v>1333</v>
      </c>
      <c r="B484" s="186" t="s">
        <v>38</v>
      </c>
      <c r="C484" s="180"/>
      <c r="D484" s="180"/>
    </row>
    <row r="485" ht="15.75" customHeight="1">
      <c r="A485" s="168" t="s">
        <v>1334</v>
      </c>
      <c r="B485" s="186" t="s">
        <v>38</v>
      </c>
      <c r="C485" s="173"/>
      <c r="D485" s="173"/>
    </row>
    <row r="486" ht="15.75" customHeight="1">
      <c r="A486" s="168" t="s">
        <v>1405</v>
      </c>
      <c r="B486" s="184" t="s">
        <v>38</v>
      </c>
      <c r="C486" s="173"/>
      <c r="D486" s="173"/>
    </row>
    <row r="487" ht="15.75" customHeight="1">
      <c r="A487" s="174" t="s">
        <v>1455</v>
      </c>
      <c r="B487" s="186" t="s">
        <v>38</v>
      </c>
      <c r="C487" s="180"/>
      <c r="D487" s="180"/>
    </row>
    <row r="488" ht="15.75" customHeight="1">
      <c r="A488" s="168" t="s">
        <v>1519</v>
      </c>
      <c r="B488" s="186" t="s">
        <v>38</v>
      </c>
      <c r="C488" s="173"/>
      <c r="D488" s="173"/>
    </row>
    <row r="489" ht="15.75" customHeight="1">
      <c r="A489" s="174" t="s">
        <v>1575</v>
      </c>
      <c r="B489" s="186" t="s">
        <v>38</v>
      </c>
      <c r="C489" s="180"/>
      <c r="D489" s="180"/>
    </row>
    <row r="490" ht="15.75" customHeight="1">
      <c r="A490" s="168" t="s">
        <v>1613</v>
      </c>
      <c r="B490" s="186" t="s">
        <v>38</v>
      </c>
      <c r="C490" s="173"/>
      <c r="D490" s="173"/>
    </row>
    <row r="491" ht="15.75" customHeight="1">
      <c r="A491" s="174" t="s">
        <v>1741</v>
      </c>
      <c r="B491" s="186" t="s">
        <v>38</v>
      </c>
      <c r="C491" s="180"/>
      <c r="D491" s="180"/>
    </row>
    <row r="492" ht="15.75" customHeight="1">
      <c r="A492" s="174" t="s">
        <v>1805</v>
      </c>
      <c r="B492" s="186" t="s">
        <v>38</v>
      </c>
      <c r="C492" s="180"/>
      <c r="D492" s="180"/>
    </row>
    <row r="493" ht="15.75" customHeight="1">
      <c r="A493" s="168" t="s">
        <v>45</v>
      </c>
      <c r="B493" s="176" t="s">
        <v>46</v>
      </c>
      <c r="C493" s="192" t="s">
        <v>2079</v>
      </c>
      <c r="D493" s="167"/>
    </row>
    <row r="494" ht="15.75" customHeight="1">
      <c r="A494" s="174" t="s">
        <v>47</v>
      </c>
      <c r="B494" s="169" t="s">
        <v>46</v>
      </c>
      <c r="C494" s="170"/>
      <c r="D494" s="170"/>
    </row>
    <row r="495" ht="15.75" customHeight="1">
      <c r="A495" s="174" t="s">
        <v>2080</v>
      </c>
      <c r="B495" s="169" t="s">
        <v>46</v>
      </c>
      <c r="C495" s="170"/>
      <c r="D495" s="170"/>
    </row>
    <row r="496" ht="15.75" customHeight="1">
      <c r="A496" s="168" t="s">
        <v>81</v>
      </c>
      <c r="B496" s="175" t="s">
        <v>46</v>
      </c>
      <c r="C496" s="173"/>
      <c r="D496" s="173"/>
    </row>
    <row r="497" ht="15.75" customHeight="1">
      <c r="A497" s="174" t="s">
        <v>2081</v>
      </c>
      <c r="B497" s="169" t="s">
        <v>46</v>
      </c>
      <c r="C497" s="170"/>
      <c r="D497" s="170"/>
    </row>
    <row r="498" ht="15.75" customHeight="1">
      <c r="A498" s="168" t="s">
        <v>425</v>
      </c>
      <c r="B498" s="176" t="s">
        <v>46</v>
      </c>
      <c r="C498" s="167"/>
      <c r="D498" s="167"/>
    </row>
    <row r="499" ht="15.75" customHeight="1">
      <c r="A499" s="168" t="s">
        <v>447</v>
      </c>
      <c r="B499" s="175" t="s">
        <v>46</v>
      </c>
      <c r="C499" s="173"/>
      <c r="D499" s="173"/>
    </row>
    <row r="500" ht="15.75" customHeight="1">
      <c r="A500" s="168" t="s">
        <v>528</v>
      </c>
      <c r="B500" s="176" t="s">
        <v>46</v>
      </c>
      <c r="C500" s="167"/>
      <c r="D500" s="167"/>
    </row>
    <row r="501" ht="15.75" customHeight="1">
      <c r="A501" s="174" t="s">
        <v>589</v>
      </c>
      <c r="B501" s="169" t="s">
        <v>46</v>
      </c>
      <c r="C501" s="170"/>
      <c r="D501" s="170"/>
    </row>
    <row r="502" ht="15.75" customHeight="1">
      <c r="A502" s="174" t="s">
        <v>588</v>
      </c>
      <c r="B502" s="169" t="s">
        <v>46</v>
      </c>
      <c r="C502" s="170"/>
      <c r="D502" s="170"/>
    </row>
    <row r="503" ht="15.75" customHeight="1">
      <c r="A503" s="174" t="s">
        <v>602</v>
      </c>
      <c r="B503" s="171" t="s">
        <v>46</v>
      </c>
      <c r="C503" s="170"/>
      <c r="D503" s="170"/>
    </row>
    <row r="504" ht="15.75" customHeight="1">
      <c r="A504" s="168" t="s">
        <v>676</v>
      </c>
      <c r="B504" s="176" t="s">
        <v>46</v>
      </c>
      <c r="C504" s="167"/>
      <c r="D504" s="167"/>
    </row>
    <row r="505" ht="15.75" customHeight="1">
      <c r="A505" s="168" t="s">
        <v>696</v>
      </c>
      <c r="B505" s="175" t="s">
        <v>46</v>
      </c>
      <c r="C505" s="173"/>
      <c r="D505" s="173"/>
    </row>
    <row r="506" ht="15.75" customHeight="1">
      <c r="A506" s="174" t="s">
        <v>727</v>
      </c>
      <c r="B506" s="169" t="s">
        <v>46</v>
      </c>
      <c r="C506" s="170"/>
      <c r="D506" s="170"/>
    </row>
    <row r="507" ht="15.75" customHeight="1">
      <c r="A507" s="174" t="s">
        <v>732</v>
      </c>
      <c r="B507" s="169" t="s">
        <v>46</v>
      </c>
      <c r="C507" s="170"/>
      <c r="D507" s="170"/>
    </row>
    <row r="508" ht="15.75" customHeight="1">
      <c r="A508" s="168" t="s">
        <v>2082</v>
      </c>
      <c r="B508" s="176" t="s">
        <v>46</v>
      </c>
      <c r="C508" s="167"/>
      <c r="D508" s="167"/>
    </row>
    <row r="509" ht="15.75" customHeight="1">
      <c r="A509" s="168" t="s">
        <v>746</v>
      </c>
      <c r="B509" s="176" t="s">
        <v>46</v>
      </c>
      <c r="C509" s="167"/>
      <c r="D509" s="167"/>
    </row>
    <row r="510" ht="15.75" customHeight="1">
      <c r="A510" s="168" t="s">
        <v>758</v>
      </c>
      <c r="B510" s="175" t="s">
        <v>46</v>
      </c>
      <c r="C510" s="173"/>
      <c r="D510" s="173"/>
    </row>
    <row r="511" ht="15.75" customHeight="1">
      <c r="A511" s="174" t="s">
        <v>771</v>
      </c>
      <c r="B511" s="172" t="s">
        <v>46</v>
      </c>
      <c r="C511" s="180"/>
      <c r="D511" s="180"/>
    </row>
    <row r="512" ht="15.75" customHeight="1">
      <c r="A512" s="168" t="s">
        <v>815</v>
      </c>
      <c r="B512" s="175" t="s">
        <v>46</v>
      </c>
      <c r="C512" s="173"/>
      <c r="D512" s="173"/>
    </row>
    <row r="513" ht="15.75" customHeight="1">
      <c r="A513" s="174" t="s">
        <v>832</v>
      </c>
      <c r="B513" s="172" t="s">
        <v>46</v>
      </c>
      <c r="C513" s="180"/>
      <c r="D513" s="180"/>
    </row>
    <row r="514" ht="15.75" customHeight="1">
      <c r="A514" s="168" t="s">
        <v>876</v>
      </c>
      <c r="B514" s="175" t="s">
        <v>46</v>
      </c>
      <c r="C514" s="195"/>
      <c r="D514" s="195"/>
    </row>
    <row r="515" ht="15.75" customHeight="1">
      <c r="A515" s="174" t="s">
        <v>884</v>
      </c>
      <c r="B515" s="172" t="s">
        <v>46</v>
      </c>
      <c r="C515" s="180"/>
      <c r="D515" s="180"/>
    </row>
    <row r="516" ht="15.75" customHeight="1">
      <c r="A516" s="168" t="s">
        <v>915</v>
      </c>
      <c r="B516" s="175" t="s">
        <v>46</v>
      </c>
      <c r="C516" s="173"/>
      <c r="D516" s="173"/>
    </row>
    <row r="517" ht="15.75" customHeight="1">
      <c r="A517" s="168" t="s">
        <v>977</v>
      </c>
      <c r="B517" s="175" t="s">
        <v>46</v>
      </c>
      <c r="C517" s="173"/>
      <c r="D517" s="173"/>
    </row>
    <row r="518" ht="15.75" customHeight="1">
      <c r="A518" s="168" t="s">
        <v>1002</v>
      </c>
      <c r="B518" s="175" t="s">
        <v>46</v>
      </c>
      <c r="C518" s="173"/>
      <c r="D518" s="173"/>
    </row>
    <row r="519" ht="15.75" customHeight="1">
      <c r="A519" s="174" t="s">
        <v>1146</v>
      </c>
      <c r="B519" s="172" t="s">
        <v>46</v>
      </c>
      <c r="C519" s="180"/>
      <c r="D519" s="180"/>
    </row>
    <row r="520" ht="15.75" customHeight="1">
      <c r="A520" s="174" t="s">
        <v>1156</v>
      </c>
      <c r="B520" s="172" t="s">
        <v>46</v>
      </c>
      <c r="C520" s="180"/>
      <c r="D520" s="180"/>
    </row>
    <row r="521" ht="15.75" customHeight="1">
      <c r="A521" s="168" t="s">
        <v>2083</v>
      </c>
      <c r="B521" s="175" t="s">
        <v>46</v>
      </c>
      <c r="C521" s="173"/>
      <c r="D521" s="173"/>
    </row>
    <row r="522" ht="15.75" customHeight="1">
      <c r="A522" s="168" t="s">
        <v>1168</v>
      </c>
      <c r="B522" s="175" t="s">
        <v>46</v>
      </c>
      <c r="C522" s="173"/>
      <c r="D522" s="173"/>
    </row>
    <row r="523" ht="15.75" customHeight="1">
      <c r="A523" s="174" t="s">
        <v>1219</v>
      </c>
      <c r="B523" s="172" t="s">
        <v>46</v>
      </c>
      <c r="C523" s="180"/>
      <c r="D523" s="180"/>
    </row>
    <row r="524" ht="15.75" customHeight="1">
      <c r="A524" s="174" t="s">
        <v>1224</v>
      </c>
      <c r="B524" s="172" t="s">
        <v>46</v>
      </c>
      <c r="C524" s="180"/>
      <c r="D524" s="180"/>
    </row>
    <row r="525" ht="15.75" customHeight="1">
      <c r="A525" s="174" t="s">
        <v>1247</v>
      </c>
      <c r="B525" s="172" t="s">
        <v>46</v>
      </c>
      <c r="C525" s="180"/>
      <c r="D525" s="180"/>
    </row>
    <row r="526" ht="15.75" customHeight="1">
      <c r="A526" s="174" t="s">
        <v>2084</v>
      </c>
      <c r="B526" s="172" t="s">
        <v>46</v>
      </c>
      <c r="C526" s="180"/>
      <c r="D526" s="180"/>
    </row>
    <row r="527" ht="15.75" customHeight="1">
      <c r="A527" s="168" t="s">
        <v>1286</v>
      </c>
      <c r="B527" s="175" t="s">
        <v>46</v>
      </c>
      <c r="C527" s="173"/>
      <c r="D527" s="173"/>
    </row>
    <row r="528" ht="15.75" customHeight="1">
      <c r="A528" s="168" t="s">
        <v>1287</v>
      </c>
      <c r="B528" s="175" t="s">
        <v>46</v>
      </c>
      <c r="C528" s="173"/>
      <c r="D528" s="173"/>
    </row>
    <row r="529" ht="15.75" customHeight="1">
      <c r="A529" s="168" t="s">
        <v>1349</v>
      </c>
      <c r="B529" s="175" t="s">
        <v>46</v>
      </c>
      <c r="C529" s="173"/>
      <c r="D529" s="173"/>
    </row>
    <row r="530" ht="15.75" customHeight="1">
      <c r="A530" s="174" t="s">
        <v>1368</v>
      </c>
      <c r="B530" s="172" t="s">
        <v>46</v>
      </c>
      <c r="C530" s="180"/>
      <c r="D530" s="180"/>
    </row>
    <row r="531" ht="15.75" customHeight="1">
      <c r="A531" s="168" t="s">
        <v>1372</v>
      </c>
      <c r="B531" s="175" t="s">
        <v>46</v>
      </c>
      <c r="C531" s="173"/>
      <c r="D531" s="173"/>
    </row>
    <row r="532" ht="15.75" customHeight="1">
      <c r="A532" s="174" t="s">
        <v>1395</v>
      </c>
      <c r="B532" s="172" t="s">
        <v>46</v>
      </c>
      <c r="C532" s="180"/>
      <c r="D532" s="180"/>
    </row>
    <row r="533" ht="15.75" customHeight="1">
      <c r="A533" s="168" t="s">
        <v>1453</v>
      </c>
      <c r="B533" s="175" t="s">
        <v>46</v>
      </c>
      <c r="C533" s="173"/>
      <c r="D533" s="173"/>
    </row>
    <row r="534" ht="15.75" customHeight="1">
      <c r="A534" s="174" t="s">
        <v>1477</v>
      </c>
      <c r="B534" s="172" t="s">
        <v>46</v>
      </c>
      <c r="C534" s="180"/>
      <c r="D534" s="180"/>
    </row>
    <row r="535" ht="15.75" customHeight="1">
      <c r="A535" s="168" t="s">
        <v>1478</v>
      </c>
      <c r="B535" s="175" t="s">
        <v>46</v>
      </c>
      <c r="C535" s="173"/>
      <c r="D535" s="173"/>
    </row>
    <row r="536" ht="15.75" customHeight="1">
      <c r="A536" s="174" t="s">
        <v>2085</v>
      </c>
      <c r="B536" s="172" t="s">
        <v>46</v>
      </c>
      <c r="C536" s="180"/>
      <c r="D536" s="180"/>
    </row>
    <row r="537" ht="15.75" customHeight="1">
      <c r="A537" s="168" t="s">
        <v>1503</v>
      </c>
      <c r="B537" s="175" t="s">
        <v>46</v>
      </c>
      <c r="C537" s="173"/>
      <c r="D537" s="173"/>
    </row>
    <row r="538" ht="15.75" customHeight="1">
      <c r="A538" s="168" t="s">
        <v>1566</v>
      </c>
      <c r="B538" s="175" t="s">
        <v>46</v>
      </c>
      <c r="C538" s="173"/>
      <c r="D538" s="173"/>
    </row>
    <row r="539" ht="15.75" customHeight="1">
      <c r="A539" s="174" t="s">
        <v>1609</v>
      </c>
      <c r="B539" s="172" t="s">
        <v>46</v>
      </c>
      <c r="C539" s="180"/>
      <c r="D539" s="180"/>
    </row>
    <row r="540" ht="15.75" customHeight="1">
      <c r="A540" s="174" t="s">
        <v>2086</v>
      </c>
      <c r="B540" s="172" t="s">
        <v>46</v>
      </c>
      <c r="C540" s="180"/>
      <c r="D540" s="180"/>
    </row>
    <row r="541" ht="15.75" customHeight="1">
      <c r="A541" s="174" t="s">
        <v>2087</v>
      </c>
      <c r="B541" s="174" t="s">
        <v>46</v>
      </c>
      <c r="C541" s="180"/>
      <c r="D541" s="180"/>
    </row>
    <row r="542" ht="15.75" customHeight="1">
      <c r="A542" s="174" t="s">
        <v>1626</v>
      </c>
      <c r="B542" s="172" t="s">
        <v>46</v>
      </c>
      <c r="C542" s="180"/>
      <c r="D542" s="180"/>
    </row>
    <row r="543" ht="15.75" customHeight="1">
      <c r="A543" s="168" t="s">
        <v>1627</v>
      </c>
      <c r="B543" s="175" t="s">
        <v>46</v>
      </c>
      <c r="C543" s="173"/>
      <c r="D543" s="173"/>
    </row>
    <row r="544" ht="15.75" customHeight="1">
      <c r="A544" s="168" t="s">
        <v>1628</v>
      </c>
      <c r="B544" s="175" t="s">
        <v>46</v>
      </c>
      <c r="C544" s="173"/>
      <c r="D544" s="173"/>
    </row>
    <row r="545" ht="15.75" customHeight="1">
      <c r="A545" s="174" t="s">
        <v>1629</v>
      </c>
      <c r="B545" s="172" t="s">
        <v>46</v>
      </c>
      <c r="C545" s="180"/>
      <c r="D545" s="180"/>
    </row>
    <row r="546" ht="15.75" customHeight="1">
      <c r="A546" s="174" t="s">
        <v>1630</v>
      </c>
      <c r="B546" s="174" t="s">
        <v>46</v>
      </c>
      <c r="C546" s="180"/>
      <c r="D546" s="180"/>
    </row>
    <row r="547" ht="15.75" customHeight="1">
      <c r="A547" s="196" t="s">
        <v>1636</v>
      </c>
      <c r="B547" s="172" t="s">
        <v>46</v>
      </c>
      <c r="C547" s="180"/>
      <c r="D547" s="180"/>
    </row>
    <row r="548" ht="15.75" customHeight="1">
      <c r="A548" s="174" t="s">
        <v>2088</v>
      </c>
      <c r="B548" s="172" t="s">
        <v>46</v>
      </c>
      <c r="C548" s="180"/>
      <c r="D548" s="180"/>
    </row>
    <row r="549" ht="15.75" customHeight="1">
      <c r="A549" s="174" t="s">
        <v>1762</v>
      </c>
      <c r="B549" s="172" t="s">
        <v>46</v>
      </c>
      <c r="C549" s="180"/>
      <c r="D549" s="180"/>
    </row>
    <row r="550" ht="15.75" customHeight="1">
      <c r="A550" s="174" t="s">
        <v>1816</v>
      </c>
      <c r="B550" s="172" t="s">
        <v>46</v>
      </c>
      <c r="C550" s="170"/>
      <c r="D550" s="170"/>
    </row>
    <row r="551" ht="15.75" customHeight="1">
      <c r="A551" s="174" t="s">
        <v>1914</v>
      </c>
      <c r="B551" s="172" t="s">
        <v>46</v>
      </c>
      <c r="C551" s="180"/>
      <c r="D551" s="180"/>
    </row>
    <row r="552" ht="15.75" customHeight="1">
      <c r="A552" s="174" t="s">
        <v>1943</v>
      </c>
      <c r="B552" s="172" t="s">
        <v>46</v>
      </c>
      <c r="C552" s="180"/>
      <c r="D552" s="180"/>
    </row>
    <row r="553" ht="15.75" customHeight="1">
      <c r="A553" s="174" t="s">
        <v>1961</v>
      </c>
      <c r="B553" s="172" t="s">
        <v>46</v>
      </c>
      <c r="C553" s="180"/>
      <c r="D553" s="180"/>
    </row>
    <row r="554" ht="15.75" customHeight="1">
      <c r="A554" s="168" t="s">
        <v>2089</v>
      </c>
      <c r="B554" s="175" t="s">
        <v>25</v>
      </c>
      <c r="C554" s="194" t="s">
        <v>2090</v>
      </c>
      <c r="D554" s="173"/>
    </row>
    <row r="555" ht="15.75" customHeight="1">
      <c r="A555" s="168" t="s">
        <v>76</v>
      </c>
      <c r="B555" s="176" t="s">
        <v>25</v>
      </c>
      <c r="C555" s="167"/>
      <c r="D555" s="167"/>
    </row>
    <row r="556" ht="15.75" customHeight="1">
      <c r="A556" s="168" t="s">
        <v>77</v>
      </c>
      <c r="B556" s="176" t="s">
        <v>25</v>
      </c>
      <c r="C556" s="167"/>
      <c r="D556" s="167"/>
    </row>
    <row r="557" ht="15.75" customHeight="1">
      <c r="A557" s="174" t="s">
        <v>130</v>
      </c>
      <c r="B557" s="172" t="s">
        <v>25</v>
      </c>
      <c r="C557" s="180"/>
      <c r="D557" s="180"/>
    </row>
    <row r="558" ht="15.75" customHeight="1">
      <c r="A558" s="168" t="s">
        <v>183</v>
      </c>
      <c r="B558" s="176" t="s">
        <v>25</v>
      </c>
      <c r="C558" s="167"/>
      <c r="D558" s="167"/>
    </row>
    <row r="559" ht="15.75" customHeight="1">
      <c r="A559" s="168" t="s">
        <v>216</v>
      </c>
      <c r="B559" s="176" t="s">
        <v>25</v>
      </c>
      <c r="C559" s="167"/>
      <c r="D559" s="167"/>
    </row>
    <row r="560" ht="15.75" customHeight="1">
      <c r="A560" s="174" t="s">
        <v>221</v>
      </c>
      <c r="B560" s="169" t="s">
        <v>25</v>
      </c>
      <c r="C560" s="170"/>
      <c r="D560" s="170"/>
    </row>
    <row r="561" ht="15.75" customHeight="1">
      <c r="A561" s="168" t="s">
        <v>271</v>
      </c>
      <c r="B561" s="175" t="s">
        <v>25</v>
      </c>
      <c r="C561" s="173"/>
      <c r="D561" s="173"/>
    </row>
    <row r="562" ht="15.75" customHeight="1">
      <c r="A562" s="174" t="s">
        <v>272</v>
      </c>
      <c r="B562" s="172" t="s">
        <v>25</v>
      </c>
      <c r="C562" s="180"/>
      <c r="D562" s="180"/>
    </row>
    <row r="563" ht="15.75" customHeight="1">
      <c r="A563" s="168" t="s">
        <v>324</v>
      </c>
      <c r="B563" s="175" t="s">
        <v>25</v>
      </c>
      <c r="C563" s="173"/>
      <c r="D563" s="173"/>
    </row>
    <row r="564" ht="15.75" customHeight="1">
      <c r="A564" s="174" t="s">
        <v>371</v>
      </c>
      <c r="B564" s="172" t="s">
        <v>25</v>
      </c>
      <c r="C564" s="180"/>
      <c r="D564" s="180"/>
    </row>
    <row r="565" ht="15.75" customHeight="1">
      <c r="A565" s="168" t="s">
        <v>522</v>
      </c>
      <c r="B565" s="175" t="s">
        <v>25</v>
      </c>
      <c r="C565" s="173"/>
      <c r="D565" s="173"/>
    </row>
    <row r="566" ht="15.75" customHeight="1">
      <c r="A566" s="168" t="s">
        <v>2091</v>
      </c>
      <c r="B566" s="175" t="s">
        <v>25</v>
      </c>
      <c r="C566" s="173"/>
      <c r="D566" s="173"/>
    </row>
    <row r="567" ht="15.75" customHeight="1">
      <c r="A567" s="174" t="s">
        <v>692</v>
      </c>
      <c r="B567" s="172" t="s">
        <v>25</v>
      </c>
      <c r="C567" s="180"/>
      <c r="D567" s="180"/>
    </row>
    <row r="568" ht="15.75" customHeight="1">
      <c r="A568" s="168" t="s">
        <v>2092</v>
      </c>
      <c r="B568" s="175" t="s">
        <v>25</v>
      </c>
      <c r="C568" s="173"/>
      <c r="D568" s="173"/>
    </row>
    <row r="569" ht="15.75" customHeight="1">
      <c r="A569" s="174" t="s">
        <v>845</v>
      </c>
      <c r="B569" s="172" t="s">
        <v>25</v>
      </c>
      <c r="C569" s="180"/>
      <c r="D569" s="180"/>
    </row>
    <row r="570" ht="15.75" customHeight="1">
      <c r="A570" s="174" t="s">
        <v>933</v>
      </c>
      <c r="B570" s="172" t="s">
        <v>25</v>
      </c>
      <c r="C570" s="180"/>
      <c r="D570" s="180"/>
    </row>
    <row r="571" ht="15.75" customHeight="1">
      <c r="A571" s="174" t="s">
        <v>949</v>
      </c>
      <c r="B571" s="174" t="s">
        <v>25</v>
      </c>
      <c r="C571" s="180"/>
      <c r="D571" s="180"/>
    </row>
    <row r="572" ht="15.75" customHeight="1">
      <c r="A572" s="174" t="s">
        <v>974</v>
      </c>
      <c r="B572" s="172" t="s">
        <v>25</v>
      </c>
      <c r="C572" s="180"/>
      <c r="D572" s="180"/>
    </row>
    <row r="573" ht="15.75" customHeight="1">
      <c r="A573" s="168" t="s">
        <v>1078</v>
      </c>
      <c r="B573" s="175" t="s">
        <v>25</v>
      </c>
      <c r="C573" s="173"/>
      <c r="D573" s="173"/>
    </row>
    <row r="574" ht="15.75" customHeight="1">
      <c r="A574" s="174" t="s">
        <v>1084</v>
      </c>
      <c r="B574" s="172" t="s">
        <v>25</v>
      </c>
      <c r="C574" s="180"/>
      <c r="D574" s="180"/>
    </row>
    <row r="575" ht="15.75" customHeight="1">
      <c r="A575" s="168" t="s">
        <v>2093</v>
      </c>
      <c r="B575" s="175" t="s">
        <v>25</v>
      </c>
      <c r="C575" s="173"/>
      <c r="D575" s="173"/>
    </row>
    <row r="576" ht="15.75" customHeight="1">
      <c r="A576" s="174" t="s">
        <v>2094</v>
      </c>
      <c r="B576" s="172" t="s">
        <v>25</v>
      </c>
      <c r="C576" s="180"/>
      <c r="D576" s="180"/>
    </row>
    <row r="577" ht="15.75" customHeight="1">
      <c r="A577" s="174" t="s">
        <v>1160</v>
      </c>
      <c r="B577" s="174" t="s">
        <v>25</v>
      </c>
      <c r="C577" s="180"/>
      <c r="D577" s="180"/>
    </row>
    <row r="578" ht="15.75" customHeight="1">
      <c r="A578" s="174" t="s">
        <v>1187</v>
      </c>
      <c r="B578" s="172" t="s">
        <v>25</v>
      </c>
      <c r="C578" s="180"/>
      <c r="D578" s="180"/>
    </row>
    <row r="579" ht="15.75" customHeight="1">
      <c r="A579" s="168" t="s">
        <v>1199</v>
      </c>
      <c r="B579" s="175" t="s">
        <v>25</v>
      </c>
      <c r="C579" s="173"/>
      <c r="D579" s="173"/>
    </row>
    <row r="580" ht="15.75" customHeight="1">
      <c r="A580" s="168" t="s">
        <v>1230</v>
      </c>
      <c r="B580" s="168" t="s">
        <v>25</v>
      </c>
      <c r="C580" s="173"/>
      <c r="D580" s="173"/>
    </row>
    <row r="581" ht="15.75" customHeight="1">
      <c r="A581" s="174" t="s">
        <v>1255</v>
      </c>
      <c r="B581" s="172" t="s">
        <v>25</v>
      </c>
      <c r="C581" s="180"/>
      <c r="D581" s="180"/>
    </row>
    <row r="582" ht="15.75" customHeight="1">
      <c r="A582" s="174" t="s">
        <v>1274</v>
      </c>
      <c r="B582" s="174" t="s">
        <v>25</v>
      </c>
      <c r="C582" s="180"/>
      <c r="D582" s="180"/>
    </row>
    <row r="583" ht="15.75" customHeight="1">
      <c r="A583" s="174" t="s">
        <v>1289</v>
      </c>
      <c r="B583" s="174" t="s">
        <v>25</v>
      </c>
      <c r="C583" s="180"/>
      <c r="D583" s="180"/>
    </row>
    <row r="584" ht="15.75" customHeight="1">
      <c r="A584" s="168" t="s">
        <v>1290</v>
      </c>
      <c r="B584" s="175" t="s">
        <v>25</v>
      </c>
      <c r="C584" s="173"/>
      <c r="D584" s="173"/>
    </row>
    <row r="585" ht="15.75" customHeight="1">
      <c r="A585" s="168" t="s">
        <v>1402</v>
      </c>
      <c r="B585" s="175" t="s">
        <v>25</v>
      </c>
      <c r="C585" s="173"/>
      <c r="D585" s="173"/>
    </row>
    <row r="586" ht="15.75" customHeight="1">
      <c r="A586" s="168" t="s">
        <v>1420</v>
      </c>
      <c r="B586" s="175" t="s">
        <v>25</v>
      </c>
      <c r="C586" s="173"/>
      <c r="D586" s="173"/>
    </row>
    <row r="587" ht="15.75" customHeight="1">
      <c r="A587" s="174" t="s">
        <v>1428</v>
      </c>
      <c r="B587" s="172" t="s">
        <v>25</v>
      </c>
      <c r="C587" s="180"/>
      <c r="D587" s="180"/>
    </row>
    <row r="588" ht="15.75" customHeight="1">
      <c r="A588" s="168" t="s">
        <v>1448</v>
      </c>
      <c r="B588" s="175" t="s">
        <v>25</v>
      </c>
      <c r="C588" s="173"/>
      <c r="D588" s="173"/>
    </row>
    <row r="589" ht="15.75" customHeight="1">
      <c r="A589" s="168" t="s">
        <v>1475</v>
      </c>
      <c r="B589" s="175" t="s">
        <v>25</v>
      </c>
      <c r="C589" s="173"/>
      <c r="D589" s="173"/>
    </row>
    <row r="590" ht="15.75" customHeight="1">
      <c r="A590" s="168" t="s">
        <v>1502</v>
      </c>
      <c r="B590" s="175" t="s">
        <v>25</v>
      </c>
      <c r="C590" s="173"/>
      <c r="D590" s="173"/>
    </row>
    <row r="591" ht="15.75" customHeight="1">
      <c r="A591" s="174" t="s">
        <v>2095</v>
      </c>
      <c r="B591" s="172" t="s">
        <v>25</v>
      </c>
      <c r="C591" s="180"/>
      <c r="D591" s="180"/>
    </row>
    <row r="592" ht="15.75" customHeight="1">
      <c r="A592" s="168" t="s">
        <v>1518</v>
      </c>
      <c r="B592" s="175" t="s">
        <v>25</v>
      </c>
      <c r="C592" s="173"/>
      <c r="D592" s="173"/>
    </row>
    <row r="593" ht="15.75" customHeight="1">
      <c r="A593" s="168" t="s">
        <v>1546</v>
      </c>
      <c r="B593" s="168" t="s">
        <v>25</v>
      </c>
      <c r="C593" s="173"/>
      <c r="D593" s="173"/>
    </row>
    <row r="594" ht="15.75" customHeight="1">
      <c r="A594" s="174" t="s">
        <v>1607</v>
      </c>
      <c r="B594" s="175" t="s">
        <v>25</v>
      </c>
      <c r="C594" s="180"/>
      <c r="D594" s="180"/>
    </row>
    <row r="595" ht="15.75" customHeight="1">
      <c r="A595" s="174" t="s">
        <v>1679</v>
      </c>
      <c r="B595" s="172" t="s">
        <v>25</v>
      </c>
      <c r="C595" s="173"/>
      <c r="D595" s="173"/>
    </row>
    <row r="596" ht="15.75" customHeight="1">
      <c r="A596" s="168" t="s">
        <v>1714</v>
      </c>
      <c r="B596" s="172" t="s">
        <v>25</v>
      </c>
      <c r="C596" s="193"/>
      <c r="D596" s="193"/>
    </row>
    <row r="597" ht="15.75" customHeight="1">
      <c r="A597" s="168" t="s">
        <v>2096</v>
      </c>
      <c r="B597" s="174" t="s">
        <v>25</v>
      </c>
      <c r="C597" s="193"/>
      <c r="D597" s="197" t="s">
        <v>2097</v>
      </c>
    </row>
    <row r="598" ht="15.75" customHeight="1">
      <c r="A598" s="174" t="s">
        <v>1718</v>
      </c>
      <c r="B598" s="175" t="s">
        <v>25</v>
      </c>
      <c r="C598" s="180"/>
      <c r="D598" s="180"/>
    </row>
    <row r="599" ht="15.75" customHeight="1">
      <c r="A599" s="174" t="s">
        <v>1723</v>
      </c>
      <c r="B599" s="172" t="s">
        <v>25</v>
      </c>
      <c r="C599" s="170"/>
      <c r="D599" s="170"/>
    </row>
    <row r="600" ht="15.75" customHeight="1">
      <c r="A600" s="168" t="s">
        <v>1729</v>
      </c>
      <c r="B600" s="175" t="s">
        <v>25</v>
      </c>
      <c r="C600" s="167"/>
      <c r="D600" s="167"/>
    </row>
    <row r="601" ht="15.75" customHeight="1">
      <c r="A601" s="168" t="s">
        <v>1739</v>
      </c>
      <c r="B601" s="172" t="s">
        <v>25</v>
      </c>
      <c r="C601" s="173"/>
      <c r="D601" s="173"/>
    </row>
    <row r="602" ht="15.75" customHeight="1">
      <c r="A602" s="174" t="s">
        <v>1779</v>
      </c>
      <c r="B602" s="175" t="s">
        <v>25</v>
      </c>
      <c r="C602" s="180"/>
      <c r="D602" s="180"/>
    </row>
    <row r="603" ht="15.75" customHeight="1">
      <c r="A603" s="168" t="s">
        <v>1825</v>
      </c>
      <c r="B603" s="172" t="s">
        <v>25</v>
      </c>
      <c r="C603" s="193"/>
      <c r="D603" s="193"/>
    </row>
    <row r="604" ht="15.75" customHeight="1">
      <c r="A604" s="166" t="s">
        <v>2098</v>
      </c>
      <c r="B604" s="175" t="s">
        <v>25</v>
      </c>
      <c r="C604" s="193"/>
      <c r="D604" s="193"/>
    </row>
    <row r="605" ht="15.75" customHeight="1">
      <c r="A605" s="174" t="s">
        <v>1953</v>
      </c>
      <c r="B605" s="172" t="s">
        <v>25</v>
      </c>
      <c r="C605" s="195"/>
      <c r="D605" s="195"/>
    </row>
    <row r="606" ht="15.75" customHeight="1">
      <c r="A606" s="174" t="s">
        <v>2099</v>
      </c>
      <c r="B606" s="172" t="s">
        <v>51</v>
      </c>
      <c r="C606" s="185" t="s">
        <v>2012</v>
      </c>
      <c r="D606" s="180"/>
    </row>
    <row r="607" ht="15.75" customHeight="1">
      <c r="A607" s="174" t="s">
        <v>63</v>
      </c>
      <c r="B607" s="172" t="s">
        <v>51</v>
      </c>
      <c r="C607" s="173"/>
      <c r="D607" s="173"/>
    </row>
    <row r="608" ht="15.75" customHeight="1">
      <c r="A608" s="166" t="s">
        <v>134</v>
      </c>
      <c r="B608" s="175" t="s">
        <v>51</v>
      </c>
      <c r="C608" s="193"/>
      <c r="D608" s="193"/>
    </row>
    <row r="609" ht="15.75" customHeight="1">
      <c r="A609" s="168" t="s">
        <v>304</v>
      </c>
      <c r="B609" s="175" t="s">
        <v>51</v>
      </c>
      <c r="C609" s="173"/>
      <c r="D609" s="173"/>
    </row>
    <row r="610" ht="15.75" customHeight="1">
      <c r="A610" s="168" t="s">
        <v>342</v>
      </c>
      <c r="B610" s="168" t="s">
        <v>51</v>
      </c>
      <c r="C610" s="173"/>
      <c r="D610" s="173"/>
    </row>
    <row r="611" ht="15.75" customHeight="1">
      <c r="A611" s="168" t="s">
        <v>345</v>
      </c>
      <c r="B611" s="175" t="s">
        <v>51</v>
      </c>
      <c r="C611" s="173"/>
      <c r="D611" s="173"/>
    </row>
    <row r="612" ht="15.75" customHeight="1">
      <c r="A612" s="168" t="s">
        <v>509</v>
      </c>
      <c r="B612" s="175" t="s">
        <v>51</v>
      </c>
      <c r="C612" s="173"/>
      <c r="D612" s="173"/>
    </row>
    <row r="613" ht="15.75" customHeight="1">
      <c r="A613" s="168" t="s">
        <v>558</v>
      </c>
      <c r="B613" s="175" t="s">
        <v>51</v>
      </c>
      <c r="C613" s="173"/>
      <c r="D613" s="173"/>
    </row>
    <row r="614" ht="15.75" customHeight="1">
      <c r="A614" s="168" t="s">
        <v>581</v>
      </c>
      <c r="B614" s="168" t="s">
        <v>51</v>
      </c>
      <c r="C614" s="173"/>
      <c r="D614" s="173"/>
    </row>
    <row r="615" ht="15.75" customHeight="1">
      <c r="A615" s="168" t="s">
        <v>591</v>
      </c>
      <c r="B615" s="175" t="s">
        <v>51</v>
      </c>
      <c r="C615" s="173"/>
      <c r="D615" s="173"/>
    </row>
    <row r="616" ht="15.75" customHeight="1">
      <c r="A616" s="168" t="s">
        <v>598</v>
      </c>
      <c r="B616" s="175" t="s">
        <v>51</v>
      </c>
      <c r="C616" s="173"/>
      <c r="D616" s="173"/>
    </row>
    <row r="617" ht="15.75" customHeight="1">
      <c r="A617" s="168" t="s">
        <v>666</v>
      </c>
      <c r="B617" s="175" t="s">
        <v>51</v>
      </c>
      <c r="C617" s="173"/>
      <c r="D617" s="173"/>
    </row>
    <row r="618" ht="15.75" customHeight="1">
      <c r="A618" s="168" t="s">
        <v>699</v>
      </c>
      <c r="B618" s="175" t="s">
        <v>51</v>
      </c>
      <c r="C618" s="173"/>
      <c r="D618" s="173"/>
    </row>
    <row r="619" ht="15.75" customHeight="1">
      <c r="A619" s="168" t="s">
        <v>745</v>
      </c>
      <c r="B619" s="175" t="s">
        <v>51</v>
      </c>
      <c r="C619" s="173"/>
      <c r="D619" s="173"/>
    </row>
    <row r="620" ht="15.75" customHeight="1">
      <c r="A620" s="168" t="s">
        <v>768</v>
      </c>
      <c r="B620" s="175" t="s">
        <v>51</v>
      </c>
      <c r="C620" s="173"/>
      <c r="D620" s="173"/>
    </row>
    <row r="621" ht="15.75" customHeight="1">
      <c r="A621" s="168" t="s">
        <v>826</v>
      </c>
      <c r="B621" s="175" t="s">
        <v>51</v>
      </c>
      <c r="C621" s="173"/>
      <c r="D621" s="173"/>
    </row>
    <row r="622" ht="15.75" customHeight="1">
      <c r="A622" s="168" t="s">
        <v>826</v>
      </c>
      <c r="B622" s="175" t="s">
        <v>51</v>
      </c>
      <c r="C622" s="173"/>
      <c r="D622" s="173"/>
    </row>
    <row r="623" ht="15.75" customHeight="1">
      <c r="A623" s="168" t="s">
        <v>827</v>
      </c>
      <c r="B623" s="175" t="s">
        <v>51</v>
      </c>
      <c r="C623" s="173"/>
      <c r="D623" s="173"/>
    </row>
    <row r="624" ht="15.75" customHeight="1">
      <c r="A624" s="168" t="s">
        <v>867</v>
      </c>
      <c r="B624" s="175" t="s">
        <v>51</v>
      </c>
      <c r="C624" s="173"/>
      <c r="D624" s="173"/>
    </row>
    <row r="625" ht="15.75" customHeight="1">
      <c r="A625" s="168" t="s">
        <v>923</v>
      </c>
      <c r="B625" s="175" t="s">
        <v>51</v>
      </c>
      <c r="C625" s="173"/>
      <c r="D625" s="173"/>
    </row>
    <row r="626" ht="15.75" customHeight="1">
      <c r="A626" s="168" t="s">
        <v>928</v>
      </c>
      <c r="B626" s="175" t="s">
        <v>51</v>
      </c>
      <c r="C626" s="173"/>
      <c r="D626" s="173"/>
    </row>
    <row r="627" ht="15.75" customHeight="1">
      <c r="A627" s="168" t="s">
        <v>1015</v>
      </c>
      <c r="B627" s="175" t="s">
        <v>51</v>
      </c>
      <c r="C627" s="173"/>
      <c r="D627" s="173"/>
    </row>
    <row r="628" ht="15.75" customHeight="1">
      <c r="A628" s="168" t="s">
        <v>1079</v>
      </c>
      <c r="B628" s="175" t="s">
        <v>51</v>
      </c>
      <c r="C628" s="173"/>
      <c r="D628" s="173"/>
    </row>
    <row r="629" ht="15.75" customHeight="1">
      <c r="A629" s="168" t="s">
        <v>1094</v>
      </c>
      <c r="B629" s="175" t="s">
        <v>51</v>
      </c>
      <c r="C629" s="173"/>
      <c r="D629" s="173"/>
    </row>
    <row r="630" ht="15.75" customHeight="1">
      <c r="A630" s="168" t="s">
        <v>1137</v>
      </c>
      <c r="B630" s="175" t="s">
        <v>51</v>
      </c>
      <c r="C630" s="173"/>
      <c r="D630" s="173"/>
    </row>
    <row r="631" ht="15.75" customHeight="1">
      <c r="A631" s="168" t="s">
        <v>2100</v>
      </c>
      <c r="B631" s="175" t="s">
        <v>51</v>
      </c>
      <c r="C631" s="173"/>
      <c r="D631" s="173"/>
    </row>
    <row r="632" ht="15.75" customHeight="1">
      <c r="A632" s="168" t="s">
        <v>2101</v>
      </c>
      <c r="B632" s="175" t="s">
        <v>51</v>
      </c>
      <c r="C632" s="173"/>
      <c r="D632" s="173"/>
    </row>
    <row r="633" ht="15.75" customHeight="1">
      <c r="A633" s="168" t="s">
        <v>1285</v>
      </c>
      <c r="B633" s="175" t="s">
        <v>51</v>
      </c>
      <c r="C633" s="173"/>
      <c r="D633" s="173"/>
    </row>
    <row r="634" ht="15.75" customHeight="1">
      <c r="A634" s="174" t="s">
        <v>1293</v>
      </c>
      <c r="B634" s="168" t="s">
        <v>51</v>
      </c>
      <c r="C634" s="173"/>
      <c r="D634" s="173"/>
    </row>
    <row r="635" ht="15.75" customHeight="1">
      <c r="A635" s="168" t="s">
        <v>1369</v>
      </c>
      <c r="B635" s="175" t="s">
        <v>51</v>
      </c>
      <c r="C635" s="167"/>
      <c r="D635" s="167"/>
    </row>
    <row r="636" ht="15.75" customHeight="1">
      <c r="A636" s="168" t="s">
        <v>1408</v>
      </c>
      <c r="B636" s="175" t="s">
        <v>51</v>
      </c>
      <c r="C636" s="167"/>
      <c r="D636" s="167"/>
    </row>
    <row r="637" ht="15.75" customHeight="1">
      <c r="A637" s="174" t="s">
        <v>1418</v>
      </c>
      <c r="B637" s="175" t="s">
        <v>51</v>
      </c>
      <c r="C637" s="180"/>
      <c r="D637" s="180"/>
    </row>
    <row r="638" ht="15.75" customHeight="1">
      <c r="A638" s="174" t="s">
        <v>1419</v>
      </c>
      <c r="B638" s="175" t="s">
        <v>51</v>
      </c>
      <c r="C638" s="180"/>
      <c r="D638" s="180"/>
    </row>
    <row r="639" ht="15.75" customHeight="1">
      <c r="A639" s="174" t="s">
        <v>1456</v>
      </c>
      <c r="B639" s="175" t="s">
        <v>51</v>
      </c>
      <c r="C639" s="180"/>
      <c r="D639" s="180"/>
    </row>
    <row r="640" ht="15.75" customHeight="1">
      <c r="A640" s="174" t="s">
        <v>1501</v>
      </c>
      <c r="B640" s="175" t="s">
        <v>51</v>
      </c>
      <c r="C640" s="180"/>
      <c r="D640" s="180"/>
    </row>
    <row r="641" ht="15.75" customHeight="1">
      <c r="A641" s="168" t="s">
        <v>2102</v>
      </c>
      <c r="B641" s="175" t="s">
        <v>51</v>
      </c>
      <c r="C641" s="173"/>
      <c r="D641" s="173"/>
    </row>
    <row r="642" ht="15.75" customHeight="1">
      <c r="A642" s="168" t="s">
        <v>1532</v>
      </c>
      <c r="B642" s="175" t="s">
        <v>51</v>
      </c>
      <c r="C642" s="173"/>
      <c r="D642" s="173"/>
    </row>
    <row r="643" ht="15.75" customHeight="1">
      <c r="A643" s="174" t="s">
        <v>1534</v>
      </c>
      <c r="B643" s="175" t="s">
        <v>51</v>
      </c>
      <c r="C643" s="180"/>
      <c r="D643" s="180"/>
    </row>
    <row r="644" ht="15.75" customHeight="1">
      <c r="A644" s="174" t="s">
        <v>1552</v>
      </c>
      <c r="B644" s="175" t="s">
        <v>51</v>
      </c>
      <c r="C644" s="180"/>
      <c r="D644" s="180"/>
    </row>
    <row r="645" ht="15.75" customHeight="1">
      <c r="A645" s="168" t="s">
        <v>1555</v>
      </c>
      <c r="B645" s="175" t="s">
        <v>51</v>
      </c>
      <c r="C645" s="173"/>
      <c r="D645" s="173"/>
    </row>
    <row r="646" ht="15.75" customHeight="1">
      <c r="A646" s="168" t="s">
        <v>1557</v>
      </c>
      <c r="B646" s="175" t="s">
        <v>51</v>
      </c>
      <c r="C646" s="173"/>
      <c r="D646" s="173"/>
    </row>
    <row r="647" ht="15.75" customHeight="1">
      <c r="A647" s="168" t="s">
        <v>1568</v>
      </c>
      <c r="B647" s="175" t="s">
        <v>51</v>
      </c>
      <c r="C647" s="173"/>
      <c r="D647" s="173"/>
    </row>
    <row r="648" ht="15.75" customHeight="1">
      <c r="A648" s="168" t="s">
        <v>1676</v>
      </c>
      <c r="B648" s="175" t="s">
        <v>51</v>
      </c>
      <c r="C648" s="167"/>
      <c r="D648" s="167"/>
    </row>
    <row r="649" ht="15.75" customHeight="1">
      <c r="A649" s="168" t="s">
        <v>1728</v>
      </c>
      <c r="B649" s="168" t="s">
        <v>51</v>
      </c>
      <c r="C649" s="167"/>
      <c r="D649" s="167"/>
    </row>
    <row r="650" ht="15.75" customHeight="1">
      <c r="A650" s="168" t="s">
        <v>1783</v>
      </c>
      <c r="B650" s="175" t="s">
        <v>51</v>
      </c>
      <c r="C650" s="167"/>
      <c r="D650" s="167"/>
    </row>
    <row r="651" ht="15.75" customHeight="1">
      <c r="A651" s="174" t="s">
        <v>1891</v>
      </c>
      <c r="B651" s="175" t="s">
        <v>51</v>
      </c>
      <c r="C651" s="170"/>
      <c r="D651" s="170"/>
    </row>
    <row r="652" ht="15.75" customHeight="1">
      <c r="A652" s="168" t="s">
        <v>1957</v>
      </c>
      <c r="B652" s="175" t="s">
        <v>51</v>
      </c>
      <c r="C652" s="173"/>
      <c r="D652" s="173"/>
    </row>
    <row r="653" ht="15.75" customHeight="1">
      <c r="A653" s="168" t="s">
        <v>723</v>
      </c>
      <c r="B653" s="168" t="s">
        <v>724</v>
      </c>
      <c r="C653" s="194"/>
      <c r="D653" s="173"/>
    </row>
    <row r="654" ht="15.75" customHeight="1">
      <c r="A654" s="168" t="s">
        <v>82</v>
      </c>
      <c r="B654" s="168" t="s">
        <v>83</v>
      </c>
      <c r="C654" s="194" t="s">
        <v>2012</v>
      </c>
      <c r="D654" s="173"/>
    </row>
    <row r="655" ht="15.75" customHeight="1">
      <c r="A655" s="168" t="s">
        <v>429</v>
      </c>
      <c r="B655" s="168" t="s">
        <v>83</v>
      </c>
      <c r="C655" s="173"/>
      <c r="D655" s="173"/>
    </row>
    <row r="656" ht="15.75" customHeight="1">
      <c r="A656" s="168" t="s">
        <v>489</v>
      </c>
      <c r="B656" s="168" t="s">
        <v>83</v>
      </c>
      <c r="C656" s="173"/>
      <c r="D656" s="173"/>
    </row>
    <row r="657" ht="15.75" customHeight="1">
      <c r="A657" s="168" t="s">
        <v>674</v>
      </c>
      <c r="B657" s="168" t="s">
        <v>83</v>
      </c>
      <c r="C657" s="173"/>
      <c r="D657" s="173"/>
    </row>
    <row r="658" ht="15.75" customHeight="1">
      <c r="A658" s="168" t="s">
        <v>873</v>
      </c>
      <c r="B658" s="168" t="s">
        <v>83</v>
      </c>
      <c r="C658" s="173"/>
      <c r="D658" s="173"/>
    </row>
    <row r="659" ht="15.75" customHeight="1">
      <c r="A659" s="168" t="s">
        <v>921</v>
      </c>
      <c r="B659" s="168" t="s">
        <v>83</v>
      </c>
      <c r="C659" s="173"/>
      <c r="D659" s="173"/>
    </row>
    <row r="660" ht="15.75" customHeight="1">
      <c r="A660" s="168" t="s">
        <v>1003</v>
      </c>
      <c r="B660" s="168" t="s">
        <v>83</v>
      </c>
      <c r="C660" s="173"/>
      <c r="D660" s="173"/>
    </row>
    <row r="661" ht="15.75" customHeight="1">
      <c r="A661" s="168" t="s">
        <v>1121</v>
      </c>
      <c r="B661" s="168" t="s">
        <v>83</v>
      </c>
      <c r="C661" s="173"/>
      <c r="D661" s="173"/>
    </row>
    <row r="662" ht="15.75" customHeight="1">
      <c r="A662" s="168" t="s">
        <v>1272</v>
      </c>
      <c r="B662" s="168" t="s">
        <v>83</v>
      </c>
      <c r="C662" s="173"/>
      <c r="D662" s="173"/>
    </row>
    <row r="663" ht="15.75" customHeight="1">
      <c r="A663" s="168" t="s">
        <v>1710</v>
      </c>
      <c r="B663" s="168" t="s">
        <v>83</v>
      </c>
      <c r="C663" s="173"/>
      <c r="D663" s="173"/>
    </row>
    <row r="664" ht="15.75" customHeight="1">
      <c r="A664" s="168" t="s">
        <v>1902</v>
      </c>
      <c r="B664" s="168" t="s">
        <v>83</v>
      </c>
      <c r="C664" s="173"/>
      <c r="D664" s="173"/>
    </row>
    <row r="665" ht="15.75" customHeight="1">
      <c r="A665" s="174" t="s">
        <v>151</v>
      </c>
      <c r="B665" s="184" t="s">
        <v>152</v>
      </c>
      <c r="C665" s="185" t="s">
        <v>2063</v>
      </c>
      <c r="D665" s="180"/>
    </row>
    <row r="666" ht="15.75" customHeight="1">
      <c r="A666" s="174" t="s">
        <v>432</v>
      </c>
      <c r="B666" s="186" t="s">
        <v>152</v>
      </c>
      <c r="C666" s="185"/>
      <c r="D666" s="180"/>
    </row>
    <row r="667" ht="15.75" customHeight="1">
      <c r="A667" s="168" t="s">
        <v>444</v>
      </c>
      <c r="B667" s="186" t="s">
        <v>152</v>
      </c>
      <c r="C667" s="173"/>
      <c r="D667" s="173"/>
    </row>
    <row r="668" ht="15.75" customHeight="1">
      <c r="A668" s="174" t="s">
        <v>2103</v>
      </c>
      <c r="B668" s="186" t="s">
        <v>152</v>
      </c>
      <c r="C668" s="180"/>
      <c r="D668" s="180"/>
    </row>
    <row r="669" ht="15.75" customHeight="1">
      <c r="A669" s="174" t="s">
        <v>1041</v>
      </c>
      <c r="B669" s="186" t="s">
        <v>152</v>
      </c>
      <c r="C669" s="180"/>
      <c r="D669" s="180"/>
    </row>
    <row r="670" ht="15.75" customHeight="1">
      <c r="A670" s="174" t="s">
        <v>1062</v>
      </c>
      <c r="B670" s="186" t="s">
        <v>152</v>
      </c>
      <c r="C670" s="180"/>
      <c r="D670" s="180"/>
    </row>
    <row r="671" ht="15.75" customHeight="1">
      <c r="A671" s="174" t="s">
        <v>1262</v>
      </c>
      <c r="B671" s="186" t="s">
        <v>152</v>
      </c>
      <c r="C671" s="180"/>
      <c r="D671" s="180"/>
    </row>
    <row r="672" ht="15.75" customHeight="1">
      <c r="A672" s="174" t="s">
        <v>1359</v>
      </c>
      <c r="B672" s="186" t="s">
        <v>152</v>
      </c>
      <c r="C672" s="180"/>
      <c r="D672" s="180"/>
    </row>
    <row r="673" ht="15.75" customHeight="1">
      <c r="A673" s="174" t="s">
        <v>1387</v>
      </c>
      <c r="B673" s="184" t="s">
        <v>152</v>
      </c>
      <c r="C673" s="180"/>
      <c r="D673" s="180"/>
    </row>
    <row r="674" ht="15.75" customHeight="1">
      <c r="A674" s="174" t="s">
        <v>1511</v>
      </c>
      <c r="B674" s="186" t="s">
        <v>152</v>
      </c>
      <c r="C674" s="180"/>
      <c r="D674" s="180"/>
    </row>
    <row r="675" ht="15.75" customHeight="1">
      <c r="A675" s="174" t="s">
        <v>1751</v>
      </c>
      <c r="B675" s="186" t="s">
        <v>152</v>
      </c>
      <c r="C675" s="180"/>
      <c r="D675" s="180"/>
    </row>
    <row r="676" ht="15.75" customHeight="1">
      <c r="A676" s="171" t="s">
        <v>1821</v>
      </c>
      <c r="B676" s="186" t="s">
        <v>152</v>
      </c>
      <c r="C676" s="170"/>
      <c r="D676" s="170"/>
    </row>
    <row r="677" ht="15.75" customHeight="1">
      <c r="A677" s="174" t="s">
        <v>1904</v>
      </c>
      <c r="B677" s="186" t="s">
        <v>152</v>
      </c>
      <c r="C677" s="180"/>
      <c r="D677" s="180"/>
    </row>
    <row r="678" ht="15.75" customHeight="1">
      <c r="A678" s="168" t="s">
        <v>360</v>
      </c>
      <c r="B678" s="186" t="s">
        <v>361</v>
      </c>
      <c r="C678" s="194" t="s">
        <v>2012</v>
      </c>
      <c r="D678" s="173"/>
    </row>
    <row r="679" ht="15.75" customHeight="1">
      <c r="A679" s="174" t="s">
        <v>366</v>
      </c>
      <c r="B679" s="186" t="s">
        <v>361</v>
      </c>
      <c r="C679" s="180"/>
      <c r="D679" s="180"/>
    </row>
    <row r="680" ht="15.75" customHeight="1">
      <c r="A680" s="171" t="s">
        <v>493</v>
      </c>
      <c r="B680" s="186" t="s">
        <v>361</v>
      </c>
      <c r="C680" s="180"/>
      <c r="D680" s="180"/>
    </row>
    <row r="681" ht="15.75" customHeight="1">
      <c r="A681" s="168" t="s">
        <v>2104</v>
      </c>
      <c r="B681" s="186" t="s">
        <v>361</v>
      </c>
      <c r="C681" s="173"/>
      <c r="D681" s="173"/>
    </row>
    <row r="682" ht="15.75" customHeight="1">
      <c r="A682" s="174" t="s">
        <v>905</v>
      </c>
      <c r="B682" s="186" t="s">
        <v>361</v>
      </c>
      <c r="C682" s="180"/>
      <c r="D682" s="180"/>
    </row>
    <row r="683" ht="15.75" customHeight="1">
      <c r="A683" s="174" t="s">
        <v>1055</v>
      </c>
      <c r="B683" s="184" t="s">
        <v>361</v>
      </c>
      <c r="C683" s="180"/>
      <c r="D683" s="180"/>
    </row>
    <row r="684" ht="15.75" customHeight="1">
      <c r="A684" s="174" t="s">
        <v>1423</v>
      </c>
      <c r="B684" s="186" t="s">
        <v>361</v>
      </c>
      <c r="C684" s="180"/>
      <c r="D684" s="180"/>
    </row>
    <row r="685" ht="15.75" customHeight="1">
      <c r="A685" s="174" t="s">
        <v>1538</v>
      </c>
      <c r="B685" s="186" t="s">
        <v>361</v>
      </c>
      <c r="C685" s="180"/>
      <c r="D685" s="180"/>
    </row>
    <row r="686" ht="15.75" customHeight="1">
      <c r="A686" s="174" t="s">
        <v>1670</v>
      </c>
      <c r="B686" s="184" t="s">
        <v>361</v>
      </c>
      <c r="C686" s="180"/>
      <c r="D686" s="180"/>
    </row>
    <row r="687" ht="15.75" customHeight="1">
      <c r="A687" s="174" t="s">
        <v>1759</v>
      </c>
      <c r="B687" s="186" t="s">
        <v>361</v>
      </c>
      <c r="C687" s="180"/>
      <c r="D687" s="180"/>
    </row>
    <row r="688" ht="15.75" customHeight="1">
      <c r="A688" s="174" t="s">
        <v>1850</v>
      </c>
      <c r="B688" s="186" t="s">
        <v>361</v>
      </c>
      <c r="C688" s="180"/>
      <c r="D688" s="180"/>
    </row>
    <row r="689" ht="15.75" customHeight="1">
      <c r="A689" s="168" t="s">
        <v>385</v>
      </c>
      <c r="B689" s="186" t="s">
        <v>386</v>
      </c>
      <c r="C689" s="194" t="s">
        <v>2012</v>
      </c>
      <c r="D689" s="173"/>
    </row>
    <row r="690" ht="15.75" customHeight="1">
      <c r="A690" s="168" t="s">
        <v>397</v>
      </c>
      <c r="B690" s="186" t="s">
        <v>386</v>
      </c>
      <c r="C690" s="173"/>
      <c r="D690" s="173"/>
    </row>
    <row r="691" ht="15.75" customHeight="1">
      <c r="A691" s="168" t="s">
        <v>2105</v>
      </c>
      <c r="B691" s="186" t="s">
        <v>386</v>
      </c>
      <c r="C691" s="173"/>
      <c r="D691" s="173"/>
    </row>
    <row r="692" ht="15.75" customHeight="1">
      <c r="A692" s="168" t="s">
        <v>2105</v>
      </c>
      <c r="B692" s="186" t="s">
        <v>386</v>
      </c>
      <c r="C692" s="173"/>
      <c r="D692" s="173"/>
    </row>
    <row r="693" ht="15.75" customHeight="1">
      <c r="A693" s="168" t="s">
        <v>2106</v>
      </c>
      <c r="B693" s="186" t="s">
        <v>386</v>
      </c>
      <c r="C693" s="173"/>
      <c r="D693" s="173"/>
    </row>
    <row r="694" ht="15.75" customHeight="1">
      <c r="A694" s="168" t="s">
        <v>2107</v>
      </c>
      <c r="B694" s="186" t="s">
        <v>386</v>
      </c>
      <c r="C694" s="173"/>
      <c r="D694" s="173"/>
    </row>
    <row r="695" ht="15.75" customHeight="1">
      <c r="A695" s="174" t="s">
        <v>520</v>
      </c>
      <c r="B695" s="186" t="s">
        <v>386</v>
      </c>
      <c r="C695" s="195"/>
      <c r="D695" s="195"/>
    </row>
    <row r="696" ht="15.75" customHeight="1">
      <c r="A696" s="174" t="s">
        <v>1117</v>
      </c>
      <c r="B696" s="186" t="s">
        <v>386</v>
      </c>
      <c r="C696" s="180"/>
      <c r="D696" s="180"/>
    </row>
    <row r="697" ht="15.75" customHeight="1">
      <c r="A697" s="168" t="s">
        <v>1193</v>
      </c>
      <c r="B697" s="186" t="s">
        <v>386</v>
      </c>
      <c r="C697" s="173"/>
      <c r="D697" s="173"/>
    </row>
    <row r="698" ht="15.75" customHeight="1">
      <c r="A698" s="168" t="s">
        <v>1370</v>
      </c>
      <c r="B698" s="186" t="s">
        <v>386</v>
      </c>
      <c r="C698" s="173"/>
      <c r="D698" s="173"/>
    </row>
    <row r="699" ht="15.75" customHeight="1">
      <c r="A699" s="168" t="s">
        <v>1409</v>
      </c>
      <c r="B699" s="186" t="s">
        <v>386</v>
      </c>
      <c r="C699" s="173"/>
      <c r="D699" s="173"/>
    </row>
    <row r="700" ht="15.75" customHeight="1">
      <c r="A700" s="168" t="s">
        <v>2108</v>
      </c>
      <c r="B700" s="186" t="s">
        <v>386</v>
      </c>
      <c r="C700" s="173"/>
      <c r="D700" s="173"/>
    </row>
    <row r="701" ht="15.75" customHeight="1">
      <c r="A701" s="168" t="s">
        <v>1605</v>
      </c>
      <c r="B701" s="186" t="s">
        <v>386</v>
      </c>
      <c r="C701" s="173"/>
      <c r="D701" s="173"/>
    </row>
    <row r="702" ht="15.75" customHeight="1">
      <c r="A702" s="168" t="s">
        <v>1660</v>
      </c>
      <c r="B702" s="184" t="s">
        <v>386</v>
      </c>
      <c r="C702" s="173"/>
      <c r="D702" s="173"/>
    </row>
    <row r="703" ht="15.75" customHeight="1">
      <c r="A703" s="168" t="s">
        <v>1689</v>
      </c>
      <c r="B703" s="184" t="s">
        <v>386</v>
      </c>
      <c r="C703" s="173"/>
      <c r="D703" s="173"/>
    </row>
    <row r="704" ht="15.75" customHeight="1">
      <c r="A704" s="168" t="s">
        <v>1834</v>
      </c>
      <c r="B704" s="186" t="s">
        <v>386</v>
      </c>
      <c r="C704" s="173"/>
      <c r="D704" s="173"/>
    </row>
    <row r="705" ht="15.75" customHeight="1">
      <c r="A705" s="168" t="s">
        <v>249</v>
      </c>
      <c r="B705" s="189" t="s">
        <v>250</v>
      </c>
      <c r="C705" s="194" t="s">
        <v>2109</v>
      </c>
      <c r="D705" s="167"/>
    </row>
    <row r="706" ht="15.75" customHeight="1">
      <c r="A706" s="174" t="s">
        <v>492</v>
      </c>
      <c r="B706" s="186" t="s">
        <v>250</v>
      </c>
      <c r="C706" s="180"/>
      <c r="D706" s="180"/>
    </row>
    <row r="707" ht="15.75" customHeight="1">
      <c r="A707" s="174" t="s">
        <v>517</v>
      </c>
      <c r="B707" s="184" t="s">
        <v>250</v>
      </c>
      <c r="C707" s="180"/>
      <c r="D707" s="180"/>
    </row>
    <row r="708" ht="15.75" customHeight="1">
      <c r="A708" s="168" t="s">
        <v>518</v>
      </c>
      <c r="B708" s="186" t="s">
        <v>250</v>
      </c>
      <c r="C708" s="173"/>
      <c r="D708" s="173"/>
    </row>
    <row r="709" ht="15.75" customHeight="1">
      <c r="A709" s="174" t="s">
        <v>590</v>
      </c>
      <c r="B709" s="189" t="s">
        <v>250</v>
      </c>
      <c r="C709" s="170"/>
      <c r="D709" s="170"/>
    </row>
    <row r="710" ht="15.75" customHeight="1">
      <c r="A710" s="174" t="s">
        <v>2110</v>
      </c>
      <c r="B710" s="189" t="s">
        <v>250</v>
      </c>
      <c r="C710" s="170"/>
      <c r="D710" s="170"/>
    </row>
    <row r="711" ht="15.75" customHeight="1">
      <c r="A711" s="174" t="s">
        <v>2111</v>
      </c>
      <c r="B711" s="186" t="s">
        <v>250</v>
      </c>
      <c r="C711" s="180"/>
      <c r="D711" s="180"/>
    </row>
    <row r="712" ht="15.75" customHeight="1">
      <c r="A712" s="168" t="s">
        <v>836</v>
      </c>
      <c r="B712" s="186" t="s">
        <v>250</v>
      </c>
      <c r="C712" s="173"/>
      <c r="D712" s="173"/>
    </row>
    <row r="713" ht="15.75" customHeight="1">
      <c r="A713" s="174" t="s">
        <v>1011</v>
      </c>
      <c r="B713" s="186" t="s">
        <v>250</v>
      </c>
      <c r="C713" s="180"/>
      <c r="D713" s="180"/>
    </row>
    <row r="714" ht="15.75" customHeight="1">
      <c r="A714" s="174" t="s">
        <v>1017</v>
      </c>
      <c r="B714" s="186" t="s">
        <v>250</v>
      </c>
      <c r="C714" s="180"/>
      <c r="D714" s="180"/>
    </row>
    <row r="715" ht="15.75" customHeight="1">
      <c r="A715" s="168" t="s">
        <v>1085</v>
      </c>
      <c r="B715" s="186" t="s">
        <v>250</v>
      </c>
      <c r="C715" s="173"/>
      <c r="D715" s="173"/>
    </row>
    <row r="716" ht="15.75" customHeight="1">
      <c r="A716" s="168" t="s">
        <v>1136</v>
      </c>
      <c r="B716" s="186" t="s">
        <v>250</v>
      </c>
      <c r="C716" s="173"/>
      <c r="D716" s="173"/>
    </row>
    <row r="717" ht="15.75" customHeight="1">
      <c r="A717" s="168" t="s">
        <v>1288</v>
      </c>
      <c r="B717" s="184" t="s">
        <v>250</v>
      </c>
      <c r="C717" s="173"/>
      <c r="D717" s="173"/>
    </row>
    <row r="718" ht="15.75" customHeight="1">
      <c r="A718" s="168" t="s">
        <v>1308</v>
      </c>
      <c r="B718" s="186" t="s">
        <v>250</v>
      </c>
      <c r="C718" s="173"/>
      <c r="D718" s="173"/>
    </row>
    <row r="719" ht="15.75" customHeight="1">
      <c r="A719" s="168" t="s">
        <v>2112</v>
      </c>
      <c r="B719" s="186" t="s">
        <v>250</v>
      </c>
      <c r="C719" s="173"/>
      <c r="D719" s="173"/>
    </row>
    <row r="720" ht="15.75" customHeight="1">
      <c r="A720" s="168" t="s">
        <v>2113</v>
      </c>
      <c r="B720" s="186" t="s">
        <v>250</v>
      </c>
      <c r="C720" s="173"/>
      <c r="D720" s="173"/>
    </row>
    <row r="721" ht="15.75" customHeight="1">
      <c r="A721" s="168" t="s">
        <v>1860</v>
      </c>
      <c r="B721" s="186" t="s">
        <v>250</v>
      </c>
      <c r="C721" s="173"/>
      <c r="D721" s="173"/>
    </row>
    <row r="722" ht="15.75" customHeight="1">
      <c r="A722" s="168" t="s">
        <v>1862</v>
      </c>
      <c r="B722" s="186" t="s">
        <v>250</v>
      </c>
      <c r="C722" s="173"/>
      <c r="D722" s="173"/>
    </row>
    <row r="723" ht="15.75" customHeight="1">
      <c r="A723" s="168" t="s">
        <v>278</v>
      </c>
      <c r="B723" s="190" t="s">
        <v>279</v>
      </c>
      <c r="C723" s="191" t="s">
        <v>2114</v>
      </c>
      <c r="D723" s="170"/>
    </row>
    <row r="724" ht="15.75" customHeight="1">
      <c r="A724" s="198" t="s">
        <v>283</v>
      </c>
      <c r="B724" s="190" t="s">
        <v>279</v>
      </c>
      <c r="C724" s="191"/>
      <c r="D724" s="170"/>
    </row>
    <row r="725" ht="15.75" customHeight="1">
      <c r="A725" s="168" t="s">
        <v>983</v>
      </c>
      <c r="B725" s="189" t="s">
        <v>279</v>
      </c>
      <c r="C725" s="167"/>
      <c r="D725" s="167"/>
    </row>
    <row r="726" ht="15.75" customHeight="1">
      <c r="A726" s="168" t="s">
        <v>1006</v>
      </c>
      <c r="B726" s="186" t="s">
        <v>279</v>
      </c>
      <c r="C726" s="173"/>
      <c r="D726" s="173"/>
    </row>
    <row r="727" ht="15.75" customHeight="1">
      <c r="A727" s="174" t="s">
        <v>1171</v>
      </c>
      <c r="B727" s="186" t="s">
        <v>279</v>
      </c>
      <c r="C727" s="180"/>
      <c r="D727" s="180"/>
    </row>
    <row r="728" ht="15.75" customHeight="1">
      <c r="A728" s="174" t="s">
        <v>1275</v>
      </c>
      <c r="B728" s="186" t="s">
        <v>279</v>
      </c>
      <c r="C728" s="180"/>
      <c r="D728" s="180"/>
    </row>
    <row r="729" ht="15.75" customHeight="1">
      <c r="A729" s="168" t="s">
        <v>1415</v>
      </c>
      <c r="B729" s="186" t="s">
        <v>279</v>
      </c>
      <c r="C729" s="173"/>
      <c r="D729" s="173"/>
    </row>
    <row r="730" ht="15.75" customHeight="1">
      <c r="A730" s="168" t="s">
        <v>1509</v>
      </c>
      <c r="B730" s="184" t="s">
        <v>279</v>
      </c>
      <c r="C730" s="173"/>
      <c r="D730" s="173"/>
    </row>
    <row r="731" ht="15.75" customHeight="1">
      <c r="A731" s="174" t="s">
        <v>2115</v>
      </c>
      <c r="B731" s="186" t="s">
        <v>279</v>
      </c>
      <c r="C731" s="180"/>
      <c r="D731" s="180"/>
    </row>
    <row r="732" ht="15.75" customHeight="1">
      <c r="A732" s="174" t="s">
        <v>1577</v>
      </c>
      <c r="B732" s="184" t="s">
        <v>279</v>
      </c>
      <c r="C732" s="180"/>
      <c r="D732" s="180"/>
    </row>
    <row r="733" ht="15.75" customHeight="1">
      <c r="A733" s="174" t="s">
        <v>1808</v>
      </c>
      <c r="B733" s="186" t="s">
        <v>279</v>
      </c>
      <c r="C733" s="180"/>
      <c r="D733" s="180"/>
    </row>
    <row r="734" ht="15.75" customHeight="1">
      <c r="A734" s="174" t="s">
        <v>1809</v>
      </c>
      <c r="B734" s="186" t="s">
        <v>279</v>
      </c>
      <c r="C734" s="180"/>
      <c r="D734" s="180"/>
    </row>
    <row r="735" ht="15.75" customHeight="1">
      <c r="A735" s="174" t="s">
        <v>2116</v>
      </c>
      <c r="B735" s="186" t="s">
        <v>279</v>
      </c>
      <c r="C735" s="170"/>
      <c r="D735" s="170"/>
    </row>
    <row r="736" ht="15.75" customHeight="1">
      <c r="A736" s="174" t="s">
        <v>1811</v>
      </c>
      <c r="B736" s="186" t="s">
        <v>279</v>
      </c>
      <c r="C736" s="170"/>
      <c r="D736" s="170"/>
    </row>
    <row r="737" ht="15.75" customHeight="1">
      <c r="A737" s="174" t="s">
        <v>1812</v>
      </c>
      <c r="B737" s="186" t="s">
        <v>279</v>
      </c>
      <c r="C737" s="170"/>
      <c r="D737" s="170"/>
    </row>
    <row r="738" ht="15.75" customHeight="1">
      <c r="A738" s="168" t="s">
        <v>1814</v>
      </c>
      <c r="B738" s="186" t="s">
        <v>279</v>
      </c>
      <c r="C738" s="173"/>
      <c r="D738" s="173"/>
    </row>
    <row r="739" ht="15.75" customHeight="1">
      <c r="A739" s="174" t="s">
        <v>563</v>
      </c>
      <c r="B739" s="184" t="s">
        <v>564</v>
      </c>
      <c r="C739" s="185"/>
      <c r="D739" s="180"/>
    </row>
    <row r="740" ht="15.75" customHeight="1">
      <c r="A740" s="174" t="s">
        <v>626</v>
      </c>
      <c r="B740" s="184" t="s">
        <v>564</v>
      </c>
      <c r="C740" s="185"/>
      <c r="D740" s="180"/>
    </row>
    <row r="741" ht="15.75" customHeight="1">
      <c r="A741" s="174" t="s">
        <v>255</v>
      </c>
      <c r="B741" s="186" t="s">
        <v>256</v>
      </c>
      <c r="C741" s="185" t="s">
        <v>2117</v>
      </c>
      <c r="D741" s="180"/>
    </row>
    <row r="742" ht="15.75" customHeight="1">
      <c r="A742" s="174" t="s">
        <v>2118</v>
      </c>
      <c r="B742" s="186" t="s">
        <v>256</v>
      </c>
      <c r="C742" s="180"/>
      <c r="D742" s="180"/>
    </row>
    <row r="743" ht="15.75" customHeight="1">
      <c r="A743" s="174" t="s">
        <v>922</v>
      </c>
      <c r="B743" s="186" t="s">
        <v>256</v>
      </c>
      <c r="C743" s="180"/>
      <c r="D743" s="180"/>
    </row>
    <row r="744" ht="15.75" customHeight="1">
      <c r="A744" s="168" t="s">
        <v>980</v>
      </c>
      <c r="B744" s="186" t="s">
        <v>256</v>
      </c>
      <c r="C744" s="173"/>
      <c r="D744" s="173"/>
    </row>
    <row r="745" ht="15.75" customHeight="1">
      <c r="A745" s="174" t="s">
        <v>1101</v>
      </c>
      <c r="B745" s="186" t="s">
        <v>256</v>
      </c>
      <c r="C745" s="180"/>
      <c r="D745" s="180"/>
    </row>
    <row r="746" ht="15.75" customHeight="1">
      <c r="A746" s="168" t="s">
        <v>1145</v>
      </c>
      <c r="B746" s="186" t="s">
        <v>256</v>
      </c>
      <c r="C746" s="173"/>
      <c r="D746" s="173"/>
    </row>
    <row r="747" ht="15.75" customHeight="1">
      <c r="A747" s="174" t="s">
        <v>1246</v>
      </c>
      <c r="B747" s="186" t="s">
        <v>256</v>
      </c>
      <c r="C747" s="180"/>
      <c r="D747" s="180"/>
    </row>
    <row r="748" ht="15.75" customHeight="1">
      <c r="A748" s="174" t="s">
        <v>1385</v>
      </c>
      <c r="B748" s="186" t="s">
        <v>256</v>
      </c>
      <c r="C748" s="180"/>
      <c r="D748" s="180"/>
    </row>
    <row r="749" ht="15.75" customHeight="1">
      <c r="A749" s="174" t="s">
        <v>1472</v>
      </c>
      <c r="B749" s="186" t="s">
        <v>256</v>
      </c>
      <c r="C749" s="180"/>
      <c r="D749" s="180"/>
    </row>
    <row r="750" ht="15.75" customHeight="1">
      <c r="A750" s="174" t="s">
        <v>1725</v>
      </c>
      <c r="B750" s="186" t="s">
        <v>256</v>
      </c>
      <c r="C750" s="180"/>
      <c r="D750" s="180"/>
    </row>
    <row r="751" ht="15.75" customHeight="1">
      <c r="A751" s="174" t="s">
        <v>337</v>
      </c>
      <c r="B751" s="186" t="s">
        <v>338</v>
      </c>
      <c r="C751" s="180" t="s">
        <v>2012</v>
      </c>
      <c r="D751" s="180"/>
    </row>
    <row r="752" ht="15.75" customHeight="1">
      <c r="A752" s="174" t="s">
        <v>863</v>
      </c>
      <c r="B752" s="186" t="s">
        <v>338</v>
      </c>
      <c r="C752" s="180"/>
      <c r="D752" s="180"/>
    </row>
    <row r="753" ht="15.75" customHeight="1">
      <c r="A753" s="174" t="s">
        <v>947</v>
      </c>
      <c r="B753" s="186" t="s">
        <v>338</v>
      </c>
      <c r="C753" s="180"/>
      <c r="D753" s="180"/>
    </row>
    <row r="754" ht="15.75" customHeight="1">
      <c r="A754" s="174" t="s">
        <v>1020</v>
      </c>
      <c r="B754" s="186" t="s">
        <v>338</v>
      </c>
      <c r="C754" s="180"/>
      <c r="D754" s="180"/>
    </row>
    <row r="755" ht="15.75" customHeight="1">
      <c r="A755" s="174" t="s">
        <v>1064</v>
      </c>
      <c r="B755" s="186" t="s">
        <v>338</v>
      </c>
      <c r="C755" s="180"/>
      <c r="D755" s="180"/>
    </row>
    <row r="756" ht="15.75" customHeight="1">
      <c r="A756" s="168" t="s">
        <v>1180</v>
      </c>
      <c r="B756" s="186" t="s">
        <v>338</v>
      </c>
      <c r="C756" s="173"/>
      <c r="D756" s="173"/>
    </row>
    <row r="757" ht="15.75" customHeight="1">
      <c r="A757" s="168" t="s">
        <v>1327</v>
      </c>
      <c r="B757" s="186" t="s">
        <v>338</v>
      </c>
      <c r="C757" s="173"/>
      <c r="D757" s="173"/>
    </row>
    <row r="758" ht="15.75" customHeight="1">
      <c r="A758" s="168" t="s">
        <v>1641</v>
      </c>
      <c r="B758" s="186" t="s">
        <v>338</v>
      </c>
      <c r="C758" s="193"/>
      <c r="D758" s="193"/>
    </row>
    <row r="759" ht="15.75" customHeight="1">
      <c r="A759" s="174" t="s">
        <v>1889</v>
      </c>
      <c r="B759" s="186" t="s">
        <v>338</v>
      </c>
      <c r="C759" s="180"/>
      <c r="D759" s="180"/>
    </row>
    <row r="760" ht="15.75" customHeight="1">
      <c r="A760" s="174" t="s">
        <v>1955</v>
      </c>
      <c r="B760" s="184" t="s">
        <v>338</v>
      </c>
      <c r="C760" s="180"/>
      <c r="D760" s="180"/>
    </row>
    <row r="761" ht="15.75" customHeight="1">
      <c r="A761" s="174" t="s">
        <v>2119</v>
      </c>
      <c r="B761" s="189" t="s">
        <v>173</v>
      </c>
      <c r="C761" s="170" t="s">
        <v>2012</v>
      </c>
      <c r="D761" s="170"/>
    </row>
    <row r="762" ht="15.75" customHeight="1">
      <c r="A762" s="174" t="s">
        <v>367</v>
      </c>
      <c r="B762" s="190" t="s">
        <v>173</v>
      </c>
      <c r="C762" s="170"/>
      <c r="D762" s="170"/>
    </row>
    <row r="763" ht="15.75" customHeight="1">
      <c r="A763" s="188" t="s">
        <v>406</v>
      </c>
      <c r="B763" s="189" t="s">
        <v>173</v>
      </c>
      <c r="C763" s="167"/>
      <c r="D763" s="167"/>
    </row>
    <row r="764" ht="15.75" customHeight="1">
      <c r="A764" s="188" t="s">
        <v>411</v>
      </c>
      <c r="B764" s="190" t="s">
        <v>173</v>
      </c>
      <c r="C764" s="167"/>
      <c r="D764" s="167"/>
    </row>
    <row r="765" ht="15.75" customHeight="1">
      <c r="A765" s="168" t="s">
        <v>694</v>
      </c>
      <c r="B765" s="186" t="s">
        <v>173</v>
      </c>
      <c r="C765" s="173"/>
      <c r="D765" s="173"/>
    </row>
    <row r="766" ht="15.75" customHeight="1">
      <c r="A766" s="174" t="s">
        <v>1122</v>
      </c>
      <c r="B766" s="189" t="s">
        <v>173</v>
      </c>
      <c r="C766" s="170"/>
      <c r="D766" s="170"/>
    </row>
    <row r="767" ht="15.75" customHeight="1">
      <c r="A767" s="174" t="s">
        <v>1356</v>
      </c>
      <c r="B767" s="186" t="s">
        <v>173</v>
      </c>
      <c r="C767" s="180"/>
      <c r="D767" s="180"/>
    </row>
    <row r="768" ht="15.75" customHeight="1">
      <c r="A768" s="168" t="s">
        <v>1473</v>
      </c>
      <c r="B768" s="186" t="s">
        <v>173</v>
      </c>
      <c r="C768" s="173"/>
      <c r="D768" s="173"/>
    </row>
    <row r="769" ht="15.75" customHeight="1">
      <c r="A769" s="168" t="s">
        <v>197</v>
      </c>
      <c r="B769" s="166" t="s">
        <v>198</v>
      </c>
      <c r="C769" s="192" t="s">
        <v>2012</v>
      </c>
      <c r="D769" s="167"/>
    </row>
    <row r="770" ht="15.75" customHeight="1">
      <c r="A770" s="168" t="s">
        <v>341</v>
      </c>
      <c r="B770" s="176" t="s">
        <v>198</v>
      </c>
      <c r="C770" s="192"/>
      <c r="D770" s="167"/>
    </row>
    <row r="771" ht="15.75" customHeight="1">
      <c r="A771" s="168" t="s">
        <v>388</v>
      </c>
      <c r="B771" s="176" t="s">
        <v>198</v>
      </c>
      <c r="C771" s="167"/>
      <c r="D771" s="167"/>
    </row>
    <row r="772" ht="15.75" customHeight="1">
      <c r="A772" s="174" t="s">
        <v>1362</v>
      </c>
      <c r="B772" s="171" t="s">
        <v>198</v>
      </c>
      <c r="C772" s="170"/>
      <c r="D772" s="170"/>
    </row>
    <row r="773" ht="15.75" customHeight="1">
      <c r="A773" s="174" t="s">
        <v>1467</v>
      </c>
      <c r="B773" s="172" t="s">
        <v>198</v>
      </c>
      <c r="C773" s="180"/>
      <c r="D773" s="180"/>
    </row>
    <row r="774" ht="15.75" customHeight="1">
      <c r="A774" s="174" t="s">
        <v>1564</v>
      </c>
      <c r="B774" s="169" t="s">
        <v>198</v>
      </c>
      <c r="C774" s="170"/>
      <c r="D774" s="170"/>
    </row>
    <row r="775" ht="15.75" customHeight="1">
      <c r="A775" s="168" t="s">
        <v>1750</v>
      </c>
      <c r="B775" s="176" t="s">
        <v>198</v>
      </c>
      <c r="C775" s="167"/>
      <c r="D775" s="167"/>
    </row>
    <row r="776" ht="15.75" customHeight="1">
      <c r="A776" s="168" t="s">
        <v>1841</v>
      </c>
      <c r="B776" s="176" t="s">
        <v>198</v>
      </c>
      <c r="C776" s="167"/>
      <c r="D776" s="167"/>
    </row>
    <row r="777" ht="15.75" customHeight="1">
      <c r="A777" s="174" t="s">
        <v>346</v>
      </c>
      <c r="B777" s="166" t="s">
        <v>347</v>
      </c>
      <c r="C777" s="192" t="s">
        <v>2012</v>
      </c>
      <c r="D777" s="167"/>
    </row>
    <row r="778" ht="15.75" customHeight="1">
      <c r="A778" s="174" t="s">
        <v>2120</v>
      </c>
      <c r="B778" s="171" t="s">
        <v>347</v>
      </c>
      <c r="C778" s="170"/>
      <c r="D778" s="170"/>
    </row>
    <row r="779" ht="15.75" customHeight="1">
      <c r="A779" s="174" t="s">
        <v>442</v>
      </c>
      <c r="B779" s="166" t="s">
        <v>347</v>
      </c>
      <c r="C779" s="170"/>
      <c r="D779" s="170"/>
    </row>
    <row r="780" ht="15.75" customHeight="1">
      <c r="A780" s="168" t="s">
        <v>2121</v>
      </c>
      <c r="B780" s="171" t="s">
        <v>347</v>
      </c>
      <c r="C780" s="170"/>
      <c r="D780" s="170"/>
    </row>
    <row r="781" ht="15.75" customHeight="1">
      <c r="A781" s="168" t="s">
        <v>650</v>
      </c>
      <c r="B781" s="166" t="s">
        <v>347</v>
      </c>
      <c r="C781" s="167"/>
      <c r="D781" s="167"/>
    </row>
    <row r="782" ht="15.75" customHeight="1">
      <c r="A782" s="168" t="s">
        <v>2122</v>
      </c>
      <c r="B782" s="171" t="s">
        <v>347</v>
      </c>
      <c r="C782" s="173"/>
      <c r="D782" s="173"/>
    </row>
    <row r="783" ht="15.75" customHeight="1">
      <c r="A783" s="174" t="s">
        <v>673</v>
      </c>
      <c r="B783" s="166" t="s">
        <v>347</v>
      </c>
      <c r="C783" s="180"/>
      <c r="D783" s="180"/>
    </row>
    <row r="784" ht="15.75" customHeight="1">
      <c r="A784" s="174" t="s">
        <v>690</v>
      </c>
      <c r="B784" s="171" t="s">
        <v>347</v>
      </c>
      <c r="C784" s="180"/>
      <c r="D784" s="180"/>
    </row>
    <row r="785" ht="15.75" customHeight="1">
      <c r="A785" s="174" t="s">
        <v>2123</v>
      </c>
      <c r="B785" s="174" t="s">
        <v>68</v>
      </c>
      <c r="C785" s="185" t="s">
        <v>2124</v>
      </c>
      <c r="D785" s="180"/>
    </row>
    <row r="786" ht="15.75" customHeight="1">
      <c r="A786" s="174" t="s">
        <v>103</v>
      </c>
      <c r="B786" s="174" t="s">
        <v>68</v>
      </c>
      <c r="C786" s="180"/>
      <c r="D786" s="180"/>
    </row>
    <row r="787" ht="15.75" customHeight="1">
      <c r="A787" s="174" t="s">
        <v>131</v>
      </c>
      <c r="B787" s="174" t="s">
        <v>68</v>
      </c>
      <c r="C787" s="180"/>
      <c r="D787" s="180"/>
    </row>
    <row r="788" ht="15.75" customHeight="1">
      <c r="A788" s="168" t="s">
        <v>325</v>
      </c>
      <c r="B788" s="174" t="s">
        <v>68</v>
      </c>
      <c r="C788" s="193"/>
      <c r="D788" s="193"/>
    </row>
    <row r="789" ht="15.75" customHeight="1">
      <c r="A789" s="174" t="s">
        <v>503</v>
      </c>
      <c r="B789" s="174" t="s">
        <v>68</v>
      </c>
      <c r="C789" s="180"/>
      <c r="D789" s="180"/>
    </row>
    <row r="790" ht="15.75" customHeight="1">
      <c r="A790" s="168" t="s">
        <v>2125</v>
      </c>
      <c r="B790" s="174" t="s">
        <v>68</v>
      </c>
      <c r="C790" s="173"/>
      <c r="D790" s="173"/>
    </row>
    <row r="791" ht="15.75" customHeight="1">
      <c r="A791" s="168" t="s">
        <v>637</v>
      </c>
      <c r="B791" s="174" t="s">
        <v>68</v>
      </c>
      <c r="C791" s="173"/>
      <c r="D791" s="173"/>
    </row>
    <row r="792" ht="15.75" customHeight="1">
      <c r="A792" s="174" t="s">
        <v>702</v>
      </c>
      <c r="B792" s="174" t="s">
        <v>68</v>
      </c>
      <c r="C792" s="180"/>
      <c r="D792" s="180"/>
    </row>
    <row r="793" ht="15.75" customHeight="1">
      <c r="A793" s="174" t="s">
        <v>776</v>
      </c>
      <c r="B793" s="174" t="s">
        <v>68</v>
      </c>
      <c r="C793" s="180"/>
      <c r="D793" s="180"/>
    </row>
    <row r="794" ht="15.75" customHeight="1">
      <c r="A794" s="168" t="s">
        <v>1083</v>
      </c>
      <c r="B794" s="174" t="s">
        <v>68</v>
      </c>
      <c r="C794" s="173"/>
      <c r="D794" s="173"/>
    </row>
    <row r="795" ht="15.75" customHeight="1">
      <c r="A795" s="168" t="s">
        <v>1138</v>
      </c>
      <c r="B795" s="174" t="s">
        <v>68</v>
      </c>
      <c r="C795" s="195"/>
      <c r="D795" s="195"/>
    </row>
    <row r="796" ht="15.75" customHeight="1">
      <c r="A796" s="174" t="s">
        <v>1157</v>
      </c>
      <c r="B796" s="174" t="s">
        <v>68</v>
      </c>
      <c r="C796" s="195"/>
      <c r="D796" s="195"/>
    </row>
    <row r="797" ht="15.75" customHeight="1">
      <c r="A797" s="168" t="s">
        <v>2126</v>
      </c>
      <c r="B797" s="174" t="s">
        <v>68</v>
      </c>
      <c r="C797" s="180"/>
      <c r="D797" s="180"/>
    </row>
    <row r="798" ht="15.75" customHeight="1">
      <c r="A798" s="168" t="s">
        <v>1567</v>
      </c>
      <c r="B798" s="174" t="s">
        <v>68</v>
      </c>
      <c r="C798" s="199"/>
      <c r="D798" s="199"/>
    </row>
    <row r="799" ht="15.75" customHeight="1">
      <c r="A799" s="174" t="s">
        <v>1586</v>
      </c>
      <c r="B799" s="174" t="s">
        <v>68</v>
      </c>
      <c r="C799" s="195"/>
      <c r="D799" s="195"/>
    </row>
    <row r="800" ht="15.75" customHeight="1">
      <c r="A800" s="168" t="s">
        <v>1631</v>
      </c>
      <c r="B800" s="174" t="s">
        <v>68</v>
      </c>
      <c r="C800" s="170"/>
      <c r="D800" s="170"/>
    </row>
    <row r="801" ht="15.75" customHeight="1">
      <c r="A801" s="168" t="s">
        <v>1652</v>
      </c>
      <c r="B801" s="174" t="s">
        <v>68</v>
      </c>
      <c r="C801" s="195"/>
      <c r="D801" s="195"/>
    </row>
    <row r="802" ht="15.75" customHeight="1">
      <c r="A802" s="168" t="s">
        <v>1733</v>
      </c>
      <c r="B802" s="174" t="s">
        <v>68</v>
      </c>
      <c r="C802" s="173"/>
      <c r="D802" s="173"/>
    </row>
    <row r="803" ht="15.75" customHeight="1">
      <c r="A803" s="174" t="s">
        <v>1776</v>
      </c>
      <c r="B803" s="174" t="s">
        <v>68</v>
      </c>
      <c r="C803" s="193"/>
      <c r="D803" s="193"/>
    </row>
    <row r="804" ht="15.75" customHeight="1">
      <c r="A804" s="174" t="s">
        <v>1918</v>
      </c>
      <c r="B804" s="174" t="s">
        <v>68</v>
      </c>
      <c r="C804" s="180"/>
      <c r="D804" s="180"/>
    </row>
    <row r="805" ht="15.75" customHeight="1">
      <c r="A805" s="174" t="s">
        <v>450</v>
      </c>
      <c r="B805" s="184" t="s">
        <v>451</v>
      </c>
      <c r="C805" s="191" t="s">
        <v>2127</v>
      </c>
      <c r="D805" s="180"/>
    </row>
    <row r="806" ht="15.75" customHeight="1">
      <c r="A806" s="174" t="s">
        <v>706</v>
      </c>
      <c r="B806" s="186" t="s">
        <v>451</v>
      </c>
      <c r="C806" s="191"/>
      <c r="D806" s="180"/>
    </row>
    <row r="807" ht="15.75" customHeight="1">
      <c r="A807" s="188" t="s">
        <v>962</v>
      </c>
      <c r="B807" s="186" t="s">
        <v>451</v>
      </c>
      <c r="C807" s="173"/>
      <c r="D807" s="173"/>
    </row>
    <row r="808" ht="15.75" customHeight="1">
      <c r="A808" s="188" t="s">
        <v>975</v>
      </c>
      <c r="B808" s="184" t="s">
        <v>451</v>
      </c>
      <c r="C808" s="173"/>
      <c r="D808" s="173"/>
    </row>
    <row r="809" ht="15.75" customHeight="1">
      <c r="A809" s="188" t="s">
        <v>1042</v>
      </c>
      <c r="B809" s="189" t="s">
        <v>451</v>
      </c>
      <c r="C809" s="167"/>
      <c r="D809" s="167"/>
    </row>
    <row r="810" ht="15.75" customHeight="1">
      <c r="A810" s="168" t="s">
        <v>1195</v>
      </c>
      <c r="B810" s="189" t="s">
        <v>451</v>
      </c>
      <c r="C810" s="167"/>
      <c r="D810" s="167"/>
    </row>
    <row r="811" ht="15.75" customHeight="1">
      <c r="A811" s="168" t="s">
        <v>1306</v>
      </c>
      <c r="B811" s="186" t="s">
        <v>451</v>
      </c>
      <c r="C811" s="173"/>
      <c r="D811" s="173"/>
    </row>
    <row r="812" ht="15.75" customHeight="1">
      <c r="A812" s="168" t="s">
        <v>1319</v>
      </c>
      <c r="B812" s="186" t="s">
        <v>451</v>
      </c>
      <c r="C812" s="173"/>
      <c r="D812" s="173"/>
    </row>
    <row r="813" ht="15.75" customHeight="1">
      <c r="A813" s="174" t="s">
        <v>1404</v>
      </c>
      <c r="B813" s="186" t="s">
        <v>451</v>
      </c>
      <c r="C813" s="180"/>
      <c r="D813" s="180"/>
    </row>
    <row r="814" ht="15.75" customHeight="1">
      <c r="A814" s="168" t="s">
        <v>310</v>
      </c>
      <c r="B814" s="189" t="s">
        <v>311</v>
      </c>
      <c r="C814" s="192" t="s">
        <v>2128</v>
      </c>
      <c r="D814" s="167"/>
    </row>
    <row r="815" ht="15.75" customHeight="1">
      <c r="A815" s="174" t="s">
        <v>910</v>
      </c>
      <c r="B815" s="189" t="s">
        <v>311</v>
      </c>
      <c r="C815" s="170"/>
      <c r="D815" s="170"/>
    </row>
    <row r="816" ht="15.75" customHeight="1">
      <c r="A816" s="168" t="s">
        <v>1200</v>
      </c>
      <c r="B816" s="186" t="s">
        <v>311</v>
      </c>
      <c r="C816" s="173"/>
      <c r="D816" s="173"/>
    </row>
    <row r="817" ht="15.75" customHeight="1">
      <c r="A817" s="168" t="s">
        <v>1235</v>
      </c>
      <c r="B817" s="184" t="s">
        <v>311</v>
      </c>
      <c r="C817" s="173"/>
      <c r="D817" s="173"/>
    </row>
    <row r="818" ht="15.75" customHeight="1">
      <c r="A818" s="168" t="s">
        <v>1282</v>
      </c>
      <c r="B818" s="186" t="s">
        <v>311</v>
      </c>
      <c r="C818" s="173"/>
      <c r="D818" s="173"/>
    </row>
    <row r="819" ht="15.75" customHeight="1">
      <c r="A819" s="174" t="s">
        <v>1465</v>
      </c>
      <c r="B819" s="186" t="s">
        <v>311</v>
      </c>
      <c r="C819" s="180"/>
      <c r="D819" s="180"/>
    </row>
    <row r="820" ht="15.75" customHeight="1">
      <c r="A820" s="174" t="s">
        <v>1565</v>
      </c>
      <c r="B820" s="186" t="s">
        <v>311</v>
      </c>
      <c r="C820" s="180"/>
      <c r="D820" s="180"/>
    </row>
    <row r="821" ht="15.75" customHeight="1">
      <c r="A821" s="174" t="s">
        <v>2129</v>
      </c>
      <c r="B821" s="189" t="s">
        <v>225</v>
      </c>
      <c r="C821" s="170" t="s">
        <v>2012</v>
      </c>
      <c r="D821" s="170"/>
    </row>
    <row r="822" ht="15.75" customHeight="1">
      <c r="A822" s="168" t="s">
        <v>540</v>
      </c>
      <c r="B822" s="186" t="s">
        <v>225</v>
      </c>
      <c r="C822" s="173"/>
      <c r="D822" s="173"/>
    </row>
    <row r="823" ht="15.75" customHeight="1">
      <c r="A823" s="168" t="s">
        <v>2130</v>
      </c>
      <c r="B823" s="186" t="s">
        <v>225</v>
      </c>
      <c r="C823" s="173"/>
      <c r="D823" s="173"/>
    </row>
    <row r="824" ht="15.75" customHeight="1">
      <c r="A824" s="168" t="s">
        <v>620</v>
      </c>
      <c r="B824" s="186" t="s">
        <v>225</v>
      </c>
      <c r="C824" s="173"/>
      <c r="D824" s="173"/>
    </row>
    <row r="825" ht="15.75" customHeight="1">
      <c r="A825" s="168" t="s">
        <v>729</v>
      </c>
      <c r="B825" s="186" t="s">
        <v>225</v>
      </c>
      <c r="C825" s="173"/>
      <c r="D825" s="173"/>
    </row>
    <row r="826" ht="15.75" customHeight="1">
      <c r="A826" s="168" t="s">
        <v>2131</v>
      </c>
      <c r="B826" s="186" t="s">
        <v>225</v>
      </c>
      <c r="C826" s="170"/>
      <c r="D826" s="170"/>
    </row>
    <row r="827" ht="15.75" customHeight="1">
      <c r="A827" s="174" t="s">
        <v>936</v>
      </c>
      <c r="B827" s="186" t="s">
        <v>225</v>
      </c>
      <c r="C827" s="180"/>
      <c r="D827" s="180"/>
    </row>
    <row r="828" ht="15.75" customHeight="1">
      <c r="A828" s="174" t="s">
        <v>1179</v>
      </c>
      <c r="B828" s="184" t="s">
        <v>225</v>
      </c>
      <c r="C828" s="180"/>
      <c r="D828" s="180"/>
    </row>
    <row r="829" ht="15.75" customHeight="1">
      <c r="A829" s="168" t="s">
        <v>1341</v>
      </c>
      <c r="B829" s="186" t="s">
        <v>225</v>
      </c>
      <c r="C829" s="173"/>
      <c r="D829" s="173"/>
    </row>
    <row r="830" ht="15.75" customHeight="1">
      <c r="A830" s="174" t="s">
        <v>1536</v>
      </c>
      <c r="B830" s="186" t="s">
        <v>225</v>
      </c>
      <c r="C830" s="180"/>
      <c r="D830" s="180"/>
    </row>
    <row r="831" ht="15.75" customHeight="1">
      <c r="A831" s="174" t="s">
        <v>1833</v>
      </c>
      <c r="B831" s="186" t="s">
        <v>225</v>
      </c>
      <c r="C831" s="180"/>
      <c r="D831" s="180"/>
    </row>
    <row r="832" ht="15.75" customHeight="1">
      <c r="A832" s="168" t="s">
        <v>99</v>
      </c>
      <c r="B832" s="172" t="s">
        <v>100</v>
      </c>
      <c r="C832" s="185" t="s">
        <v>2012</v>
      </c>
      <c r="D832" s="180"/>
    </row>
    <row r="833" ht="15.75" customHeight="1">
      <c r="A833" s="168" t="s">
        <v>423</v>
      </c>
      <c r="B833" s="175" t="s">
        <v>100</v>
      </c>
      <c r="C833" s="173"/>
      <c r="D833" s="173"/>
    </row>
    <row r="834" ht="15.75" customHeight="1">
      <c r="A834" s="168" t="s">
        <v>544</v>
      </c>
      <c r="B834" s="176" t="s">
        <v>100</v>
      </c>
      <c r="C834" s="167"/>
      <c r="D834" s="167"/>
    </row>
    <row r="835" ht="15.75" customHeight="1">
      <c r="A835" s="174" t="s">
        <v>2132</v>
      </c>
      <c r="B835" s="169" t="s">
        <v>100</v>
      </c>
      <c r="C835" s="170"/>
      <c r="D835" s="170"/>
    </row>
    <row r="836" ht="15.75" customHeight="1">
      <c r="A836" s="168" t="s">
        <v>622</v>
      </c>
      <c r="B836" s="169" t="s">
        <v>100</v>
      </c>
      <c r="C836" s="193"/>
      <c r="D836" s="193"/>
    </row>
    <row r="837" ht="15.75" customHeight="1">
      <c r="A837" s="174" t="s">
        <v>649</v>
      </c>
      <c r="B837" s="172" t="s">
        <v>100</v>
      </c>
      <c r="C837" s="180"/>
      <c r="D837" s="180"/>
    </row>
    <row r="838" ht="15.75" customHeight="1">
      <c r="A838" s="168" t="s">
        <v>1603</v>
      </c>
      <c r="B838" s="175" t="s">
        <v>100</v>
      </c>
      <c r="C838" s="173"/>
      <c r="D838" s="173"/>
    </row>
    <row r="839" ht="15.75" customHeight="1">
      <c r="A839" s="174" t="s">
        <v>2133</v>
      </c>
      <c r="B839" s="169" t="s">
        <v>100</v>
      </c>
      <c r="C839" s="170"/>
      <c r="D839" s="170"/>
    </row>
    <row r="840" ht="15.75" customHeight="1">
      <c r="A840" s="174" t="s">
        <v>1802</v>
      </c>
      <c r="B840" s="169" t="s">
        <v>100</v>
      </c>
      <c r="C840" s="170"/>
      <c r="D840" s="170"/>
    </row>
    <row r="841" ht="15.75" customHeight="1">
      <c r="A841" s="174" t="s">
        <v>2134</v>
      </c>
      <c r="B841" s="169" t="s">
        <v>100</v>
      </c>
      <c r="C841" s="170"/>
      <c r="D841" s="170"/>
    </row>
    <row r="842" ht="15.75" customHeight="1">
      <c r="A842" s="168" t="s">
        <v>217</v>
      </c>
      <c r="B842" s="186" t="s">
        <v>218</v>
      </c>
      <c r="C842" s="200" t="s">
        <v>2012</v>
      </c>
      <c r="D842" s="201"/>
    </row>
    <row r="843" ht="15.75" customHeight="1">
      <c r="A843" s="174" t="s">
        <v>260</v>
      </c>
      <c r="B843" s="186" t="s">
        <v>218</v>
      </c>
      <c r="C843" s="170"/>
      <c r="D843" s="170"/>
    </row>
    <row r="844" ht="15.75" customHeight="1">
      <c r="A844" s="174" t="s">
        <v>628</v>
      </c>
      <c r="B844" s="184" t="s">
        <v>218</v>
      </c>
      <c r="C844" s="170"/>
      <c r="D844" s="170"/>
    </row>
    <row r="845" ht="15.75" customHeight="1">
      <c r="A845" s="174" t="s">
        <v>1093</v>
      </c>
      <c r="B845" s="186" t="s">
        <v>218</v>
      </c>
      <c r="C845" s="180"/>
      <c r="D845" s="180"/>
    </row>
    <row r="846" ht="15.75" customHeight="1">
      <c r="A846" s="168" t="s">
        <v>1610</v>
      </c>
      <c r="B846" s="186" t="s">
        <v>218</v>
      </c>
      <c r="C846" s="173"/>
      <c r="D846" s="173"/>
    </row>
    <row r="847" ht="15.75" customHeight="1">
      <c r="A847" s="174" t="s">
        <v>1736</v>
      </c>
      <c r="B847" s="186" t="s">
        <v>218</v>
      </c>
      <c r="C847" s="180"/>
      <c r="D847" s="180"/>
    </row>
    <row r="848" ht="15.75" customHeight="1">
      <c r="A848" s="168" t="s">
        <v>1737</v>
      </c>
      <c r="B848" s="186" t="s">
        <v>218</v>
      </c>
      <c r="C848" s="173"/>
      <c r="D848" s="173"/>
    </row>
    <row r="849" ht="15.75" customHeight="1">
      <c r="A849" s="168" t="s">
        <v>1752</v>
      </c>
      <c r="B849" s="186" t="s">
        <v>218</v>
      </c>
      <c r="C849" s="173"/>
      <c r="D849" s="173"/>
    </row>
    <row r="850" ht="15.75" customHeight="1">
      <c r="A850" s="174" t="s">
        <v>777</v>
      </c>
      <c r="B850" s="189" t="s">
        <v>778</v>
      </c>
      <c r="C850" s="170" t="s">
        <v>2012</v>
      </c>
      <c r="D850" s="170"/>
    </row>
    <row r="851" ht="15.75" customHeight="1">
      <c r="A851" s="168" t="s">
        <v>783</v>
      </c>
      <c r="B851" s="189" t="s">
        <v>778</v>
      </c>
      <c r="C851" s="167"/>
      <c r="D851" s="167"/>
    </row>
    <row r="852" ht="15.75" customHeight="1">
      <c r="A852" s="168" t="s">
        <v>2135</v>
      </c>
      <c r="B852" s="186" t="s">
        <v>778</v>
      </c>
      <c r="C852" s="195"/>
      <c r="D852" s="195"/>
    </row>
    <row r="853" ht="15.75" customHeight="1">
      <c r="A853" s="168" t="s">
        <v>1258</v>
      </c>
      <c r="B853" s="186" t="s">
        <v>778</v>
      </c>
      <c r="C853" s="173"/>
      <c r="D853" s="173"/>
    </row>
    <row r="854" ht="15.75" customHeight="1">
      <c r="A854" s="168" t="s">
        <v>1632</v>
      </c>
      <c r="B854" s="186" t="s">
        <v>778</v>
      </c>
      <c r="C854" s="173"/>
      <c r="D854" s="173"/>
    </row>
    <row r="855" ht="15.75" customHeight="1">
      <c r="A855" s="168" t="s">
        <v>1633</v>
      </c>
      <c r="B855" s="186" t="s">
        <v>778</v>
      </c>
      <c r="C855" s="173"/>
      <c r="D855" s="173"/>
    </row>
    <row r="856" ht="15.75" customHeight="1">
      <c r="A856" s="174" t="s">
        <v>1634</v>
      </c>
      <c r="B856" s="186" t="s">
        <v>778</v>
      </c>
      <c r="C856" s="180"/>
      <c r="D856" s="180"/>
    </row>
    <row r="857" ht="15.75" customHeight="1">
      <c r="A857" s="168" t="s">
        <v>2136</v>
      </c>
      <c r="B857" s="186" t="s">
        <v>778</v>
      </c>
      <c r="C857" s="173"/>
      <c r="D857" s="173"/>
    </row>
    <row r="858" ht="15.75" customHeight="1">
      <c r="A858" s="174" t="s">
        <v>1789</v>
      </c>
      <c r="B858" s="186" t="s">
        <v>778</v>
      </c>
      <c r="C858" s="180"/>
      <c r="D858" s="180"/>
    </row>
    <row r="859" ht="15.75" customHeight="1">
      <c r="A859" s="174" t="s">
        <v>1792</v>
      </c>
      <c r="B859" s="186" t="s">
        <v>778</v>
      </c>
      <c r="C859" s="180"/>
      <c r="D859" s="180"/>
    </row>
    <row r="860" ht="15.75" customHeight="1">
      <c r="A860" s="168" t="s">
        <v>1793</v>
      </c>
      <c r="B860" s="186" t="s">
        <v>778</v>
      </c>
      <c r="C860" s="167"/>
      <c r="D860" s="167"/>
    </row>
    <row r="861" ht="15.75" customHeight="1">
      <c r="A861" s="174" t="s">
        <v>1794</v>
      </c>
      <c r="B861" s="186" t="s">
        <v>778</v>
      </c>
      <c r="C861" s="180"/>
      <c r="D861" s="180"/>
    </row>
    <row r="862" ht="15.75" customHeight="1">
      <c r="A862" s="174" t="s">
        <v>1795</v>
      </c>
      <c r="B862" s="186" t="s">
        <v>778</v>
      </c>
      <c r="C862" s="180"/>
      <c r="D862" s="180"/>
    </row>
    <row r="863" ht="15.75" customHeight="1">
      <c r="A863" s="168" t="s">
        <v>1796</v>
      </c>
      <c r="B863" s="186" t="s">
        <v>778</v>
      </c>
      <c r="C863" s="173"/>
      <c r="D863" s="173"/>
    </row>
    <row r="864" ht="15.75" customHeight="1">
      <c r="A864" s="168" t="s">
        <v>1797</v>
      </c>
      <c r="B864" s="186" t="s">
        <v>778</v>
      </c>
      <c r="C864" s="173"/>
      <c r="D864" s="173"/>
    </row>
    <row r="865" ht="15.75" customHeight="1">
      <c r="A865" s="174" t="s">
        <v>1798</v>
      </c>
      <c r="B865" s="186" t="s">
        <v>778</v>
      </c>
      <c r="C865" s="180"/>
      <c r="D865" s="180"/>
    </row>
    <row r="866" ht="15.75" customHeight="1">
      <c r="A866" s="174" t="s">
        <v>262</v>
      </c>
      <c r="B866" s="186" t="s">
        <v>263</v>
      </c>
      <c r="C866" s="185" t="s">
        <v>2128</v>
      </c>
      <c r="D866" s="180"/>
    </row>
    <row r="867" ht="15.75" customHeight="1">
      <c r="A867" s="174" t="s">
        <v>582</v>
      </c>
      <c r="B867" s="186" t="s">
        <v>263</v>
      </c>
      <c r="C867" s="180"/>
      <c r="D867" s="180"/>
    </row>
    <row r="868" ht="15.75" customHeight="1">
      <c r="A868" s="174" t="s">
        <v>1097</v>
      </c>
      <c r="B868" s="186" t="s">
        <v>263</v>
      </c>
      <c r="C868" s="170"/>
      <c r="D868" s="170"/>
    </row>
    <row r="869" ht="15.75" customHeight="1">
      <c r="A869" s="168" t="s">
        <v>1348</v>
      </c>
      <c r="B869" s="186" t="s">
        <v>263</v>
      </c>
      <c r="C869" s="167"/>
      <c r="D869" s="167"/>
    </row>
    <row r="870" ht="15.75" customHeight="1">
      <c r="A870" s="174" t="s">
        <v>1440</v>
      </c>
      <c r="B870" s="186" t="s">
        <v>263</v>
      </c>
      <c r="C870" s="170"/>
      <c r="D870" s="170"/>
    </row>
    <row r="871" ht="15.75" customHeight="1">
      <c r="A871" s="168" t="s">
        <v>1639</v>
      </c>
      <c r="B871" s="186" t="s">
        <v>263</v>
      </c>
      <c r="C871" s="167"/>
      <c r="D871" s="167"/>
    </row>
    <row r="872" ht="15.75" customHeight="1">
      <c r="A872" s="174" t="s">
        <v>1649</v>
      </c>
      <c r="B872" s="186" t="s">
        <v>263</v>
      </c>
      <c r="C872" s="180"/>
      <c r="D872" s="180"/>
    </row>
    <row r="873" ht="15.75" customHeight="1">
      <c r="A873" s="168" t="s">
        <v>1939</v>
      </c>
      <c r="B873" s="186" t="s">
        <v>263</v>
      </c>
      <c r="C873" s="173"/>
      <c r="D873" s="173"/>
    </row>
    <row r="874" ht="15.75" customHeight="1">
      <c r="A874" s="168" t="s">
        <v>1942</v>
      </c>
      <c r="B874" s="186" t="s">
        <v>263</v>
      </c>
      <c r="C874" s="173"/>
      <c r="D874" s="173"/>
    </row>
    <row r="875" ht="15.75" customHeight="1">
      <c r="A875" s="174" t="s">
        <v>188</v>
      </c>
      <c r="B875" s="186" t="s">
        <v>189</v>
      </c>
      <c r="C875" s="185" t="s">
        <v>2012</v>
      </c>
      <c r="D875" s="180"/>
    </row>
    <row r="876" ht="15.75" customHeight="1">
      <c r="A876" s="168" t="s">
        <v>466</v>
      </c>
      <c r="B876" s="186" t="s">
        <v>189</v>
      </c>
      <c r="C876" s="173"/>
      <c r="D876" s="173"/>
    </row>
    <row r="877" ht="15.75" customHeight="1">
      <c r="A877" s="174" t="s">
        <v>885</v>
      </c>
      <c r="B877" s="186" t="s">
        <v>189</v>
      </c>
      <c r="C877" s="180"/>
      <c r="D877" s="180"/>
    </row>
    <row r="878" ht="15.75" customHeight="1">
      <c r="A878" s="174" t="s">
        <v>1088</v>
      </c>
      <c r="B878" s="186" t="s">
        <v>189</v>
      </c>
      <c r="C878" s="180"/>
      <c r="D878" s="180"/>
    </row>
    <row r="879" ht="15.75" customHeight="1">
      <c r="A879" s="174" t="s">
        <v>1238</v>
      </c>
      <c r="B879" s="184" t="s">
        <v>189</v>
      </c>
      <c r="C879" s="180"/>
      <c r="D879" s="180"/>
    </row>
    <row r="880" ht="15.75" customHeight="1">
      <c r="A880" s="168" t="s">
        <v>1529</v>
      </c>
      <c r="B880" s="186" t="s">
        <v>189</v>
      </c>
      <c r="C880" s="167"/>
      <c r="D880" s="167"/>
    </row>
    <row r="881" ht="15.75" customHeight="1">
      <c r="A881" s="168" t="s">
        <v>1581</v>
      </c>
      <c r="B881" s="186" t="s">
        <v>189</v>
      </c>
      <c r="C881" s="173"/>
      <c r="D881" s="173"/>
    </row>
    <row r="882" ht="15.75" customHeight="1">
      <c r="A882" s="174" t="s">
        <v>1719</v>
      </c>
      <c r="B882" s="186" t="s">
        <v>189</v>
      </c>
      <c r="C882" s="170"/>
      <c r="D882" s="170"/>
    </row>
    <row r="883" ht="15.75" customHeight="1">
      <c r="A883" s="174" t="s">
        <v>1726</v>
      </c>
      <c r="B883" s="184" t="s">
        <v>189</v>
      </c>
      <c r="C883" s="170"/>
      <c r="D883" s="170"/>
    </row>
    <row r="884" ht="15.75" customHeight="1">
      <c r="A884" s="174" t="s">
        <v>1744</v>
      </c>
      <c r="B884" s="186" t="s">
        <v>189</v>
      </c>
      <c r="C884" s="170"/>
      <c r="D884" s="170"/>
    </row>
    <row r="885" ht="15.75" customHeight="1">
      <c r="A885" s="168" t="s">
        <v>2137</v>
      </c>
      <c r="B885" s="186" t="s">
        <v>189</v>
      </c>
      <c r="C885" s="173"/>
      <c r="D885" s="173"/>
    </row>
    <row r="886" ht="15.75" customHeight="1">
      <c r="A886" s="174" t="s">
        <v>165</v>
      </c>
      <c r="B886" s="186" t="s">
        <v>166</v>
      </c>
      <c r="C886" s="185" t="s">
        <v>2012</v>
      </c>
      <c r="D886" s="180"/>
    </row>
    <row r="887" ht="15.75" customHeight="1">
      <c r="A887" s="174" t="s">
        <v>358</v>
      </c>
      <c r="B887" s="186" t="s">
        <v>166</v>
      </c>
      <c r="C887" s="180"/>
      <c r="D887" s="180"/>
    </row>
    <row r="888" ht="15.75" customHeight="1">
      <c r="A888" s="174" t="s">
        <v>851</v>
      </c>
      <c r="B888" s="186" t="s">
        <v>166</v>
      </c>
      <c r="C888" s="180"/>
      <c r="D888" s="180"/>
    </row>
    <row r="889" ht="15.75" customHeight="1">
      <c r="A889" s="168" t="s">
        <v>907</v>
      </c>
      <c r="B889" s="186" t="s">
        <v>166</v>
      </c>
      <c r="C889" s="173"/>
      <c r="D889" s="173"/>
    </row>
    <row r="890" ht="15.75" customHeight="1">
      <c r="A890" s="168" t="s">
        <v>1071</v>
      </c>
      <c r="B890" s="186" t="s">
        <v>166</v>
      </c>
      <c r="C890" s="173"/>
      <c r="D890" s="173"/>
    </row>
    <row r="891" ht="15.75" customHeight="1">
      <c r="A891" s="168" t="s">
        <v>1154</v>
      </c>
      <c r="B891" s="186" t="s">
        <v>166</v>
      </c>
      <c r="C891" s="173"/>
      <c r="D891" s="173"/>
    </row>
    <row r="892" ht="15.75" customHeight="1">
      <c r="A892" s="174" t="s">
        <v>1167</v>
      </c>
      <c r="B892" s="186" t="s">
        <v>166</v>
      </c>
      <c r="C892" s="170"/>
      <c r="D892" s="170"/>
    </row>
    <row r="893" ht="15.75" customHeight="1">
      <c r="A893" s="168" t="s">
        <v>1197</v>
      </c>
      <c r="B893" s="186" t="s">
        <v>166</v>
      </c>
      <c r="C893" s="173"/>
      <c r="D893" s="173"/>
    </row>
    <row r="894" ht="15.75" customHeight="1">
      <c r="A894" s="168" t="s">
        <v>1322</v>
      </c>
      <c r="B894" s="186" t="s">
        <v>166</v>
      </c>
      <c r="C894" s="167"/>
      <c r="D894" s="167"/>
    </row>
    <row r="895" ht="15.75" customHeight="1">
      <c r="A895" s="174" t="s">
        <v>899</v>
      </c>
      <c r="B895" s="169" t="s">
        <v>900</v>
      </c>
      <c r="C895" s="191" t="s">
        <v>2012</v>
      </c>
      <c r="D895" s="170"/>
    </row>
    <row r="896" ht="15.75" customHeight="1">
      <c r="A896" s="168" t="s">
        <v>926</v>
      </c>
      <c r="B896" s="176" t="s">
        <v>900</v>
      </c>
      <c r="C896" s="167"/>
      <c r="D896" s="167"/>
    </row>
    <row r="897" ht="15.75" customHeight="1">
      <c r="A897" s="168" t="s">
        <v>1029</v>
      </c>
      <c r="B897" s="175" t="s">
        <v>900</v>
      </c>
      <c r="C897" s="173"/>
      <c r="D897" s="173"/>
    </row>
    <row r="898" ht="15.75" customHeight="1">
      <c r="A898" s="174" t="s">
        <v>2138</v>
      </c>
      <c r="B898" s="172" t="s">
        <v>900</v>
      </c>
      <c r="C898" s="180"/>
      <c r="D898" s="180"/>
    </row>
    <row r="899" ht="15.75" customHeight="1">
      <c r="A899" s="168" t="s">
        <v>1553</v>
      </c>
      <c r="B899" s="176" t="s">
        <v>900</v>
      </c>
      <c r="C899" s="167"/>
      <c r="D899" s="167"/>
    </row>
    <row r="900" ht="15.75" customHeight="1">
      <c r="A900" s="168" t="s">
        <v>1712</v>
      </c>
      <c r="B900" s="176" t="s">
        <v>900</v>
      </c>
      <c r="C900" s="167"/>
      <c r="D900" s="167"/>
    </row>
    <row r="901" ht="15.75" customHeight="1">
      <c r="A901" s="168" t="s">
        <v>2139</v>
      </c>
      <c r="B901" s="175" t="s">
        <v>900</v>
      </c>
      <c r="C901" s="173"/>
      <c r="D901" s="173"/>
    </row>
    <row r="902" ht="15.75" customHeight="1">
      <c r="A902" s="174" t="s">
        <v>1788</v>
      </c>
      <c r="B902" s="169" t="s">
        <v>900</v>
      </c>
      <c r="C902" s="170"/>
      <c r="D902" s="170"/>
    </row>
    <row r="903" ht="15.75" customHeight="1">
      <c r="A903" s="168" t="s">
        <v>1815</v>
      </c>
      <c r="B903" s="175" t="s">
        <v>900</v>
      </c>
      <c r="C903" s="173"/>
      <c r="D903" s="173"/>
    </row>
    <row r="904" ht="15.75" customHeight="1">
      <c r="A904" s="168" t="s">
        <v>2140</v>
      </c>
      <c r="B904" s="168" t="s">
        <v>535</v>
      </c>
      <c r="C904" s="194" t="s">
        <v>2012</v>
      </c>
      <c r="D904" s="173"/>
    </row>
    <row r="905" ht="15.75" customHeight="1">
      <c r="A905" s="168" t="s">
        <v>539</v>
      </c>
      <c r="B905" s="168" t="s">
        <v>535</v>
      </c>
      <c r="C905" s="194"/>
      <c r="D905" s="173"/>
    </row>
    <row r="906" ht="15.75" customHeight="1">
      <c r="A906" s="168" t="s">
        <v>537</v>
      </c>
      <c r="B906" s="168" t="s">
        <v>535</v>
      </c>
      <c r="C906" s="194"/>
      <c r="D906" s="173"/>
    </row>
    <row r="907" ht="15.75" customHeight="1">
      <c r="A907" s="174" t="s">
        <v>543</v>
      </c>
      <c r="B907" s="174" t="s">
        <v>535</v>
      </c>
      <c r="C907" s="180"/>
      <c r="D907" s="180"/>
    </row>
    <row r="908" ht="15.75" customHeight="1">
      <c r="A908" s="168" t="s">
        <v>2141</v>
      </c>
      <c r="B908" s="168" t="s">
        <v>535</v>
      </c>
      <c r="C908" s="173"/>
      <c r="D908" s="173"/>
    </row>
    <row r="909" ht="15.75" customHeight="1">
      <c r="A909" s="174" t="s">
        <v>2142</v>
      </c>
      <c r="B909" s="174" t="s">
        <v>535</v>
      </c>
      <c r="C909" s="180"/>
      <c r="D909" s="180"/>
    </row>
    <row r="910" ht="15.75" customHeight="1">
      <c r="A910" s="168" t="s">
        <v>605</v>
      </c>
      <c r="B910" s="168" t="s">
        <v>535</v>
      </c>
      <c r="C910" s="173"/>
      <c r="D910" s="173"/>
    </row>
    <row r="911" ht="15.75" customHeight="1">
      <c r="A911" s="174" t="s">
        <v>606</v>
      </c>
      <c r="B911" s="174" t="s">
        <v>535</v>
      </c>
      <c r="C911" s="180"/>
      <c r="D911" s="180"/>
    </row>
    <row r="912" ht="15.75" customHeight="1">
      <c r="A912" s="174" t="s">
        <v>2143</v>
      </c>
      <c r="B912" s="168" t="s">
        <v>535</v>
      </c>
      <c r="C912" s="180"/>
      <c r="D912" s="180"/>
    </row>
    <row r="913" ht="15.75" customHeight="1">
      <c r="A913" s="174" t="s">
        <v>1769</v>
      </c>
      <c r="B913" s="174" t="s">
        <v>535</v>
      </c>
      <c r="C913" s="180"/>
      <c r="D913" s="180"/>
    </row>
    <row r="914" ht="15.75" customHeight="1">
      <c r="A914" s="168" t="s">
        <v>2144</v>
      </c>
      <c r="B914" s="168" t="s">
        <v>535</v>
      </c>
      <c r="C914" s="173"/>
      <c r="D914" s="173"/>
    </row>
    <row r="915" ht="15.75" customHeight="1">
      <c r="A915" s="174" t="s">
        <v>1829</v>
      </c>
      <c r="B915" s="174" t="s">
        <v>535</v>
      </c>
      <c r="C915" s="173"/>
      <c r="D915" s="173"/>
    </row>
    <row r="916" ht="15.75" customHeight="1">
      <c r="A916" s="174" t="s">
        <v>1838</v>
      </c>
      <c r="B916" s="168" t="s">
        <v>535</v>
      </c>
      <c r="C916" s="180"/>
      <c r="D916" s="180"/>
    </row>
    <row r="917" ht="15.75" customHeight="1">
      <c r="A917" s="174" t="s">
        <v>1928</v>
      </c>
      <c r="B917" s="168" t="s">
        <v>535</v>
      </c>
      <c r="C917" s="180"/>
      <c r="D917" s="180"/>
    </row>
    <row r="918" ht="15.75" customHeight="1">
      <c r="A918" s="168" t="s">
        <v>780</v>
      </c>
      <c r="B918" s="174" t="s">
        <v>781</v>
      </c>
      <c r="C918" s="192" t="s">
        <v>2145</v>
      </c>
      <c r="D918" s="167"/>
    </row>
    <row r="919" ht="15.75" customHeight="1">
      <c r="A919" s="174" t="s">
        <v>782</v>
      </c>
      <c r="B919" s="174" t="s">
        <v>781</v>
      </c>
      <c r="C919" s="180"/>
      <c r="D919" s="180"/>
    </row>
    <row r="920" ht="15.75" customHeight="1">
      <c r="A920" s="174" t="s">
        <v>1414</v>
      </c>
      <c r="B920" s="174" t="s">
        <v>781</v>
      </c>
      <c r="C920" s="180"/>
      <c r="D920" s="180"/>
    </row>
    <row r="921" ht="15.75" customHeight="1">
      <c r="A921" s="166" t="s">
        <v>2146</v>
      </c>
      <c r="B921" s="174" t="s">
        <v>781</v>
      </c>
      <c r="C921" s="173"/>
      <c r="D921" s="173"/>
    </row>
    <row r="922" ht="15.75" customHeight="1">
      <c r="A922" s="171" t="s">
        <v>2147</v>
      </c>
      <c r="B922" s="174" t="s">
        <v>781</v>
      </c>
      <c r="C922" s="180"/>
      <c r="D922" s="180"/>
    </row>
    <row r="923" ht="15.75" customHeight="1">
      <c r="A923" s="166" t="s">
        <v>2148</v>
      </c>
      <c r="B923" s="174" t="s">
        <v>781</v>
      </c>
      <c r="C923" s="173"/>
      <c r="D923" s="173"/>
    </row>
    <row r="924" ht="15.75" customHeight="1">
      <c r="A924" s="171" t="s">
        <v>2149</v>
      </c>
      <c r="B924" s="174" t="s">
        <v>781</v>
      </c>
      <c r="C924" s="180"/>
      <c r="D924" s="180"/>
    </row>
    <row r="925" ht="15.75" customHeight="1">
      <c r="A925" s="166" t="s">
        <v>2150</v>
      </c>
      <c r="B925" s="174" t="s">
        <v>781</v>
      </c>
      <c r="C925" s="173"/>
      <c r="D925" s="173"/>
    </row>
    <row r="926" ht="15.75" customHeight="1">
      <c r="A926" s="171" t="s">
        <v>2151</v>
      </c>
      <c r="B926" s="174" t="s">
        <v>781</v>
      </c>
      <c r="C926" s="180"/>
      <c r="D926" s="180"/>
    </row>
    <row r="927" ht="15.75" customHeight="1">
      <c r="A927" s="168" t="s">
        <v>2152</v>
      </c>
      <c r="B927" s="174" t="s">
        <v>781</v>
      </c>
      <c r="C927" s="173"/>
      <c r="D927" s="173"/>
    </row>
    <row r="928" ht="15.75" customHeight="1">
      <c r="A928" s="168" t="s">
        <v>1879</v>
      </c>
      <c r="B928" s="175" t="s">
        <v>781</v>
      </c>
      <c r="C928" s="173"/>
      <c r="D928" s="173"/>
    </row>
    <row r="929" ht="15.75" customHeight="1">
      <c r="A929" s="168" t="s">
        <v>1873</v>
      </c>
      <c r="B929" s="168" t="s">
        <v>781</v>
      </c>
      <c r="C929" s="173"/>
      <c r="D929" s="173"/>
    </row>
    <row r="930" ht="15.75" customHeight="1">
      <c r="A930" s="202" t="s">
        <v>1874</v>
      </c>
      <c r="B930" s="203" t="s">
        <v>781</v>
      </c>
      <c r="C930" s="195"/>
      <c r="D930" s="195"/>
    </row>
    <row r="931" ht="15.75" customHeight="1">
      <c r="A931" s="174" t="s">
        <v>257</v>
      </c>
      <c r="B931" s="189" t="s">
        <v>258</v>
      </c>
      <c r="C931" s="191" t="s">
        <v>2063</v>
      </c>
      <c r="D931" s="170"/>
    </row>
    <row r="932" ht="15.75" customHeight="1">
      <c r="A932" s="168" t="s">
        <v>2153</v>
      </c>
      <c r="B932" s="186" t="s">
        <v>258</v>
      </c>
      <c r="C932" s="173"/>
      <c r="D932" s="173"/>
    </row>
    <row r="933" ht="15.75" customHeight="1">
      <c r="A933" s="174" t="s">
        <v>1027</v>
      </c>
      <c r="B933" s="186" t="s">
        <v>258</v>
      </c>
      <c r="C933" s="180"/>
      <c r="D933" s="180"/>
    </row>
    <row r="934" ht="15.75" customHeight="1">
      <c r="A934" s="174" t="s">
        <v>1031</v>
      </c>
      <c r="B934" s="184" t="s">
        <v>258</v>
      </c>
      <c r="C934" s="180"/>
      <c r="D934" s="180"/>
    </row>
    <row r="935" ht="15.75" customHeight="1">
      <c r="A935" s="168" t="s">
        <v>1390</v>
      </c>
      <c r="B935" s="189" t="s">
        <v>258</v>
      </c>
      <c r="C935" s="167"/>
      <c r="D935" s="167"/>
    </row>
    <row r="936" ht="15.75" customHeight="1">
      <c r="A936" s="174" t="s">
        <v>1886</v>
      </c>
      <c r="B936" s="186" t="s">
        <v>258</v>
      </c>
      <c r="C936" s="180"/>
      <c r="D936" s="180"/>
    </row>
    <row r="937" ht="15.75" customHeight="1">
      <c r="A937" s="174" t="s">
        <v>1818</v>
      </c>
      <c r="B937" s="184" t="s">
        <v>258</v>
      </c>
      <c r="C937" s="180"/>
      <c r="D937" s="180"/>
    </row>
    <row r="938" ht="15.75" customHeight="1">
      <c r="A938" s="174" t="s">
        <v>402</v>
      </c>
      <c r="B938" s="186" t="s">
        <v>403</v>
      </c>
      <c r="C938" s="180" t="s">
        <v>2012</v>
      </c>
      <c r="D938" s="180"/>
    </row>
    <row r="939" ht="15.75" customHeight="1">
      <c r="A939" s="168" t="s">
        <v>707</v>
      </c>
      <c r="B939" s="186" t="s">
        <v>403</v>
      </c>
      <c r="C939" s="173"/>
      <c r="D939" s="173"/>
    </row>
    <row r="940" ht="15.75" customHeight="1">
      <c r="A940" s="168" t="s">
        <v>770</v>
      </c>
      <c r="B940" s="186" t="s">
        <v>403</v>
      </c>
      <c r="C940" s="173"/>
      <c r="D940" s="173"/>
    </row>
    <row r="941" ht="15.75" customHeight="1">
      <c r="A941" s="168" t="s">
        <v>796</v>
      </c>
      <c r="B941" s="186" t="s">
        <v>403</v>
      </c>
      <c r="C941" s="173"/>
      <c r="D941" s="173"/>
    </row>
    <row r="942" ht="15.75" customHeight="1">
      <c r="A942" s="168" t="s">
        <v>920</v>
      </c>
      <c r="B942" s="186" t="s">
        <v>403</v>
      </c>
      <c r="C942" s="180"/>
      <c r="D942" s="180"/>
    </row>
    <row r="943" ht="15.75" customHeight="1">
      <c r="A943" s="174" t="s">
        <v>990</v>
      </c>
      <c r="B943" s="186" t="s">
        <v>403</v>
      </c>
      <c r="C943" s="180"/>
      <c r="D943" s="180"/>
    </row>
    <row r="944" ht="15.75" customHeight="1">
      <c r="A944" s="168" t="s">
        <v>2154</v>
      </c>
      <c r="B944" s="186" t="s">
        <v>403</v>
      </c>
      <c r="C944" s="173"/>
      <c r="D944" s="173"/>
    </row>
    <row r="945" ht="15.75" customHeight="1">
      <c r="A945" s="168" t="s">
        <v>1203</v>
      </c>
      <c r="B945" s="186" t="s">
        <v>403</v>
      </c>
      <c r="C945" s="173"/>
      <c r="D945" s="173"/>
    </row>
    <row r="946" ht="15.75" customHeight="1">
      <c r="A946" s="168" t="s">
        <v>1237</v>
      </c>
      <c r="B946" s="184" t="s">
        <v>403</v>
      </c>
      <c r="C946" s="173"/>
      <c r="D946" s="173"/>
    </row>
    <row r="947" ht="15.75" customHeight="1">
      <c r="A947" s="168" t="s">
        <v>1773</v>
      </c>
      <c r="B947" s="190" t="s">
        <v>403</v>
      </c>
      <c r="C947" s="167"/>
      <c r="D947" s="167"/>
    </row>
    <row r="948" ht="15.75" customHeight="1">
      <c r="A948" s="168" t="s">
        <v>1777</v>
      </c>
      <c r="B948" s="190" t="s">
        <v>403</v>
      </c>
      <c r="C948" s="167"/>
      <c r="D948" s="167"/>
    </row>
    <row r="949" ht="15.75" customHeight="1">
      <c r="A949" s="168" t="s">
        <v>191</v>
      </c>
      <c r="B949" s="189" t="s">
        <v>192</v>
      </c>
      <c r="C949" s="192" t="s">
        <v>2012</v>
      </c>
      <c r="D949" s="167"/>
    </row>
    <row r="950" ht="15.75" customHeight="1">
      <c r="A950" s="168" t="s">
        <v>427</v>
      </c>
      <c r="B950" s="186" t="s">
        <v>192</v>
      </c>
      <c r="C950" s="173"/>
      <c r="D950" s="173"/>
    </row>
    <row r="951" ht="15.75" customHeight="1">
      <c r="A951" s="174" t="s">
        <v>2155</v>
      </c>
      <c r="B951" s="189" t="s">
        <v>192</v>
      </c>
      <c r="C951" s="170"/>
      <c r="D951" s="170"/>
    </row>
    <row r="952" ht="15.75" customHeight="1">
      <c r="A952" s="174" t="s">
        <v>795</v>
      </c>
      <c r="B952" s="186" t="s">
        <v>192</v>
      </c>
      <c r="C952" s="180"/>
      <c r="D952" s="180"/>
    </row>
    <row r="953" ht="15.75" customHeight="1">
      <c r="A953" s="174" t="s">
        <v>1129</v>
      </c>
      <c r="B953" s="186" t="s">
        <v>192</v>
      </c>
      <c r="C953" s="180"/>
      <c r="D953" s="180"/>
    </row>
    <row r="954" ht="15.75" customHeight="1">
      <c r="A954" s="168" t="s">
        <v>1313</v>
      </c>
      <c r="B954" s="186" t="s">
        <v>192</v>
      </c>
      <c r="C954" s="173"/>
      <c r="D954" s="173"/>
    </row>
    <row r="955" ht="15.75" customHeight="1">
      <c r="A955" s="174" t="s">
        <v>1374</v>
      </c>
      <c r="B955" s="186" t="s">
        <v>192</v>
      </c>
      <c r="C955" s="180"/>
      <c r="D955" s="180"/>
    </row>
    <row r="956" ht="15.75" customHeight="1">
      <c r="A956" s="168" t="s">
        <v>2156</v>
      </c>
      <c r="B956" s="189" t="s">
        <v>192</v>
      </c>
      <c r="C956" s="173"/>
      <c r="D956" s="173"/>
    </row>
    <row r="957" ht="15.75" customHeight="1">
      <c r="A957" s="168" t="s">
        <v>1602</v>
      </c>
      <c r="B957" s="186" t="s">
        <v>192</v>
      </c>
      <c r="C957" s="167"/>
      <c r="D957" s="167"/>
    </row>
    <row r="958" ht="15.75" customHeight="1">
      <c r="A958" s="168" t="s">
        <v>1882</v>
      </c>
      <c r="B958" s="189" t="s">
        <v>192</v>
      </c>
      <c r="C958" s="173"/>
      <c r="D958" s="173"/>
    </row>
    <row r="959" ht="15.75" customHeight="1">
      <c r="A959" s="174" t="s">
        <v>1883</v>
      </c>
      <c r="B959" s="186" t="s">
        <v>192</v>
      </c>
      <c r="C959" s="170"/>
      <c r="D959" s="170"/>
    </row>
    <row r="960" ht="15.75" customHeight="1">
      <c r="A960" s="168" t="s">
        <v>1938</v>
      </c>
      <c r="B960" s="189" t="s">
        <v>192</v>
      </c>
      <c r="C960" s="167"/>
      <c r="D960" s="167"/>
    </row>
    <row r="961" ht="15.75" customHeight="1">
      <c r="A961" s="168" t="s">
        <v>118</v>
      </c>
      <c r="B961" s="186" t="s">
        <v>119</v>
      </c>
      <c r="C961" s="192" t="s">
        <v>2012</v>
      </c>
      <c r="D961" s="167"/>
    </row>
    <row r="962" ht="15.75" customHeight="1">
      <c r="A962" s="168" t="s">
        <v>419</v>
      </c>
      <c r="B962" s="186" t="s">
        <v>119</v>
      </c>
      <c r="C962" s="173"/>
      <c r="D962" s="173"/>
    </row>
    <row r="963" ht="15.75" customHeight="1">
      <c r="A963" s="168" t="s">
        <v>484</v>
      </c>
      <c r="B963" s="186" t="s">
        <v>119</v>
      </c>
      <c r="C963" s="204"/>
      <c r="D963" s="204"/>
    </row>
    <row r="964" ht="15.75" customHeight="1">
      <c r="A964" s="174" t="s">
        <v>550</v>
      </c>
      <c r="B964" s="186" t="s">
        <v>119</v>
      </c>
      <c r="C964" s="180"/>
      <c r="D964" s="180"/>
    </row>
    <row r="965" ht="15.75" customHeight="1">
      <c r="A965" s="168" t="s">
        <v>567</v>
      </c>
      <c r="B965" s="186" t="s">
        <v>119</v>
      </c>
      <c r="C965" s="173"/>
      <c r="D965" s="173"/>
    </row>
    <row r="966" ht="15.75" customHeight="1">
      <c r="A966" s="168" t="s">
        <v>613</v>
      </c>
      <c r="B966" s="186" t="s">
        <v>119</v>
      </c>
      <c r="C966" s="173"/>
      <c r="D966" s="173"/>
    </row>
    <row r="967" ht="15.75" customHeight="1">
      <c r="A967" s="168" t="s">
        <v>756</v>
      </c>
      <c r="B967" s="186" t="s">
        <v>119</v>
      </c>
      <c r="C967" s="167"/>
      <c r="D967" s="167"/>
    </row>
    <row r="968" ht="15.75" customHeight="1">
      <c r="A968" s="174" t="s">
        <v>883</v>
      </c>
      <c r="B968" s="186" t="s">
        <v>119</v>
      </c>
      <c r="C968" s="170"/>
      <c r="D968" s="170"/>
    </row>
    <row r="969" ht="15.75" customHeight="1">
      <c r="A969" s="168" t="s">
        <v>2157</v>
      </c>
      <c r="B969" s="186" t="s">
        <v>119</v>
      </c>
      <c r="C969" s="173"/>
      <c r="D969" s="173"/>
    </row>
    <row r="970" ht="15.75" customHeight="1">
      <c r="A970" s="168" t="s">
        <v>2158</v>
      </c>
      <c r="B970" s="186" t="s">
        <v>119</v>
      </c>
      <c r="C970" s="173"/>
      <c r="D970" s="173"/>
    </row>
    <row r="971" ht="15.75" customHeight="1">
      <c r="A971" s="174" t="s">
        <v>1305</v>
      </c>
      <c r="B971" s="186" t="s">
        <v>119</v>
      </c>
      <c r="C971" s="180"/>
      <c r="D971" s="180"/>
    </row>
    <row r="972" ht="15.75" customHeight="1">
      <c r="A972" s="174" t="s">
        <v>2159</v>
      </c>
      <c r="B972" s="186" t="s">
        <v>157</v>
      </c>
      <c r="C972" s="185"/>
      <c r="D972" s="180"/>
    </row>
    <row r="973" ht="15.75" customHeight="1">
      <c r="A973" s="174" t="s">
        <v>560</v>
      </c>
      <c r="B973" s="186" t="s">
        <v>157</v>
      </c>
      <c r="C973" s="180"/>
      <c r="D973" s="180"/>
    </row>
    <row r="974" ht="15.75" customHeight="1">
      <c r="A974" s="174" t="s">
        <v>875</v>
      </c>
      <c r="B974" s="186" t="s">
        <v>157</v>
      </c>
      <c r="C974" s="180"/>
      <c r="D974" s="180"/>
    </row>
    <row r="975" ht="15.75" customHeight="1">
      <c r="A975" s="174" t="s">
        <v>1026</v>
      </c>
      <c r="B975" s="186" t="s">
        <v>157</v>
      </c>
      <c r="C975" s="173"/>
      <c r="D975" s="173"/>
    </row>
    <row r="976" ht="15.75" customHeight="1">
      <c r="A976" s="168" t="s">
        <v>1115</v>
      </c>
      <c r="B976" s="186" t="s">
        <v>157</v>
      </c>
      <c r="C976" s="205"/>
      <c r="D976" s="206"/>
    </row>
    <row r="977" ht="15.75" customHeight="1">
      <c r="A977" s="166" t="s">
        <v>1164</v>
      </c>
      <c r="B977" s="186" t="s">
        <v>157</v>
      </c>
      <c r="C977" s="173"/>
      <c r="D977" s="173"/>
    </row>
    <row r="978" ht="15.75" customHeight="1">
      <c r="A978" s="166" t="s">
        <v>1268</v>
      </c>
      <c r="B978" s="184" t="s">
        <v>157</v>
      </c>
      <c r="C978" s="173"/>
      <c r="D978" s="173"/>
    </row>
    <row r="979" ht="15.75" customHeight="1">
      <c r="A979" s="168" t="s">
        <v>1572</v>
      </c>
      <c r="B979" s="186" t="s">
        <v>157</v>
      </c>
      <c r="C979" s="173"/>
      <c r="D979" s="173"/>
    </row>
    <row r="980" ht="15.75" customHeight="1">
      <c r="A980" s="174" t="s">
        <v>1731</v>
      </c>
      <c r="B980" s="186" t="s">
        <v>157</v>
      </c>
      <c r="C980" s="180"/>
      <c r="D980" s="180"/>
    </row>
    <row r="981" ht="15.75" customHeight="1">
      <c r="A981" s="174" t="s">
        <v>1845</v>
      </c>
      <c r="B981" s="184" t="s">
        <v>157</v>
      </c>
      <c r="C981" s="180"/>
      <c r="D981" s="180"/>
    </row>
    <row r="982" ht="15.75" customHeight="1">
      <c r="A982" s="168" t="s">
        <v>1881</v>
      </c>
      <c r="B982" s="186" t="s">
        <v>157</v>
      </c>
      <c r="C982" s="173"/>
      <c r="D982" s="173"/>
    </row>
    <row r="983" ht="15.75" customHeight="1">
      <c r="A983" s="188" t="s">
        <v>64</v>
      </c>
      <c r="B983" s="174" t="s">
        <v>65</v>
      </c>
      <c r="C983" s="185" t="s">
        <v>2160</v>
      </c>
      <c r="D983" s="180"/>
    </row>
    <row r="984" ht="15.75" customHeight="1">
      <c r="A984" s="188" t="s">
        <v>2161</v>
      </c>
      <c r="B984" s="174" t="s">
        <v>65</v>
      </c>
      <c r="C984" s="180"/>
      <c r="D984" s="180"/>
    </row>
    <row r="985" ht="15.75" customHeight="1">
      <c r="A985" s="188" t="s">
        <v>254</v>
      </c>
      <c r="B985" s="174" t="s">
        <v>65</v>
      </c>
      <c r="C985" s="180"/>
      <c r="D985" s="180"/>
    </row>
    <row r="986" ht="15.75" customHeight="1">
      <c r="A986" s="188" t="s">
        <v>284</v>
      </c>
      <c r="B986" s="174" t="s">
        <v>65</v>
      </c>
      <c r="C986" s="180"/>
      <c r="D986" s="180"/>
    </row>
    <row r="987" ht="15.75" customHeight="1">
     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</v>
      </c>
      <c r="B988" s="174" t="s">
        <v>65</v>
      </c>
      <c r="C988" s="180"/>
      <c r="D988" s="180"/>
    </row>
    <row r="989" ht="15.75" customHeight="1">
      <c r="A989" s="188" t="s">
        <v>413</v>
      </c>
      <c r="B989" s="174" t="s">
        <v>65</v>
      </c>
      <c r="C989" s="180"/>
      <c r="D989" s="180"/>
    </row>
    <row r="990" ht="15.75" customHeight="1">
      <c r="A990" s="188" t="s">
        <v>424</v>
      </c>
      <c r="B990" s="174" t="s">
        <v>65</v>
      </c>
      <c r="C990" s="180"/>
      <c r="D990" s="180"/>
    </row>
    <row r="991" ht="15.75" customHeight="1">
      <c r="A991" s="188" t="s">
        <v>660</v>
      </c>
      <c r="B991" s="174" t="s">
        <v>65</v>
      </c>
      <c r="C991" s="180"/>
      <c r="D991" s="180"/>
    </row>
    <row r="992" ht="15.75" customHeight="1">
      <c r="A992" s="188" t="s">
        <v>822</v>
      </c>
      <c r="B992" s="174" t="s">
        <v>65</v>
      </c>
      <c r="C992" s="180"/>
      <c r="D992" s="180"/>
    </row>
    <row r="993" ht="15.75" customHeight="1">
      <c r="A993" s="188" t="s">
        <v>901</v>
      </c>
      <c r="B993" s="174" t="s">
        <v>65</v>
      </c>
      <c r="C993" s="180"/>
      <c r="D993" s="180"/>
    </row>
    <row r="994" ht="15.75" customHeight="1">
      <c r="A994" s="188" t="s">
        <v>1076</v>
      </c>
      <c r="B994" s="174" t="s">
        <v>65</v>
      </c>
      <c r="C994" s="180"/>
      <c r="D994" s="180"/>
    </row>
    <row r="995" ht="15.75" customHeight="1">
      <c r="A995" s="188" t="s">
        <v>1325</v>
      </c>
      <c r="B995" s="174" t="s">
        <v>65</v>
      </c>
      <c r="C995" s="180"/>
      <c r="D995" s="180"/>
    </row>
    <row r="996" ht="15.75" customHeight="1">
      <c r="A996" s="188" t="s">
        <v>2162</v>
      </c>
      <c r="B996" s="174" t="s">
        <v>65</v>
      </c>
      <c r="C996" s="180"/>
      <c r="D996" s="180"/>
    </row>
    <row r="997" ht="15.75" customHeight="1">
      <c r="A997" s="188" t="s">
        <v>1617</v>
      </c>
      <c r="B997" s="174" t="s">
        <v>65</v>
      </c>
      <c r="C997" s="180"/>
      <c r="D997" s="180"/>
    </row>
    <row r="998" ht="15.75" customHeight="1">
      <c r="A998" s="188" t="s">
        <v>1672</v>
      </c>
      <c r="B998" s="174" t="s">
        <v>65</v>
      </c>
      <c r="C998" s="180"/>
      <c r="D998" s="180"/>
    </row>
    <row r="999" ht="15.75" customHeight="1">
      <c r="A999" s="188" t="s">
        <v>1817</v>
      </c>
      <c r="B999" s="174" t="s">
        <v>65</v>
      </c>
      <c r="C999" s="180"/>
      <c r="D999" s="180"/>
    </row>
    <row r="1000" ht="15.75" customHeight="1">
      <c r="A1000" s="188" t="s">
        <v>1840</v>
      </c>
      <c r="B1000" s="174" t="s">
        <v>65</v>
      </c>
      <c r="C1000" s="180"/>
      <c r="D1000" s="180"/>
    </row>
    <row r="1001" ht="15.75" customHeight="1">
      <c r="A1001" s="188" t="s">
        <v>1854</v>
      </c>
      <c r="B1001" s="174" t="s">
        <v>65</v>
      </c>
      <c r="C1001" s="180"/>
      <c r="D1001" s="180"/>
    </row>
    <row r="1002" ht="15.75" customHeight="1">
      <c r="A1002" s="188" t="s">
        <v>1857</v>
      </c>
      <c r="B1002" s="174" t="s">
        <v>65</v>
      </c>
      <c r="C1002" s="180"/>
      <c r="D1002" s="180"/>
    </row>
    <row r="1003" ht="15.75" customHeight="1">
      <c r="A1003" s="188" t="s">
        <v>1920</v>
      </c>
      <c r="B1003" s="174" t="s">
        <v>65</v>
      </c>
      <c r="C1003" s="180"/>
      <c r="D1003" s="180"/>
    </row>
    <row r="1004" ht="15.75" customHeight="1">
      <c r="A1004" s="174" t="s">
        <v>470</v>
      </c>
      <c r="B1004" s="172" t="s">
        <v>471</v>
      </c>
      <c r="C1004" s="185" t="s">
        <v>2163</v>
      </c>
      <c r="D1004" s="180"/>
    </row>
    <row r="1005" ht="15.75" customHeight="1">
      <c r="A1005" s="168" t="s">
        <v>2164</v>
      </c>
      <c r="B1005" s="175" t="s">
        <v>471</v>
      </c>
      <c r="C1005" s="173"/>
      <c r="D1005" s="173"/>
    </row>
    <row r="1006" ht="15.75" customHeight="1">
      <c r="A1006" s="174" t="s">
        <v>473</v>
      </c>
      <c r="B1006" s="172" t="s">
        <v>471</v>
      </c>
      <c r="C1006" s="180"/>
      <c r="D1006" s="180"/>
    </row>
    <row r="1007" ht="15.75" customHeight="1">
      <c r="A1007" s="174" t="s">
        <v>474</v>
      </c>
      <c r="B1007" s="172" t="s">
        <v>471</v>
      </c>
      <c r="C1007" s="180"/>
      <c r="D1007" s="180"/>
    </row>
    <row r="1008" ht="15.75" customHeight="1">
      <c r="A1008" s="168" t="s">
        <v>2165</v>
      </c>
      <c r="B1008" s="175" t="s">
        <v>471</v>
      </c>
      <c r="C1008" s="173"/>
      <c r="D1008" s="173"/>
    </row>
    <row r="1009" ht="15.75" customHeight="1">
      <c r="A1009" s="168" t="s">
        <v>476</v>
      </c>
      <c r="B1009" s="175" t="s">
        <v>471</v>
      </c>
      <c r="C1009" s="173"/>
      <c r="D1009" s="173"/>
    </row>
    <row r="1010" ht="15.75" customHeight="1">
      <c r="A1010" s="174" t="s">
        <v>477</v>
      </c>
      <c r="B1010" s="172" t="s">
        <v>471</v>
      </c>
      <c r="C1010" s="180"/>
      <c r="D1010" s="180"/>
    </row>
    <row r="1011" ht="15.75" customHeight="1">
      <c r="A1011" s="168" t="s">
        <v>483</v>
      </c>
      <c r="B1011" s="175" t="s">
        <v>471</v>
      </c>
      <c r="C1011" s="173"/>
      <c r="D1011" s="173"/>
    </row>
    <row r="1012" ht="15.75" customHeight="1">
      <c r="A1012" s="174" t="s">
        <v>887</v>
      </c>
      <c r="B1012" s="172" t="s">
        <v>471</v>
      </c>
      <c r="C1012" s="180"/>
      <c r="D1012" s="180"/>
    </row>
    <row r="1013" ht="15.75" customHeight="1">
      <c r="A1013" s="174" t="s">
        <v>1018</v>
      </c>
      <c r="B1013" s="169" t="s">
        <v>471</v>
      </c>
      <c r="C1013" s="170"/>
      <c r="D1013" s="170"/>
    </row>
    <row r="1014" ht="15.75" customHeight="1">
      <c r="A1014" s="174" t="s">
        <v>1490</v>
      </c>
      <c r="B1014" s="172" t="s">
        <v>471</v>
      </c>
      <c r="C1014" s="170"/>
      <c r="D1014" s="170"/>
    </row>
    <row r="1015" ht="15.75" customHeight="1">
      <c r="A1015" s="166" t="s">
        <v>2166</v>
      </c>
      <c r="B1015" s="169" t="s">
        <v>471</v>
      </c>
      <c r="C1015" s="193"/>
      <c r="D1015" s="193"/>
    </row>
    <row r="1016" ht="15.75" customHeight="1">
      <c r="A1016" s="174" t="s">
        <v>561</v>
      </c>
      <c r="B1016" s="174" t="s">
        <v>562</v>
      </c>
      <c r="C1016" s="185" t="s">
        <v>2012</v>
      </c>
      <c r="D1016" s="180"/>
    </row>
    <row r="1017" ht="15.75" customHeight="1">
      <c r="A1017" s="174" t="s">
        <v>2167</v>
      </c>
      <c r="B1017" s="186" t="s">
        <v>562</v>
      </c>
      <c r="C1017" s="170"/>
      <c r="D1017" s="170"/>
    </row>
    <row r="1018" ht="15.75" customHeight="1">
      <c r="A1018" s="174" t="s">
        <v>779</v>
      </c>
      <c r="B1018" s="186" t="s">
        <v>562</v>
      </c>
      <c r="C1018" s="193"/>
      <c r="D1018" s="193"/>
    </row>
    <row r="1019" ht="15.75" customHeight="1">
      <c r="A1019" s="168" t="s">
        <v>976</v>
      </c>
      <c r="B1019" s="186" t="s">
        <v>562</v>
      </c>
      <c r="C1019" s="173"/>
      <c r="D1019" s="173"/>
    </row>
    <row r="1020" ht="15.75" customHeight="1">
      <c r="A1020" s="174" t="s">
        <v>1178</v>
      </c>
      <c r="B1020" s="186" t="s">
        <v>562</v>
      </c>
      <c r="C1020" s="173"/>
      <c r="D1020" s="173"/>
    </row>
    <row r="1021" ht="15.75" customHeight="1">
      <c r="A1021" s="168" t="s">
        <v>1249</v>
      </c>
      <c r="B1021" s="186" t="s">
        <v>562</v>
      </c>
      <c r="C1021" s="173"/>
      <c r="D1021" s="173"/>
    </row>
    <row r="1022" ht="15.75" customHeight="1">
      <c r="A1022" s="174" t="s">
        <v>1804</v>
      </c>
      <c r="B1022" s="186" t="s">
        <v>562</v>
      </c>
      <c r="C1022" s="180"/>
      <c r="D1022" s="180"/>
    </row>
    <row r="1023" ht="15.75" customHeight="1">
      <c r="A1023" s="168" t="s">
        <v>1824</v>
      </c>
      <c r="B1023" s="186" t="s">
        <v>562</v>
      </c>
      <c r="C1023" s="173"/>
      <c r="D1023" s="173"/>
    </row>
    <row r="1024" ht="15.75" customHeight="1">
      <c r="A1024" s="168" t="s">
        <v>186</v>
      </c>
      <c r="B1024" s="184" t="s">
        <v>187</v>
      </c>
      <c r="C1024" s="194" t="s">
        <v>2012</v>
      </c>
      <c r="D1024" s="173"/>
    </row>
    <row r="1025" ht="15.75" customHeight="1">
      <c r="A1025" s="174" t="s">
        <v>840</v>
      </c>
      <c r="B1025" s="184" t="s">
        <v>187</v>
      </c>
      <c r="C1025" s="180"/>
      <c r="D1025" s="180"/>
    </row>
    <row r="1026" ht="15.75" customHeight="1">
      <c r="A1026" s="168" t="s">
        <v>2168</v>
      </c>
      <c r="B1026" s="184" t="s">
        <v>187</v>
      </c>
      <c r="C1026" s="193"/>
      <c r="D1026" s="193"/>
    </row>
    <row r="1027" ht="15.75" customHeight="1">
      <c r="A1027" s="174" t="s">
        <v>870</v>
      </c>
      <c r="B1027" s="186" t="s">
        <v>187</v>
      </c>
      <c r="C1027" s="180"/>
      <c r="D1027" s="180"/>
    </row>
    <row r="1028" ht="15.75" customHeight="1">
      <c r="A1028" s="168" t="s">
        <v>2169</v>
      </c>
      <c r="B1028" s="186" t="s">
        <v>187</v>
      </c>
      <c r="C1028" s="173"/>
      <c r="D1028" s="173"/>
    </row>
    <row r="1029" ht="15.75" customHeight="1">
      <c r="A1029" s="168" t="s">
        <v>965</v>
      </c>
      <c r="B1029" s="184" t="s">
        <v>187</v>
      </c>
      <c r="C1029" s="173"/>
      <c r="D1029" s="173"/>
    </row>
    <row r="1030" ht="15.75" customHeight="1">
      <c r="A1030" s="174" t="s">
        <v>1360</v>
      </c>
      <c r="B1030" s="186" t="s">
        <v>187</v>
      </c>
      <c r="C1030" s="180"/>
      <c r="D1030" s="180"/>
    </row>
    <row r="1031" ht="15.75" customHeight="1">
      <c r="A1031" s="174" t="s">
        <v>1449</v>
      </c>
      <c r="B1031" s="186" t="s">
        <v>187</v>
      </c>
      <c r="C1031" s="180"/>
      <c r="D1031" s="180"/>
    </row>
    <row r="1032" ht="15.75" customHeight="1">
      <c r="A1032" s="174" t="s">
        <v>1461</v>
      </c>
      <c r="B1032" s="186" t="s">
        <v>187</v>
      </c>
      <c r="C1032" s="180"/>
      <c r="D1032" s="180"/>
    </row>
    <row r="1033" ht="15.75" customHeight="1">
      <c r="A1033" s="174" t="s">
        <v>1464</v>
      </c>
      <c r="B1033" s="186" t="s">
        <v>187</v>
      </c>
      <c r="C1033" s="180"/>
      <c r="D1033" s="180"/>
    </row>
    <row r="1034" ht="15.75" customHeight="1">
      <c r="A1034" s="168" t="s">
        <v>1481</v>
      </c>
      <c r="B1034" s="186" t="s">
        <v>187</v>
      </c>
      <c r="C1034" s="173"/>
      <c r="D1034" s="173"/>
    </row>
    <row r="1035" ht="15.75" customHeight="1">
      <c r="A1035" s="174" t="s">
        <v>2170</v>
      </c>
      <c r="B1035" s="184" t="s">
        <v>421</v>
      </c>
      <c r="C1035" s="185" t="s">
        <v>2012</v>
      </c>
      <c r="D1035" s="180"/>
    </row>
    <row r="1036" ht="15.75" customHeight="1">
      <c r="A1036" s="168" t="s">
        <v>2171</v>
      </c>
      <c r="B1036" s="184" t="s">
        <v>421</v>
      </c>
      <c r="C1036" s="173"/>
      <c r="D1036" s="173"/>
    </row>
    <row r="1037" ht="15.75" customHeight="1">
      <c r="A1037" s="174" t="s">
        <v>510</v>
      </c>
      <c r="B1037" s="186" t="s">
        <v>421</v>
      </c>
      <c r="C1037" s="180"/>
      <c r="D1037" s="180"/>
    </row>
    <row r="1038" ht="15.75" customHeight="1">
      <c r="A1038" s="168" t="s">
        <v>557</v>
      </c>
      <c r="B1038" s="186" t="s">
        <v>421</v>
      </c>
      <c r="C1038" s="173"/>
      <c r="D1038" s="173"/>
    </row>
    <row r="1039" ht="15.75" customHeight="1">
      <c r="A1039" s="168" t="s">
        <v>654</v>
      </c>
      <c r="B1039" s="189" t="s">
        <v>421</v>
      </c>
      <c r="C1039" s="167"/>
      <c r="D1039" s="167"/>
    </row>
    <row r="1040" ht="15.75" customHeight="1">
      <c r="A1040" s="168" t="s">
        <v>853</v>
      </c>
      <c r="B1040" s="189" t="s">
        <v>421</v>
      </c>
      <c r="C1040" s="173"/>
      <c r="D1040" s="173"/>
    </row>
    <row r="1041" ht="15.75" customHeight="1">
      <c r="A1041" s="174" t="s">
        <v>865</v>
      </c>
      <c r="B1041" s="186" t="s">
        <v>421</v>
      </c>
      <c r="C1041" s="180"/>
      <c r="D1041" s="180"/>
    </row>
    <row r="1042" ht="15.75" customHeight="1">
      <c r="A1042" s="174" t="s">
        <v>925</v>
      </c>
      <c r="B1042" s="184" t="s">
        <v>421</v>
      </c>
      <c r="C1042" s="180"/>
      <c r="D1042" s="180"/>
    </row>
    <row r="1043" ht="15.75" customHeight="1">
      <c r="A1043" s="174" t="s">
        <v>945</v>
      </c>
      <c r="B1043" s="184" t="s">
        <v>421</v>
      </c>
      <c r="C1043" s="180"/>
      <c r="D1043" s="180"/>
    </row>
    <row r="1044" ht="15.75" customHeight="1">
      <c r="A1044" s="168" t="s">
        <v>1059</v>
      </c>
      <c r="B1044" s="186" t="s">
        <v>421</v>
      </c>
      <c r="C1044" s="173"/>
      <c r="D1044" s="173"/>
    </row>
    <row r="1045" ht="15.75" customHeight="1">
      <c r="A1045" s="174" t="s">
        <v>124</v>
      </c>
      <c r="B1045" s="184" t="s">
        <v>125</v>
      </c>
      <c r="C1045" s="185" t="s">
        <v>2012</v>
      </c>
      <c r="D1045" s="180"/>
    </row>
    <row r="1046" ht="15.75" customHeight="1">
      <c r="A1046" s="174" t="s">
        <v>200</v>
      </c>
      <c r="B1046" s="184" t="s">
        <v>125</v>
      </c>
      <c r="C1046" s="180"/>
      <c r="D1046" s="180"/>
    </row>
    <row r="1047" ht="15.75" customHeight="1">
      <c r="A1047" s="168" t="s">
        <v>292</v>
      </c>
      <c r="B1047" s="184" t="s">
        <v>125</v>
      </c>
      <c r="C1047" s="173"/>
      <c r="D1047" s="173"/>
    </row>
    <row r="1048" ht="15.75" customHeight="1">
      <c r="A1048" s="174" t="s">
        <v>607</v>
      </c>
      <c r="B1048" s="184" t="s">
        <v>125</v>
      </c>
      <c r="C1048" s="180"/>
      <c r="D1048" s="180"/>
    </row>
    <row r="1049" ht="15.75" customHeight="1">
      <c r="A1049" s="168" t="s">
        <v>658</v>
      </c>
      <c r="B1049" s="176" t="s">
        <v>125</v>
      </c>
      <c r="C1049" s="167"/>
      <c r="D1049" s="167"/>
    </row>
    <row r="1050" ht="15.75" customHeight="1">
      <c r="A1050" s="174" t="s">
        <v>813</v>
      </c>
      <c r="B1050" s="169" t="s">
        <v>125</v>
      </c>
      <c r="C1050" s="170"/>
      <c r="D1050" s="170"/>
    </row>
    <row r="1051" ht="15.75" customHeight="1">
      <c r="A1051" s="171" t="s">
        <v>2172</v>
      </c>
      <c r="B1051" s="172" t="s">
        <v>125</v>
      </c>
      <c r="C1051" s="180"/>
      <c r="D1051" s="180"/>
    </row>
    <row r="1052" ht="15.75" customHeight="1">
      <c r="A1052" s="168" t="s">
        <v>943</v>
      </c>
      <c r="B1052" s="175" t="s">
        <v>125</v>
      </c>
      <c r="C1052" s="173"/>
      <c r="D1052" s="173"/>
    </row>
    <row r="1053" ht="15.75" customHeight="1">
      <c r="A1053" s="168" t="s">
        <v>1040</v>
      </c>
      <c r="B1053" s="175" t="s">
        <v>125</v>
      </c>
      <c r="C1053" s="173"/>
      <c r="D1053" s="173"/>
    </row>
    <row r="1054" ht="15.75" customHeight="1">
      <c r="A1054" s="168" t="s">
        <v>1058</v>
      </c>
      <c r="B1054" s="168" t="s">
        <v>125</v>
      </c>
      <c r="C1054" s="173"/>
      <c r="D1054" s="173"/>
    </row>
    <row r="1055" ht="15.75" customHeight="1">
      <c r="A1055" s="174" t="s">
        <v>1141</v>
      </c>
      <c r="B1055" s="175" t="s">
        <v>125</v>
      </c>
      <c r="C1055" s="170"/>
      <c r="D1055" s="170"/>
    </row>
    <row r="1056" ht="15.75" customHeight="1">
      <c r="A1056" s="168" t="s">
        <v>1353</v>
      </c>
      <c r="B1056" s="175" t="s">
        <v>125</v>
      </c>
      <c r="C1056" s="180"/>
      <c r="D1056" s="180"/>
    </row>
    <row r="1057" ht="15.75" customHeight="1">
      <c r="A1057" s="168" t="s">
        <v>1353</v>
      </c>
      <c r="B1057" s="175" t="s">
        <v>125</v>
      </c>
      <c r="C1057" s="167"/>
      <c r="D1057" s="167"/>
    </row>
    <row r="1058" ht="15.75" customHeight="1">
      <c r="A1058" s="168" t="s">
        <v>2173</v>
      </c>
      <c r="B1058" s="175" t="s">
        <v>125</v>
      </c>
      <c r="C1058" s="173"/>
      <c r="D1058" s="173"/>
    </row>
    <row r="1059" ht="15.75" customHeight="1">
      <c r="A1059" s="174" t="s">
        <v>1397</v>
      </c>
      <c r="B1059" s="175" t="s">
        <v>125</v>
      </c>
      <c r="C1059" s="180"/>
      <c r="D1059" s="180"/>
    </row>
    <row r="1060" ht="15.75" customHeight="1">
      <c r="A1060" s="168" t="s">
        <v>1400</v>
      </c>
      <c r="B1060" s="175" t="s">
        <v>125</v>
      </c>
      <c r="C1060" s="173"/>
      <c r="D1060" s="173"/>
    </row>
    <row r="1061" ht="15.75" customHeight="1">
      <c r="A1061" s="168" t="s">
        <v>1499</v>
      </c>
      <c r="B1061" s="175" t="s">
        <v>125</v>
      </c>
      <c r="C1061" s="173"/>
      <c r="D1061" s="173"/>
    </row>
    <row r="1062" ht="15.75" customHeight="1">
      <c r="A1062" s="174" t="s">
        <v>1539</v>
      </c>
      <c r="B1062" s="175" t="s">
        <v>125</v>
      </c>
      <c r="C1062" s="180"/>
      <c r="D1062" s="180"/>
    </row>
    <row r="1063" ht="15.75" customHeight="1">
      <c r="A1063" s="168" t="s">
        <v>2174</v>
      </c>
      <c r="B1063" s="175" t="s">
        <v>125</v>
      </c>
      <c r="C1063" s="173"/>
      <c r="D1063" s="173"/>
    </row>
    <row r="1064" ht="15.75" customHeight="1">
      <c r="A1064" s="174" t="s">
        <v>2175</v>
      </c>
      <c r="B1064" s="175" t="s">
        <v>125</v>
      </c>
      <c r="C1064" s="180"/>
      <c r="D1064" s="180"/>
    </row>
    <row r="1065" ht="15.75" customHeight="1">
      <c r="A1065" s="168" t="s">
        <v>1782</v>
      </c>
      <c r="B1065" s="175" t="s">
        <v>125</v>
      </c>
      <c r="C1065" s="173"/>
      <c r="D1065" s="173"/>
    </row>
    <row r="1066" ht="15.75" customHeight="1">
      <c r="A1066" s="168" t="s">
        <v>1843</v>
      </c>
      <c r="B1066" s="175" t="s">
        <v>125</v>
      </c>
      <c r="C1066" s="173"/>
      <c r="D1066" s="173"/>
    </row>
    <row r="1067" ht="15.75" customHeight="1">
      <c r="A1067" s="168" t="s">
        <v>1931</v>
      </c>
      <c r="B1067" s="175" t="s">
        <v>125</v>
      </c>
      <c r="C1067" s="173"/>
      <c r="D1067" s="173"/>
    </row>
    <row r="1068" ht="15.75" customHeight="1">
      <c r="A1068" s="168" t="s">
        <v>233</v>
      </c>
      <c r="B1068" s="175" t="s">
        <v>234</v>
      </c>
      <c r="C1068" s="194" t="s">
        <v>2109</v>
      </c>
      <c r="D1068" s="173"/>
    </row>
    <row r="1069" ht="15.75" customHeight="1">
      <c r="A1069" s="168" t="s">
        <v>261</v>
      </c>
      <c r="B1069" s="168" t="s">
        <v>234</v>
      </c>
      <c r="C1069" s="173"/>
      <c r="D1069" s="173"/>
    </row>
    <row r="1070" ht="15.75" customHeight="1">
      <c r="A1070" s="174" t="s">
        <v>2176</v>
      </c>
      <c r="B1070" s="168" t="s">
        <v>234</v>
      </c>
      <c r="C1070" s="170"/>
      <c r="D1070" s="170"/>
    </row>
    <row r="1071" ht="15.75" customHeight="1">
      <c r="A1071" s="174" t="s">
        <v>500</v>
      </c>
      <c r="B1071" s="175" t="s">
        <v>234</v>
      </c>
      <c r="C1071" s="180"/>
      <c r="D1071" s="180"/>
    </row>
    <row r="1072" ht="15.75" customHeight="1">
      <c r="A1072" s="168" t="s">
        <v>647</v>
      </c>
      <c r="B1072" s="168" t="s">
        <v>234</v>
      </c>
      <c r="C1072" s="173"/>
      <c r="D1072" s="173"/>
    </row>
    <row r="1073" ht="15.75" customHeight="1">
      <c r="A1073" s="168" t="s">
        <v>2177</v>
      </c>
      <c r="B1073" s="168" t="s">
        <v>234</v>
      </c>
      <c r="C1073" s="173"/>
      <c r="D1073" s="173"/>
    </row>
    <row r="1074" ht="15.75" customHeight="1">
      <c r="A1074" s="168" t="s">
        <v>968</v>
      </c>
      <c r="B1074" s="175" t="s">
        <v>234</v>
      </c>
      <c r="C1074" s="173"/>
      <c r="D1074" s="173"/>
    </row>
    <row r="1075" ht="15.75" customHeight="1">
      <c r="A1075" s="168" t="s">
        <v>1023</v>
      </c>
      <c r="B1075" s="168" t="s">
        <v>234</v>
      </c>
      <c r="C1075" s="173"/>
      <c r="D1075" s="173"/>
    </row>
    <row r="1076" ht="15.75" customHeight="1">
      <c r="A1076" s="168" t="s">
        <v>1128</v>
      </c>
      <c r="B1076" s="175" t="s">
        <v>234</v>
      </c>
      <c r="C1076" s="173"/>
      <c r="D1076" s="173"/>
    </row>
    <row r="1077" ht="15.75" customHeight="1">
      <c r="A1077" s="174" t="s">
        <v>1513</v>
      </c>
      <c r="B1077" s="168" t="s">
        <v>234</v>
      </c>
      <c r="C1077" s="180"/>
      <c r="D1077" s="180"/>
    </row>
    <row r="1078" ht="15.75" customHeight="1">
      <c r="A1078" s="168" t="s">
        <v>1578</v>
      </c>
      <c r="B1078" s="175" t="s">
        <v>234</v>
      </c>
      <c r="C1078" s="173"/>
      <c r="D1078" s="173"/>
    </row>
    <row r="1079" ht="15.75" customHeight="1">
      <c r="A1079" s="168" t="s">
        <v>1618</v>
      </c>
      <c r="B1079" s="168" t="s">
        <v>234</v>
      </c>
      <c r="C1079" s="173"/>
      <c r="D1079" s="173"/>
    </row>
    <row r="1080" ht="15.75" customHeight="1">
      <c r="A1080" s="174" t="s">
        <v>1643</v>
      </c>
      <c r="B1080" s="175" t="s">
        <v>234</v>
      </c>
      <c r="C1080" s="170"/>
      <c r="D1080" s="170"/>
    </row>
    <row r="1081" ht="15.75" customHeight="1">
      <c r="A1081" s="174" t="s">
        <v>1778</v>
      </c>
      <c r="B1081" s="175" t="s">
        <v>234</v>
      </c>
      <c r="C1081" s="170"/>
      <c r="D1081" s="170"/>
    </row>
    <row r="1082" ht="15.75" customHeight="1">
      <c r="A1082" s="174" t="s">
        <v>1853</v>
      </c>
      <c r="B1082" s="175" t="s">
        <v>234</v>
      </c>
      <c r="C1082" s="180"/>
      <c r="D1082" s="180"/>
    </row>
    <row r="1083" ht="15.75" customHeight="1">
      <c r="A1083" s="168" t="s">
        <v>1893</v>
      </c>
      <c r="B1083" s="168" t="s">
        <v>234</v>
      </c>
      <c r="C1083" s="173"/>
      <c r="D1083" s="173"/>
    </row>
    <row r="1084" ht="15.75" customHeight="1">
      <c r="A1084" s="174" t="s">
        <v>154</v>
      </c>
      <c r="B1084" s="174" t="s">
        <v>155</v>
      </c>
      <c r="C1084" s="185" t="s">
        <v>2163</v>
      </c>
      <c r="D1084" s="180"/>
    </row>
    <row r="1085" ht="15.75" customHeight="1">
      <c r="A1085" s="168" t="s">
        <v>330</v>
      </c>
      <c r="B1085" s="174" t="s">
        <v>155</v>
      </c>
      <c r="C1085" s="180"/>
      <c r="D1085" s="180"/>
    </row>
    <row r="1086" ht="15.75" customHeight="1">
      <c r="A1086" s="174" t="s">
        <v>835</v>
      </c>
      <c r="B1086" s="174" t="s">
        <v>155</v>
      </c>
      <c r="C1086" s="180"/>
      <c r="D1086" s="180"/>
    </row>
    <row r="1087" ht="15.75" customHeight="1">
      <c r="A1087" s="174" t="s">
        <v>886</v>
      </c>
      <c r="B1087" s="174" t="s">
        <v>155</v>
      </c>
      <c r="C1087" s="180"/>
      <c r="D1087" s="180"/>
    </row>
    <row r="1088" ht="15.75" customHeight="1">
      <c r="A1088" s="174" t="s">
        <v>979</v>
      </c>
      <c r="B1088" s="174" t="s">
        <v>155</v>
      </c>
      <c r="C1088" s="180"/>
      <c r="D1088" s="180"/>
    </row>
    <row r="1089" ht="15.75" customHeight="1">
      <c r="A1089" s="174" t="s">
        <v>1196</v>
      </c>
      <c r="B1089" s="174" t="s">
        <v>155</v>
      </c>
      <c r="C1089" s="180"/>
      <c r="D1089" s="180"/>
    </row>
    <row r="1090" ht="15.75" customHeight="1">
      <c r="A1090" s="168" t="s">
        <v>1343</v>
      </c>
      <c r="B1090" s="174" t="s">
        <v>155</v>
      </c>
      <c r="C1090" s="167"/>
      <c r="D1090" s="167"/>
    </row>
    <row r="1091" ht="15.75" customHeight="1">
      <c r="A1091" s="174" t="s">
        <v>1748</v>
      </c>
      <c r="B1091" s="174" t="s">
        <v>155</v>
      </c>
      <c r="C1091" s="170"/>
      <c r="D1091" s="170"/>
    </row>
    <row r="1092" ht="15.75" customHeight="1">
      <c r="A1092" s="168" t="s">
        <v>1836</v>
      </c>
      <c r="B1092" s="174" t="s">
        <v>155</v>
      </c>
      <c r="C1092" s="167"/>
      <c r="D1092" s="167"/>
    </row>
    <row r="1093" ht="15.75" customHeight="1">
      <c r="A1093" s="174" t="s">
        <v>246</v>
      </c>
      <c r="B1093" s="171" t="s">
        <v>247</v>
      </c>
      <c r="C1093" s="191" t="s">
        <v>2114</v>
      </c>
      <c r="D1093" s="170"/>
    </row>
    <row r="1094" ht="15.75" customHeight="1">
      <c r="A1094" s="174" t="s">
        <v>512</v>
      </c>
      <c r="B1094" s="174" t="s">
        <v>247</v>
      </c>
      <c r="C1094" s="180"/>
      <c r="D1094" s="180"/>
    </row>
    <row r="1095" ht="15.75" customHeight="1">
      <c r="A1095" s="174" t="s">
        <v>636</v>
      </c>
      <c r="B1095" s="171" t="s">
        <v>247</v>
      </c>
      <c r="C1095" s="170"/>
      <c r="D1095" s="170"/>
    </row>
    <row r="1096" ht="15.75" customHeight="1">
      <c r="A1096" s="168" t="s">
        <v>989</v>
      </c>
      <c r="B1096" s="174" t="s">
        <v>247</v>
      </c>
      <c r="C1096" s="173"/>
      <c r="D1096" s="173"/>
    </row>
    <row r="1097" ht="15.75" customHeight="1">
      <c r="A1097" s="168" t="s">
        <v>1034</v>
      </c>
      <c r="B1097" s="171" t="s">
        <v>247</v>
      </c>
      <c r="C1097" s="167"/>
      <c r="D1097" s="167"/>
    </row>
    <row r="1098" ht="15.75" customHeight="1">
      <c r="A1098" s="174" t="s">
        <v>1035</v>
      </c>
      <c r="B1098" s="174" t="s">
        <v>247</v>
      </c>
      <c r="C1098" s="170"/>
      <c r="D1098" s="170"/>
    </row>
    <row r="1099" ht="15.75" customHeight="1">
      <c r="A1099" s="168" t="s">
        <v>1315</v>
      </c>
      <c r="B1099" s="171" t="s">
        <v>247</v>
      </c>
      <c r="C1099" s="193"/>
      <c r="D1099" s="193"/>
    </row>
    <row r="1100" ht="15.75" customHeight="1">
      <c r="A1100" s="168" t="s">
        <v>1389</v>
      </c>
      <c r="B1100" s="174" t="s">
        <v>247</v>
      </c>
      <c r="C1100" s="173"/>
      <c r="D1100" s="173"/>
    </row>
    <row r="1101" ht="15.75" customHeight="1">
      <c r="A1101" s="174" t="s">
        <v>1393</v>
      </c>
      <c r="B1101" s="171" t="s">
        <v>247</v>
      </c>
      <c r="C1101" s="180"/>
      <c r="D1101" s="180"/>
    </row>
    <row r="1102" ht="15.75" customHeight="1">
      <c r="A1102" s="174" t="s">
        <v>2178</v>
      </c>
      <c r="B1102" s="174" t="s">
        <v>247</v>
      </c>
      <c r="C1102" s="180"/>
      <c r="D1102" s="180"/>
    </row>
    <row r="1103" ht="15.75" customHeight="1">
      <c r="A1103" s="168" t="s">
        <v>28</v>
      </c>
      <c r="B1103" s="175" t="s">
        <v>29</v>
      </c>
      <c r="C1103" s="194" t="s">
        <v>2179</v>
      </c>
      <c r="D1103" s="173"/>
    </row>
    <row r="1104" ht="15.75" customHeight="1">
      <c r="A1104" s="188" t="s">
        <v>30</v>
      </c>
      <c r="B1104" s="172" t="s">
        <v>29</v>
      </c>
      <c r="C1104" s="180"/>
      <c r="D1104" s="180"/>
    </row>
    <row r="1105" ht="15.75" customHeight="1">
      <c r="A1105" s="188" t="s">
        <v>31</v>
      </c>
      <c r="B1105" s="174" t="s">
        <v>29</v>
      </c>
      <c r="C1105" s="180"/>
      <c r="D1105" s="180"/>
    </row>
    <row r="1106" ht="15.75" customHeight="1">
      <c r="A1106" s="174" t="s">
        <v>35</v>
      </c>
      <c r="B1106" s="172" t="s">
        <v>29</v>
      </c>
      <c r="C1106" s="180"/>
      <c r="D1106" s="180"/>
    </row>
    <row r="1107" ht="15.75" customHeight="1">
      <c r="A1107" s="202" t="s">
        <v>36</v>
      </c>
      <c r="B1107" s="203" t="s">
        <v>29</v>
      </c>
      <c r="C1107" s="195"/>
      <c r="D1107" s="195"/>
    </row>
    <row r="1108" ht="15.75" customHeight="1">
      <c r="A1108" s="174" t="s">
        <v>303</v>
      </c>
      <c r="B1108" s="172" t="s">
        <v>29</v>
      </c>
      <c r="C1108" s="167"/>
      <c r="D1108" s="167"/>
    </row>
    <row r="1109" ht="15.75" customHeight="1">
      <c r="A1109" s="174" t="s">
        <v>499</v>
      </c>
      <c r="B1109" s="172" t="s">
        <v>29</v>
      </c>
      <c r="C1109" s="180"/>
      <c r="D1109" s="180"/>
    </row>
    <row r="1110" ht="15.75" customHeight="1">
      <c r="A1110" s="168" t="s">
        <v>2180</v>
      </c>
      <c r="B1110" s="172" t="s">
        <v>29</v>
      </c>
      <c r="C1110" s="173"/>
      <c r="D1110" s="173"/>
    </row>
    <row r="1111" ht="15.75" customHeight="1">
      <c r="A1111" s="174" t="s">
        <v>1375</v>
      </c>
      <c r="B1111" s="172" t="s">
        <v>29</v>
      </c>
      <c r="C1111" s="180"/>
      <c r="D1111" s="180"/>
    </row>
    <row r="1112" ht="15.75" customHeight="1">
      <c r="A1112" s="168" t="s">
        <v>1801</v>
      </c>
      <c r="B1112" s="172" t="s">
        <v>29</v>
      </c>
      <c r="C1112" s="173"/>
      <c r="D1112" s="173"/>
    </row>
    <row r="1113" ht="15.75" customHeight="1">
      <c r="A1113" s="168" t="s">
        <v>264</v>
      </c>
      <c r="B1113" s="175" t="s">
        <v>265</v>
      </c>
      <c r="C1113" s="194" t="s">
        <v>2012</v>
      </c>
      <c r="D1113" s="173"/>
    </row>
    <row r="1114" ht="15.75" customHeight="1">
      <c r="A1114" s="168" t="s">
        <v>2181</v>
      </c>
      <c r="B1114" s="175" t="s">
        <v>265</v>
      </c>
      <c r="C1114" s="173"/>
      <c r="D1114" s="173"/>
    </row>
    <row r="1115" ht="15.75" customHeight="1">
      <c r="A1115" s="168" t="s">
        <v>268</v>
      </c>
      <c r="B1115" s="168" t="s">
        <v>265</v>
      </c>
      <c r="C1115" s="173"/>
      <c r="D1115" s="173"/>
    </row>
    <row r="1116" ht="15.75" customHeight="1">
      <c r="A1116" s="168" t="s">
        <v>270</v>
      </c>
      <c r="B1116" s="175" t="s">
        <v>265</v>
      </c>
      <c r="C1116" s="173"/>
      <c r="D1116" s="173"/>
    </row>
    <row r="1117" ht="15.75" customHeight="1">
      <c r="A1117" s="174" t="s">
        <v>357</v>
      </c>
      <c r="B1117" s="172" t="s">
        <v>265</v>
      </c>
      <c r="C1117" s="180"/>
      <c r="D1117" s="180"/>
    </row>
    <row r="1118" ht="15.75" customHeight="1">
      <c r="A1118" s="168" t="s">
        <v>395</v>
      </c>
      <c r="B1118" s="175" t="s">
        <v>265</v>
      </c>
      <c r="C1118" s="173"/>
      <c r="D1118" s="173"/>
    </row>
    <row r="1119" ht="15.75" customHeight="1">
      <c r="A1119" s="168" t="s">
        <v>940</v>
      </c>
      <c r="B1119" s="168" t="s">
        <v>265</v>
      </c>
      <c r="C1119" s="173"/>
      <c r="D1119" s="173"/>
    </row>
    <row r="1120" ht="15.75" customHeight="1">
      <c r="A1120" s="174" t="s">
        <v>1177</v>
      </c>
      <c r="B1120" s="172" t="s">
        <v>265</v>
      </c>
      <c r="C1120" s="180"/>
      <c r="D1120" s="180"/>
    </row>
    <row r="1121" ht="15.75" customHeight="1">
      <c r="A1121" s="166" t="s">
        <v>1277</v>
      </c>
      <c r="B1121" s="169" t="s">
        <v>265</v>
      </c>
      <c r="C1121" s="167"/>
      <c r="D1121" s="167"/>
    </row>
    <row r="1122" ht="15.75" customHeight="1">
      <c r="A1122" s="174" t="s">
        <v>1469</v>
      </c>
      <c r="B1122" s="172" t="s">
        <v>265</v>
      </c>
      <c r="C1122" s="180"/>
      <c r="D1122" s="180"/>
    </row>
    <row r="1123" ht="15.75" customHeight="1">
      <c r="A1123" s="168" t="s">
        <v>2182</v>
      </c>
      <c r="B1123" s="175" t="s">
        <v>265</v>
      </c>
      <c r="C1123" s="173"/>
      <c r="D1123" s="173"/>
    </row>
    <row r="1124" ht="15.75" customHeight="1">
      <c r="A1124" s="168" t="s">
        <v>1520</v>
      </c>
      <c r="B1124" s="166" t="s">
        <v>265</v>
      </c>
      <c r="C1124" s="167"/>
      <c r="D1124" s="167"/>
    </row>
    <row r="1125" ht="15.75" customHeight="1">
      <c r="A1125" s="168" t="s">
        <v>487</v>
      </c>
      <c r="B1125" s="176" t="s">
        <v>488</v>
      </c>
      <c r="C1125" s="194" t="s">
        <v>2012</v>
      </c>
      <c r="D1125" s="167"/>
    </row>
    <row r="1126" ht="15.75" customHeight="1">
      <c r="A1126" s="168" t="s">
        <v>772</v>
      </c>
      <c r="B1126" s="175" t="s">
        <v>488</v>
      </c>
      <c r="D1126" s="173"/>
    </row>
    <row r="1127" ht="15.75" customHeight="1">
      <c r="A1127" s="174" t="s">
        <v>1037</v>
      </c>
      <c r="B1127" s="172" t="s">
        <v>488</v>
      </c>
      <c r="C1127" s="180"/>
      <c r="D1127" s="180"/>
    </row>
    <row r="1128" ht="15.75" customHeight="1">
      <c r="A1128" s="168" t="s">
        <v>1043</v>
      </c>
      <c r="B1128" s="175" t="s">
        <v>488</v>
      </c>
      <c r="C1128" s="173"/>
      <c r="D1128" s="173"/>
    </row>
    <row r="1129" ht="15.75" customHeight="1">
      <c r="A1129" s="168" t="s">
        <v>1364</v>
      </c>
      <c r="B1129" s="175" t="s">
        <v>488</v>
      </c>
      <c r="C1129" s="173"/>
      <c r="D1129" s="173"/>
    </row>
    <row r="1130" ht="15.75" customHeight="1">
      <c r="A1130" s="168" t="s">
        <v>1659</v>
      </c>
      <c r="B1130" s="175" t="s">
        <v>488</v>
      </c>
      <c r="C1130" s="173"/>
      <c r="D1130" s="173"/>
    </row>
    <row r="1131" ht="15.75" customHeight="1">
      <c r="A1131" s="174" t="s">
        <v>1683</v>
      </c>
      <c r="B1131" s="172" t="s">
        <v>488</v>
      </c>
      <c r="C1131" s="180"/>
      <c r="D1131" s="180"/>
    </row>
    <row r="1132" ht="15.75" customHeight="1">
      <c r="A1132" s="168" t="s">
        <v>2183</v>
      </c>
      <c r="B1132" s="175" t="s">
        <v>488</v>
      </c>
      <c r="C1132" s="173"/>
      <c r="D1132" s="173"/>
    </row>
    <row r="1133" ht="15.75" customHeight="1">
      <c r="A1133" s="168" t="s">
        <v>1940</v>
      </c>
      <c r="B1133" s="175" t="s">
        <v>488</v>
      </c>
      <c r="C1133" s="173"/>
      <c r="D1133" s="173"/>
    </row>
    <row r="1134" ht="15.75" customHeight="1">
      <c r="A1134" s="174" t="s">
        <v>84</v>
      </c>
      <c r="B1134" s="174" t="s">
        <v>85</v>
      </c>
      <c r="C1134" s="185" t="s">
        <v>2184</v>
      </c>
      <c r="D1134" s="180"/>
    </row>
    <row r="1135" ht="15.75" customHeight="1">
      <c r="A1135" s="168" t="s">
        <v>184</v>
      </c>
      <c r="B1135" s="168" t="s">
        <v>85</v>
      </c>
      <c r="C1135" s="173"/>
      <c r="D1135" s="173"/>
    </row>
    <row r="1136" ht="15.75" customHeight="1">
      <c r="A1136" s="168" t="s">
        <v>306</v>
      </c>
      <c r="B1136" s="174" t="s">
        <v>85</v>
      </c>
      <c r="C1136" s="173"/>
      <c r="D1136" s="173"/>
    </row>
    <row r="1137" ht="15.75" customHeight="1">
      <c r="A1137" s="168" t="s">
        <v>313</v>
      </c>
      <c r="B1137" s="168" t="s">
        <v>85</v>
      </c>
      <c r="C1137" s="173"/>
      <c r="D1137" s="173"/>
    </row>
    <row r="1138" ht="15.75" customHeight="1">
      <c r="A1138" s="168" t="s">
        <v>359</v>
      </c>
      <c r="B1138" s="174" t="s">
        <v>85</v>
      </c>
      <c r="C1138" s="173"/>
      <c r="D1138" s="173"/>
    </row>
    <row r="1139" ht="15.75" customHeight="1">
      <c r="A1139" s="168" t="s">
        <v>648</v>
      </c>
      <c r="B1139" s="174" t="s">
        <v>85</v>
      </c>
      <c r="C1139" s="173"/>
      <c r="D1139" s="173"/>
    </row>
    <row r="1140" ht="15.75" customHeight="1">
      <c r="A1140" s="174" t="s">
        <v>679</v>
      </c>
      <c r="B1140" s="168" t="s">
        <v>85</v>
      </c>
      <c r="C1140" s="170"/>
      <c r="D1140" s="170"/>
    </row>
    <row r="1141" ht="15.75" customHeight="1">
      <c r="A1141" s="174" t="s">
        <v>789</v>
      </c>
      <c r="B1141" s="174" t="s">
        <v>85</v>
      </c>
      <c r="C1141" s="180"/>
      <c r="D1141" s="180"/>
    </row>
    <row r="1142" ht="15.75" customHeight="1">
      <c r="A1142" s="168" t="s">
        <v>841</v>
      </c>
      <c r="B1142" s="168" t="s">
        <v>85</v>
      </c>
      <c r="C1142" s="173"/>
      <c r="D1142" s="173"/>
    </row>
    <row r="1143" ht="15.75" customHeight="1">
      <c r="A1143" s="174" t="s">
        <v>2185</v>
      </c>
      <c r="B1143" s="174" t="s">
        <v>85</v>
      </c>
      <c r="C1143" s="180"/>
      <c r="D1143" s="180"/>
    </row>
    <row r="1144" ht="15.75" customHeight="1">
      <c r="A1144" s="168" t="s">
        <v>952</v>
      </c>
      <c r="B1144" s="168" t="s">
        <v>85</v>
      </c>
      <c r="C1144" s="173"/>
      <c r="D1144" s="173"/>
    </row>
    <row r="1145" ht="15.75" customHeight="1">
      <c r="A1145" s="168" t="s">
        <v>1019</v>
      </c>
      <c r="B1145" s="174" t="s">
        <v>85</v>
      </c>
      <c r="C1145" s="173"/>
      <c r="D1145" s="173"/>
    </row>
    <row r="1146" ht="15.75" customHeight="1">
      <c r="A1146" s="174" t="s">
        <v>2186</v>
      </c>
      <c r="B1146" s="168" t="s">
        <v>85</v>
      </c>
      <c r="C1146" s="180"/>
      <c r="D1146" s="180"/>
    </row>
    <row r="1147" ht="15.75" customHeight="1">
      <c r="A1147" s="168" t="s">
        <v>2187</v>
      </c>
      <c r="B1147" s="174" t="s">
        <v>85</v>
      </c>
      <c r="C1147" s="173"/>
      <c r="D1147" s="173"/>
    </row>
    <row r="1148" ht="15.75" customHeight="1">
      <c r="A1148" s="174" t="s">
        <v>1303</v>
      </c>
      <c r="B1148" s="168" t="s">
        <v>85</v>
      </c>
      <c r="C1148" s="180"/>
      <c r="D1148" s="180"/>
    </row>
    <row r="1149" ht="15.75" customHeight="1">
      <c r="A1149" s="168" t="s">
        <v>1329</v>
      </c>
      <c r="B1149" s="174" t="s">
        <v>85</v>
      </c>
      <c r="C1149" s="173"/>
      <c r="D1149" s="173"/>
    </row>
    <row r="1150" ht="15.75" customHeight="1">
      <c r="A1150" s="174" t="s">
        <v>1335</v>
      </c>
      <c r="B1150" s="168" t="s">
        <v>85</v>
      </c>
      <c r="C1150" s="180"/>
      <c r="D1150" s="180"/>
    </row>
    <row r="1151" ht="15.75" customHeight="1">
      <c r="A1151" s="174" t="s">
        <v>1424</v>
      </c>
      <c r="B1151" s="174" t="s">
        <v>85</v>
      </c>
      <c r="C1151" s="180"/>
      <c r="D1151" s="180"/>
    </row>
    <row r="1152" ht="15.75" customHeight="1">
      <c r="A1152" s="168" t="s">
        <v>1514</v>
      </c>
      <c r="B1152" s="168" t="s">
        <v>85</v>
      </c>
      <c r="C1152" s="173"/>
      <c r="D1152" s="173"/>
    </row>
    <row r="1153" ht="15.75" customHeight="1">
      <c r="A1153" s="168" t="s">
        <v>1600</v>
      </c>
      <c r="B1153" s="174" t="s">
        <v>85</v>
      </c>
      <c r="C1153" s="173"/>
      <c r="D1153" s="173"/>
    </row>
    <row r="1154" ht="15.75" customHeight="1">
      <c r="A1154" s="174" t="s">
        <v>1622</v>
      </c>
      <c r="B1154" s="168" t="s">
        <v>85</v>
      </c>
      <c r="C1154" s="180"/>
      <c r="D1154" s="180"/>
    </row>
    <row r="1155" ht="15.75" customHeight="1">
      <c r="A1155" s="174" t="s">
        <v>1884</v>
      </c>
      <c r="B1155" s="168" t="s">
        <v>85</v>
      </c>
      <c r="C1155" s="180"/>
      <c r="D1155" s="180"/>
    </row>
    <row r="1156" ht="15.75" customHeight="1">
      <c r="A1156" s="168" t="s">
        <v>2188</v>
      </c>
      <c r="B1156" s="186" t="s">
        <v>160</v>
      </c>
      <c r="C1156" s="194" t="s">
        <v>2012</v>
      </c>
      <c r="D1156" s="173"/>
    </row>
    <row r="1157" ht="15.75" customHeight="1">
      <c r="A1157" s="168" t="s">
        <v>862</v>
      </c>
      <c r="B1157" s="184" t="s">
        <v>160</v>
      </c>
      <c r="C1157" s="194"/>
      <c r="D1157" s="173"/>
    </row>
    <row r="1158" ht="15.75" customHeight="1">
      <c r="A1158" s="174" t="s">
        <v>1852</v>
      </c>
      <c r="B1158" s="190" t="s">
        <v>160</v>
      </c>
      <c r="C1158" s="170"/>
      <c r="D1158" s="170"/>
    </row>
    <row r="1159" ht="15.75" customHeight="1">
      <c r="A1159" s="168" t="s">
        <v>1892</v>
      </c>
      <c r="B1159" s="184" t="s">
        <v>160</v>
      </c>
      <c r="C1159" s="173"/>
      <c r="D1159" s="173"/>
    </row>
    <row r="1160" ht="15.75" customHeight="1">
      <c r="A1160" s="174" t="s">
        <v>1458</v>
      </c>
      <c r="B1160" s="184" t="s">
        <v>1013</v>
      </c>
      <c r="C1160" s="185" t="s">
        <v>2012</v>
      </c>
      <c r="D1160" s="180"/>
    </row>
    <row r="1161" ht="15.75" customHeight="1">
      <c r="A1161" s="174" t="s">
        <v>1637</v>
      </c>
      <c r="B1161" s="186" t="s">
        <v>1013</v>
      </c>
      <c r="C1161" s="180"/>
      <c r="D1161" s="180"/>
    </row>
    <row r="1162" ht="15.75" customHeight="1">
      <c r="A1162" s="174" t="s">
        <v>1701</v>
      </c>
      <c r="B1162" s="184" t="s">
        <v>1013</v>
      </c>
      <c r="C1162" s="180"/>
      <c r="D1162" s="180"/>
    </row>
    <row r="1163" ht="15.75" customHeight="1">
      <c r="A1163" s="168" t="s">
        <v>1709</v>
      </c>
      <c r="B1163" s="190" t="s">
        <v>1013</v>
      </c>
      <c r="C1163" s="167"/>
      <c r="D1163" s="167"/>
    </row>
    <row r="1164" ht="15.75" customHeight="1">
      <c r="A1164" s="168" t="s">
        <v>1784</v>
      </c>
      <c r="B1164" s="190" t="s">
        <v>1013</v>
      </c>
      <c r="C1164" s="167"/>
      <c r="D1164" s="167"/>
    </row>
    <row r="1165" ht="15.75" customHeight="1">
      <c r="A1165" s="168" t="s">
        <v>369</v>
      </c>
      <c r="B1165" s="186" t="s">
        <v>370</v>
      </c>
      <c r="C1165" s="194" t="s">
        <v>2012</v>
      </c>
      <c r="D1165" s="173"/>
    </row>
    <row r="1166" ht="15.75" customHeight="1">
      <c r="A1166" s="174" t="s">
        <v>446</v>
      </c>
      <c r="B1166" s="186" t="s">
        <v>370</v>
      </c>
      <c r="C1166" s="180"/>
      <c r="D1166" s="180"/>
    </row>
    <row r="1167" ht="15.75" customHeight="1">
      <c r="A1167" s="168" t="s">
        <v>2189</v>
      </c>
      <c r="B1167" s="186" t="s">
        <v>370</v>
      </c>
      <c r="C1167" s="173"/>
      <c r="D1167" s="173"/>
    </row>
    <row r="1168" ht="15.75" customHeight="1">
      <c r="A1168" s="168" t="s">
        <v>1208</v>
      </c>
      <c r="B1168" s="184" t="s">
        <v>370</v>
      </c>
      <c r="C1168" s="173"/>
      <c r="D1168" s="173"/>
    </row>
    <row r="1169" ht="15.75" customHeight="1">
      <c r="A1169" s="174" t="s">
        <v>1614</v>
      </c>
      <c r="B1169" s="186" t="s">
        <v>370</v>
      </c>
      <c r="C1169" s="180"/>
      <c r="D1169" s="180"/>
    </row>
    <row r="1170" ht="15.75" customHeight="1">
      <c r="A1170" s="174" t="s">
        <v>1616</v>
      </c>
      <c r="B1170" s="184" t="s">
        <v>370</v>
      </c>
      <c r="C1170" s="180"/>
      <c r="D1170" s="180"/>
    </row>
    <row r="1171" ht="15.75" customHeight="1">
      <c r="A1171" s="174" t="s">
        <v>1803</v>
      </c>
      <c r="B1171" s="186" t="s">
        <v>370</v>
      </c>
      <c r="C1171" s="180"/>
      <c r="D1171" s="180"/>
    </row>
    <row r="1172" ht="15.75" customHeight="1">
      <c r="A1172" s="174" t="s">
        <v>205</v>
      </c>
      <c r="B1172" s="186" t="s">
        <v>206</v>
      </c>
      <c r="C1172" s="185" t="s">
        <v>2012</v>
      </c>
      <c r="D1172" s="180"/>
    </row>
    <row r="1173" ht="15.75" customHeight="1">
      <c r="A1173" s="168" t="s">
        <v>235</v>
      </c>
      <c r="B1173" s="184" t="s">
        <v>206</v>
      </c>
      <c r="C1173" s="173"/>
      <c r="D1173" s="173"/>
    </row>
    <row r="1174" ht="15.75" customHeight="1">
      <c r="A1174" s="174" t="s">
        <v>1352</v>
      </c>
      <c r="B1174" s="184" t="s">
        <v>206</v>
      </c>
      <c r="C1174" s="170"/>
      <c r="D1174" s="170"/>
    </row>
    <row r="1175" ht="15.75" customHeight="1">
      <c r="A1175" s="168" t="s">
        <v>1767</v>
      </c>
      <c r="B1175" s="186" t="s">
        <v>206</v>
      </c>
      <c r="C1175" s="167"/>
      <c r="D1175" s="167"/>
    </row>
    <row r="1176" ht="15.75" customHeight="1">
      <c r="A1176" s="168" t="s">
        <v>1930</v>
      </c>
      <c r="B1176" s="184" t="s">
        <v>206</v>
      </c>
      <c r="C1176" s="167"/>
      <c r="D1176" s="167"/>
    </row>
    <row r="1177" ht="15.75" customHeight="1">
      <c r="A1177" s="174" t="s">
        <v>2190</v>
      </c>
      <c r="B1177" s="184" t="s">
        <v>763</v>
      </c>
      <c r="C1177" s="185" t="s">
        <v>2012</v>
      </c>
      <c r="D1177" s="180"/>
    </row>
    <row r="1178" ht="15.75" customHeight="1">
      <c r="A1178" s="174" t="s">
        <v>1312</v>
      </c>
      <c r="B1178" s="186" t="s">
        <v>763</v>
      </c>
      <c r="C1178" s="185"/>
      <c r="D1178" s="180"/>
    </row>
    <row r="1179" ht="15.75" customHeight="1">
      <c r="A1179" s="174" t="s">
        <v>1785</v>
      </c>
      <c r="B1179" s="184" t="s">
        <v>763</v>
      </c>
      <c r="C1179" s="185"/>
      <c r="D1179" s="180"/>
    </row>
    <row r="1180" ht="15.75" customHeight="1">
      <c r="A1180" s="168" t="s">
        <v>1932</v>
      </c>
      <c r="B1180" s="184" t="s">
        <v>763</v>
      </c>
      <c r="C1180" s="167"/>
      <c r="D1180" s="167"/>
    </row>
    <row r="1181" ht="15.75" customHeight="1">
      <c r="A1181" s="174" t="s">
        <v>2191</v>
      </c>
      <c r="B1181" s="184" t="s">
        <v>763</v>
      </c>
      <c r="C1181" s="180"/>
      <c r="D1181" s="180"/>
    </row>
    <row r="1182" ht="15.75" customHeight="1">
      <c r="A1182" s="165" t="s">
        <v>455</v>
      </c>
      <c r="B1182" s="207" t="s">
        <v>456</v>
      </c>
      <c r="C1182" s="194" t="s">
        <v>2127</v>
      </c>
      <c r="D1182" s="173"/>
    </row>
    <row r="1183" ht="15.75" customHeight="1">
      <c r="A1183" s="165" t="s">
        <v>766</v>
      </c>
      <c r="B1183" s="165" t="s">
        <v>456</v>
      </c>
      <c r="C1183" s="194"/>
      <c r="D1183" s="173"/>
    </row>
    <row r="1184" ht="15.75" customHeight="1">
      <c r="A1184" s="165" t="s">
        <v>1000</v>
      </c>
      <c r="B1184" s="165" t="s">
        <v>456</v>
      </c>
      <c r="C1184" s="194"/>
      <c r="D1184" s="173"/>
    </row>
    <row r="1185" ht="15.75" customHeight="1">
      <c r="A1185" s="165" t="s">
        <v>1139</v>
      </c>
      <c r="B1185" s="165" t="s">
        <v>456</v>
      </c>
      <c r="C1185" s="194"/>
      <c r="D1185" s="173"/>
    </row>
    <row r="1186" ht="15.75" customHeight="1">
      <c r="A1186" s="174" t="s">
        <v>201</v>
      </c>
      <c r="B1186" s="186" t="s">
        <v>202</v>
      </c>
      <c r="C1186" s="185" t="s">
        <v>2012</v>
      </c>
      <c r="D1186" s="180"/>
    </row>
    <row r="1187" ht="15.75" customHeight="1">
      <c r="A1187" s="168" t="s">
        <v>713</v>
      </c>
      <c r="B1187" s="186" t="s">
        <v>202</v>
      </c>
      <c r="C1187" s="173"/>
      <c r="D1187" s="173"/>
    </row>
    <row r="1188" ht="15.75" customHeight="1">
      <c r="A1188" s="174" t="s">
        <v>1049</v>
      </c>
      <c r="B1188" s="172" t="s">
        <v>202</v>
      </c>
      <c r="C1188" s="180"/>
      <c r="D1188" s="180"/>
    </row>
    <row r="1189" ht="15.75" customHeight="1">
      <c r="A1189" s="174" t="s">
        <v>1346</v>
      </c>
      <c r="B1189" s="180" t="s">
        <v>202</v>
      </c>
      <c r="C1189" s="180"/>
      <c r="D1189" s="180"/>
    </row>
    <row r="1190" ht="15.75" customHeight="1">
      <c r="A1190" s="168" t="s">
        <v>1550</v>
      </c>
      <c r="B1190" s="175" t="s">
        <v>202</v>
      </c>
      <c r="C1190" s="173"/>
      <c r="D1190" s="173"/>
    </row>
    <row r="1191" ht="15.75" customHeight="1">
      <c r="A1191" s="174" t="s">
        <v>677</v>
      </c>
      <c r="B1191" s="174" t="s">
        <v>678</v>
      </c>
      <c r="C1191" s="185" t="s">
        <v>2012</v>
      </c>
      <c r="D1191" s="180"/>
    </row>
    <row r="1192" ht="15.75" customHeight="1">
      <c r="A1192" s="168" t="s">
        <v>2192</v>
      </c>
      <c r="B1192" s="168" t="s">
        <v>678</v>
      </c>
      <c r="C1192" s="173"/>
      <c r="D1192" s="173"/>
    </row>
    <row r="1193" ht="15.75" customHeight="1">
      <c r="A1193" s="168" t="s">
        <v>929</v>
      </c>
      <c r="B1193" s="186" t="s">
        <v>678</v>
      </c>
      <c r="C1193" s="173"/>
      <c r="D1193" s="173"/>
    </row>
    <row r="1194" ht="15.75" customHeight="1">
      <c r="A1194" s="174" t="s">
        <v>1009</v>
      </c>
      <c r="B1194" s="186" t="s">
        <v>678</v>
      </c>
      <c r="C1194" s="180"/>
      <c r="D1194" s="180"/>
    </row>
    <row r="1195" ht="15.75" customHeight="1">
      <c r="A1195" s="174" t="s">
        <v>1231</v>
      </c>
      <c r="B1195" s="186" t="s">
        <v>678</v>
      </c>
      <c r="C1195" s="173"/>
      <c r="D1195" s="173"/>
    </row>
    <row r="1196" ht="15.75" customHeight="1">
      <c r="A1196" s="174" t="s">
        <v>1569</v>
      </c>
      <c r="B1196" s="186" t="s">
        <v>678</v>
      </c>
      <c r="C1196" s="180"/>
      <c r="D1196" s="180"/>
    </row>
    <row r="1197" ht="15.75" customHeight="1">
      <c r="A1197" s="168" t="s">
        <v>2193</v>
      </c>
      <c r="B1197" s="184" t="s">
        <v>194</v>
      </c>
      <c r="C1197" s="194" t="s">
        <v>2012</v>
      </c>
      <c r="D1197" s="173"/>
    </row>
    <row r="1198" ht="15.75" customHeight="1">
      <c r="A1198" s="168" t="s">
        <v>504</v>
      </c>
      <c r="B1198" s="184" t="s">
        <v>194</v>
      </c>
      <c r="C1198" s="180"/>
      <c r="D1198" s="180"/>
    </row>
    <row r="1199" ht="15.75" customHeight="1">
      <c r="A1199" s="174" t="s">
        <v>2194</v>
      </c>
      <c r="B1199" s="186" t="s">
        <v>194</v>
      </c>
      <c r="C1199" s="180"/>
      <c r="D1199" s="180"/>
    </row>
    <row r="1200" ht="15.75" customHeight="1">
      <c r="A1200" s="174" t="s">
        <v>1152</v>
      </c>
      <c r="B1200" s="189" t="s">
        <v>194</v>
      </c>
      <c r="C1200" s="170"/>
      <c r="D1200" s="170"/>
    </row>
    <row r="1201" ht="15.75" customHeight="1">
      <c r="A1201" s="174" t="s">
        <v>1240</v>
      </c>
      <c r="B1201" s="189" t="s">
        <v>194</v>
      </c>
      <c r="C1201" s="170"/>
      <c r="D1201" s="170"/>
    </row>
    <row r="1202" ht="15.75" customHeight="1">
      <c r="A1202" s="168" t="s">
        <v>1314</v>
      </c>
      <c r="B1202" s="189" t="s">
        <v>194</v>
      </c>
      <c r="C1202" s="167"/>
      <c r="D1202" s="167"/>
    </row>
    <row r="1203" ht="15.75" customHeight="1">
      <c r="A1203" s="174" t="s">
        <v>168</v>
      </c>
      <c r="B1203" s="184" t="s">
        <v>169</v>
      </c>
      <c r="C1203" s="185" t="s">
        <v>2012</v>
      </c>
      <c r="D1203" s="180"/>
    </row>
    <row r="1204" ht="15.75" customHeight="1">
      <c r="A1204" s="168" t="s">
        <v>1189</v>
      </c>
      <c r="B1204" s="184" t="s">
        <v>169</v>
      </c>
      <c r="C1204" s="173"/>
      <c r="D1204" s="173"/>
    </row>
    <row r="1205" ht="15.75" customHeight="1">
      <c r="A1205" s="168" t="s">
        <v>1597</v>
      </c>
      <c r="B1205" s="184" t="s">
        <v>169</v>
      </c>
      <c r="C1205" s="173"/>
      <c r="D1205" s="173"/>
    </row>
    <row r="1206" ht="15.75" customHeight="1">
      <c r="A1206" s="174" t="s">
        <v>1837</v>
      </c>
      <c r="B1206" s="186" t="s">
        <v>169</v>
      </c>
      <c r="C1206" s="180"/>
      <c r="D1206" s="180"/>
    </row>
    <row r="1207" ht="15.75" customHeight="1">
      <c r="A1207" s="174" t="s">
        <v>571</v>
      </c>
      <c r="B1207" s="186" t="s">
        <v>572</v>
      </c>
      <c r="C1207" s="192" t="s">
        <v>2012</v>
      </c>
      <c r="D1207" s="167"/>
    </row>
    <row r="1208" ht="15.75" customHeight="1">
      <c r="A1208" s="174" t="s">
        <v>573</v>
      </c>
      <c r="B1208" s="184" t="s">
        <v>572</v>
      </c>
      <c r="C1208" s="192"/>
      <c r="D1208" s="167"/>
    </row>
    <row r="1209" ht="15.75" customHeight="1">
      <c r="A1209" s="174" t="s">
        <v>577</v>
      </c>
      <c r="B1209" s="184" t="s">
        <v>572</v>
      </c>
      <c r="C1209" s="192"/>
      <c r="D1209" s="167"/>
    </row>
    <row r="1210" ht="15.75" customHeight="1">
      <c r="A1210" s="174" t="s">
        <v>751</v>
      </c>
      <c r="B1210" s="184" t="s">
        <v>572</v>
      </c>
      <c r="C1210" s="192"/>
      <c r="D1210" s="167"/>
    </row>
    <row r="1211" ht="15.75" customHeight="1">
      <c r="A1211" s="174" t="s">
        <v>881</v>
      </c>
      <c r="B1211" s="184" t="s">
        <v>572</v>
      </c>
      <c r="C1211" s="192"/>
      <c r="D1211" s="167"/>
    </row>
    <row r="1212" ht="15.75" customHeight="1">
      <c r="A1212" s="174" t="s">
        <v>1476</v>
      </c>
      <c r="B1212" s="184" t="s">
        <v>572</v>
      </c>
      <c r="C1212" s="192"/>
      <c r="D1212" s="167"/>
    </row>
    <row r="1213" ht="15.75" customHeight="1">
      <c r="A1213" s="174" t="s">
        <v>210</v>
      </c>
      <c r="B1213" s="184" t="s">
        <v>211</v>
      </c>
      <c r="C1213" s="185" t="s">
        <v>2012</v>
      </c>
      <c r="D1213" s="180"/>
    </row>
    <row r="1214" ht="15.75" customHeight="1">
      <c r="A1214" s="174" t="s">
        <v>436</v>
      </c>
      <c r="B1214" s="184" t="s">
        <v>211</v>
      </c>
      <c r="C1214" s="185"/>
      <c r="D1214" s="180"/>
    </row>
    <row r="1215" ht="15.75" customHeight="1">
      <c r="A1215" s="174" t="s">
        <v>948</v>
      </c>
      <c r="B1215" s="184" t="s">
        <v>211</v>
      </c>
      <c r="C1215" s="185"/>
      <c r="D1215" s="180"/>
    </row>
    <row r="1216" ht="15.75" customHeight="1">
      <c r="A1216" s="174" t="s">
        <v>2195</v>
      </c>
      <c r="B1216" s="184" t="s">
        <v>211</v>
      </c>
      <c r="C1216" s="185"/>
      <c r="D1216" s="180"/>
    </row>
    <row r="1217" ht="15.75" customHeight="1">
      <c r="A1217" s="174" t="s">
        <v>667</v>
      </c>
      <c r="B1217" s="184" t="s">
        <v>668</v>
      </c>
      <c r="C1217" s="194" t="s">
        <v>2109</v>
      </c>
      <c r="D1217" s="180"/>
    </row>
    <row r="1218" ht="15.75" customHeight="1">
      <c r="A1218" s="174" t="s">
        <v>743</v>
      </c>
      <c r="B1218" s="184" t="s">
        <v>668</v>
      </c>
      <c r="C1218" s="173"/>
      <c r="D1218" s="173"/>
    </row>
    <row r="1219" ht="15.75" customHeight="1">
      <c r="A1219" s="168" t="s">
        <v>142</v>
      </c>
      <c r="B1219" s="166" t="s">
        <v>619</v>
      </c>
      <c r="C1219" s="192" t="s">
        <v>2029</v>
      </c>
      <c r="D1219" s="167"/>
    </row>
    <row r="1220" ht="15.75" customHeight="1">
      <c r="A1220" s="174" t="s">
        <v>618</v>
      </c>
      <c r="B1220" s="174" t="s">
        <v>619</v>
      </c>
      <c r="C1220" s="180"/>
      <c r="D1220" s="180"/>
    </row>
    <row r="1221" ht="15.75" customHeight="1">
      <c r="A1221" s="168" t="s">
        <v>987</v>
      </c>
      <c r="B1221" s="166" t="s">
        <v>619</v>
      </c>
      <c r="C1221" s="180"/>
      <c r="D1221" s="180"/>
    </row>
    <row r="1222" ht="15.75" customHeight="1">
      <c r="A1222" s="174" t="s">
        <v>1014</v>
      </c>
      <c r="B1222" s="174" t="s">
        <v>619</v>
      </c>
      <c r="C1222" s="173"/>
      <c r="D1222" s="173"/>
    </row>
    <row r="1223" ht="15.75" customHeight="1">
      <c r="A1223" s="168" t="s">
        <v>1072</v>
      </c>
      <c r="B1223" s="166" t="s">
        <v>619</v>
      </c>
      <c r="C1223" s="180"/>
      <c r="D1223" s="180"/>
    </row>
    <row r="1224" ht="15.75" customHeight="1">
      <c r="A1224" s="174" t="s">
        <v>1373</v>
      </c>
      <c r="B1224" s="174" t="s">
        <v>619</v>
      </c>
      <c r="C1224" s="180"/>
      <c r="D1224" s="180"/>
    </row>
    <row r="1225" ht="15.75" customHeight="1">
      <c r="A1225" s="168" t="s">
        <v>2196</v>
      </c>
      <c r="B1225" s="174" t="s">
        <v>619</v>
      </c>
      <c r="C1225" s="173"/>
      <c r="D1225" s="173"/>
    </row>
    <row r="1226" ht="15.75" customHeight="1">
      <c r="A1226" s="174" t="s">
        <v>878</v>
      </c>
      <c r="B1226" s="184" t="s">
        <v>879</v>
      </c>
      <c r="C1226" s="180" t="s">
        <v>2012</v>
      </c>
      <c r="D1226" s="180"/>
    </row>
    <row r="1227" ht="15.75" customHeight="1">
      <c r="A1227" s="168" t="s">
        <v>1498</v>
      </c>
      <c r="B1227" s="184" t="s">
        <v>879</v>
      </c>
      <c r="C1227" s="173"/>
      <c r="D1227" s="173"/>
    </row>
    <row r="1228" ht="15.75" customHeight="1">
      <c r="A1228" s="174" t="s">
        <v>1523</v>
      </c>
      <c r="B1228" s="184" t="s">
        <v>879</v>
      </c>
      <c r="C1228" s="180"/>
      <c r="D1228" s="180"/>
    </row>
    <row r="1229" ht="15.75" customHeight="1">
      <c r="A1229" s="174" t="s">
        <v>2197</v>
      </c>
      <c r="B1229" s="184" t="s">
        <v>879</v>
      </c>
      <c r="C1229" s="180"/>
      <c r="D1229" s="180"/>
    </row>
    <row r="1230" ht="15.75" customHeight="1">
      <c r="A1230" s="174" t="s">
        <v>2198</v>
      </c>
      <c r="B1230" s="184" t="s">
        <v>879</v>
      </c>
      <c r="C1230" s="180"/>
      <c r="D1230" s="180"/>
    </row>
    <row r="1231" ht="15.75" customHeight="1">
      <c r="A1231" s="168" t="s">
        <v>1758</v>
      </c>
      <c r="B1231" s="184" t="s">
        <v>879</v>
      </c>
      <c r="C1231" s="173"/>
      <c r="D1231" s="173"/>
    </row>
    <row r="1232" ht="15.75" customHeight="1">
      <c r="A1232" s="168" t="s">
        <v>380</v>
      </c>
      <c r="B1232" s="184" t="s">
        <v>143</v>
      </c>
      <c r="C1232" s="173" t="s">
        <v>2012</v>
      </c>
      <c r="D1232" s="173"/>
    </row>
    <row r="1233" ht="15.75" customHeight="1">
      <c r="A1233" s="174" t="s">
        <v>383</v>
      </c>
      <c r="B1233" s="184" t="s">
        <v>143</v>
      </c>
      <c r="C1233" s="180"/>
      <c r="D1233" s="180"/>
    </row>
    <row r="1234" ht="15.75" customHeight="1">
      <c r="A1234" s="168" t="s">
        <v>394</v>
      </c>
      <c r="B1234" s="184" t="s">
        <v>143</v>
      </c>
      <c r="C1234" s="173"/>
      <c r="D1234" s="173"/>
    </row>
    <row r="1235" ht="15.75" customHeight="1">
      <c r="A1235" s="174" t="s">
        <v>414</v>
      </c>
      <c r="B1235" s="184" t="s">
        <v>143</v>
      </c>
      <c r="C1235" s="180"/>
      <c r="D1235" s="180"/>
    </row>
    <row r="1236" ht="15.75" customHeight="1">
      <c r="A1236" s="168" t="s">
        <v>415</v>
      </c>
      <c r="B1236" s="184" t="s">
        <v>143</v>
      </c>
      <c r="C1236" s="173"/>
      <c r="D1236" s="173"/>
    </row>
    <row r="1237" ht="15.75" customHeight="1">
      <c r="A1237" s="168" t="s">
        <v>416</v>
      </c>
      <c r="B1237" s="184" t="s">
        <v>143</v>
      </c>
      <c r="C1237" s="173"/>
      <c r="D1237" s="173"/>
    </row>
    <row r="1238" ht="15.75" customHeight="1">
      <c r="A1238" s="168" t="s">
        <v>1828</v>
      </c>
      <c r="B1238" s="184" t="s">
        <v>143</v>
      </c>
      <c r="C1238" s="173"/>
      <c r="D1238" s="173"/>
    </row>
    <row r="1239" ht="15.75" customHeight="1">
      <c r="A1239" s="174" t="s">
        <v>275</v>
      </c>
      <c r="B1239" s="190" t="s">
        <v>276</v>
      </c>
      <c r="C1239" s="170" t="s">
        <v>2012</v>
      </c>
      <c r="D1239" s="170"/>
    </row>
    <row r="1240" ht="15.75" customHeight="1">
      <c r="A1240" s="174" t="s">
        <v>351</v>
      </c>
      <c r="B1240" s="184" t="s">
        <v>276</v>
      </c>
      <c r="C1240" s="180"/>
      <c r="D1240" s="180"/>
    </row>
    <row r="1241" ht="15.75" customHeight="1">
      <c r="A1241" s="168" t="s">
        <v>353</v>
      </c>
      <c r="B1241" s="190" t="s">
        <v>276</v>
      </c>
      <c r="C1241" s="173"/>
      <c r="D1241" s="173"/>
    </row>
    <row r="1242" ht="15.75" customHeight="1">
      <c r="A1242" s="168" t="s">
        <v>1080</v>
      </c>
      <c r="B1242" s="184" t="s">
        <v>276</v>
      </c>
      <c r="C1242" s="173"/>
      <c r="D1242" s="173"/>
    </row>
    <row r="1243" ht="15.75" customHeight="1">
      <c r="A1243" s="168" t="s">
        <v>1330</v>
      </c>
      <c r="B1243" s="190" t="s">
        <v>276</v>
      </c>
      <c r="C1243" s="173"/>
      <c r="D1243" s="173"/>
    </row>
    <row r="1244" ht="15.75" customHeight="1">
      <c r="A1244" s="174" t="s">
        <v>1363</v>
      </c>
      <c r="B1244" s="184" t="s">
        <v>276</v>
      </c>
      <c r="C1244" s="180"/>
      <c r="D1244" s="180"/>
    </row>
    <row r="1245" ht="15.75" customHeight="1">
      <c r="A1245" s="174" t="s">
        <v>391</v>
      </c>
      <c r="B1245" s="190" t="s">
        <v>392</v>
      </c>
      <c r="C1245" s="170" t="s">
        <v>2012</v>
      </c>
      <c r="D1245" s="170"/>
    </row>
    <row r="1246" ht="15.75" customHeight="1">
      <c r="A1246" s="174" t="s">
        <v>2199</v>
      </c>
      <c r="B1246" s="190" t="s">
        <v>392</v>
      </c>
      <c r="C1246" s="180"/>
      <c r="D1246" s="180"/>
    </row>
    <row r="1247" ht="15.75" customHeight="1">
      <c r="A1247" s="168" t="s">
        <v>1206</v>
      </c>
      <c r="B1247" s="184" t="s">
        <v>392</v>
      </c>
      <c r="C1247" s="173"/>
      <c r="D1247" s="173"/>
    </row>
    <row r="1248" ht="15.75" customHeight="1">
      <c r="A1248" s="166" t="s">
        <v>1584</v>
      </c>
      <c r="B1248" s="190" t="s">
        <v>392</v>
      </c>
      <c r="C1248" s="173"/>
      <c r="D1248" s="173"/>
    </row>
    <row r="1249" ht="15.75" customHeight="1">
      <c r="A1249" s="166" t="s">
        <v>1648</v>
      </c>
      <c r="B1249" s="190" t="s">
        <v>392</v>
      </c>
      <c r="C1249" s="173"/>
      <c r="D1249" s="173"/>
    </row>
    <row r="1250" ht="15.75" customHeight="1">
      <c r="A1250" s="168" t="s">
        <v>1949</v>
      </c>
      <c r="B1250" s="184" t="s">
        <v>392</v>
      </c>
      <c r="C1250" s="173"/>
      <c r="D1250" s="173"/>
    </row>
    <row r="1251" ht="15.75" customHeight="1">
      <c r="A1251" s="174" t="s">
        <v>2200</v>
      </c>
      <c r="B1251" s="184" t="s">
        <v>230</v>
      </c>
      <c r="C1251" s="185" t="s">
        <v>2201</v>
      </c>
      <c r="D1251" s="180"/>
    </row>
    <row r="1252" ht="15.75" customHeight="1">
      <c r="A1252" s="174" t="s">
        <v>2202</v>
      </c>
      <c r="B1252" s="184" t="s">
        <v>230</v>
      </c>
      <c r="C1252" s="180"/>
      <c r="D1252" s="180"/>
    </row>
    <row r="1253" ht="15.75" customHeight="1">
      <c r="A1253" s="174" t="s">
        <v>2203</v>
      </c>
      <c r="B1253" s="184" t="s">
        <v>230</v>
      </c>
      <c r="C1253" s="180"/>
      <c r="D1253" s="180"/>
    </row>
    <row r="1254" ht="15.75" customHeight="1">
      <c r="A1254" s="168" t="s">
        <v>2204</v>
      </c>
      <c r="B1254" s="184" t="s">
        <v>230</v>
      </c>
      <c r="C1254" s="167"/>
      <c r="D1254" s="167"/>
    </row>
    <row r="1255" ht="15.75" customHeight="1">
      <c r="A1255" s="168" t="s">
        <v>1223</v>
      </c>
      <c r="B1255" s="184" t="s">
        <v>230</v>
      </c>
      <c r="C1255" s="167"/>
      <c r="D1255" s="167"/>
    </row>
    <row r="1256" ht="15.75" customHeight="1">
      <c r="A1256" s="174" t="s">
        <v>1264</v>
      </c>
      <c r="B1256" s="184" t="s">
        <v>230</v>
      </c>
      <c r="C1256" s="170"/>
      <c r="D1256" s="170"/>
    </row>
    <row r="1257" ht="15.75" customHeight="1">
      <c r="A1257" s="174" t="s">
        <v>1480</v>
      </c>
      <c r="B1257" s="184" t="s">
        <v>230</v>
      </c>
      <c r="C1257" s="180"/>
      <c r="D1257" s="180"/>
    </row>
    <row r="1258" ht="15.75" customHeight="1">
      <c r="A1258" s="174" t="s">
        <v>2205</v>
      </c>
      <c r="B1258" s="184" t="s">
        <v>230</v>
      </c>
      <c r="C1258" s="180"/>
      <c r="D1258" s="180"/>
    </row>
    <row r="1259" ht="15.75" customHeight="1">
      <c r="A1259" s="168" t="s">
        <v>2206</v>
      </c>
      <c r="B1259" s="184" t="s">
        <v>230</v>
      </c>
      <c r="C1259" s="173"/>
      <c r="D1259" s="173"/>
    </row>
    <row r="1260" ht="15.75" customHeight="1">
      <c r="A1260" s="168" t="s">
        <v>1601</v>
      </c>
      <c r="B1260" s="184" t="s">
        <v>230</v>
      </c>
      <c r="C1260" s="167"/>
      <c r="D1260" s="167"/>
    </row>
    <row r="1261" ht="15.75" customHeight="1">
      <c r="A1261" s="174" t="s">
        <v>2207</v>
      </c>
      <c r="B1261" s="184" t="s">
        <v>230</v>
      </c>
      <c r="C1261" s="180"/>
      <c r="D1261" s="180"/>
    </row>
    <row r="1262" ht="15.75" customHeight="1">
      <c r="A1262" s="168" t="s">
        <v>1775</v>
      </c>
      <c r="B1262" s="184" t="s">
        <v>230</v>
      </c>
      <c r="C1262" s="167"/>
      <c r="D1262" s="167"/>
    </row>
    <row r="1263" ht="15.75" customHeight="1">
      <c r="A1263" s="168" t="s">
        <v>1895</v>
      </c>
      <c r="B1263" s="184" t="s">
        <v>230</v>
      </c>
      <c r="C1263" s="167"/>
      <c r="D1263" s="167"/>
    </row>
    <row r="1264" ht="15.75" customHeight="1">
      <c r="A1264" s="174" t="s">
        <v>2208</v>
      </c>
      <c r="B1264" s="184" t="s">
        <v>230</v>
      </c>
      <c r="C1264" s="180"/>
      <c r="D1264" s="180"/>
    </row>
    <row r="1265" ht="15.75" customHeight="1">
      <c r="A1265" s="174" t="s">
        <v>69</v>
      </c>
      <c r="B1265" s="190" t="s">
        <v>70</v>
      </c>
      <c r="C1265" s="191" t="s">
        <v>2114</v>
      </c>
      <c r="D1265" s="170"/>
    </row>
    <row r="1266" ht="15.75" customHeight="1">
      <c r="A1266" s="208" t="s">
        <v>174</v>
      </c>
      <c r="B1266" s="184" t="s">
        <v>70</v>
      </c>
      <c r="C1266" s="167"/>
      <c r="D1266" s="167"/>
    </row>
    <row r="1267" ht="15.75" customHeight="1">
      <c r="A1267" s="188" t="s">
        <v>326</v>
      </c>
      <c r="B1267" s="190" t="s">
        <v>70</v>
      </c>
      <c r="C1267" s="180"/>
      <c r="D1267" s="180"/>
    </row>
    <row r="1268" ht="15.75" customHeight="1">
      <c r="A1268" s="188" t="s">
        <v>498</v>
      </c>
      <c r="B1268" s="184" t="s">
        <v>70</v>
      </c>
      <c r="C1268" s="170"/>
      <c r="D1268" s="170"/>
    </row>
    <row r="1269" ht="15.75" customHeight="1">
      <c r="A1269" s="174" t="s">
        <v>610</v>
      </c>
      <c r="B1269" s="190" t="s">
        <v>70</v>
      </c>
      <c r="C1269" s="180"/>
      <c r="D1269" s="180"/>
    </row>
    <row r="1270" ht="15.75" customHeight="1">
      <c r="A1270" s="174" t="s">
        <v>640</v>
      </c>
      <c r="B1270" s="184" t="s">
        <v>70</v>
      </c>
      <c r="C1270" s="180"/>
      <c r="D1270" s="180"/>
    </row>
    <row r="1271" ht="15.75" customHeight="1">
      <c r="A1271" s="188" t="s">
        <v>640</v>
      </c>
      <c r="B1271" s="190" t="s">
        <v>70</v>
      </c>
      <c r="C1271" s="180"/>
      <c r="D1271" s="180"/>
    </row>
    <row r="1272" ht="15.75" customHeight="1">
      <c r="A1272" s="188" t="s">
        <v>642</v>
      </c>
      <c r="B1272" s="184" t="s">
        <v>70</v>
      </c>
      <c r="C1272" s="173"/>
      <c r="D1272" s="173"/>
    </row>
    <row r="1273" ht="15.75" customHeight="1">
      <c r="A1273" s="188" t="s">
        <v>687</v>
      </c>
      <c r="B1273" s="190" t="s">
        <v>70</v>
      </c>
      <c r="C1273" s="180"/>
      <c r="D1273" s="180"/>
    </row>
    <row r="1274" ht="15.75" customHeight="1">
      <c r="A1274" s="188" t="s">
        <v>829</v>
      </c>
      <c r="B1274" s="184" t="s">
        <v>70</v>
      </c>
      <c r="C1274" s="180"/>
      <c r="D1274" s="180"/>
    </row>
    <row r="1275" ht="15.75" customHeight="1">
      <c r="A1275" s="209" t="s">
        <v>2209</v>
      </c>
      <c r="B1275" s="190" t="s">
        <v>70</v>
      </c>
      <c r="C1275" s="173"/>
      <c r="D1275" s="173"/>
    </row>
    <row r="1276" ht="15.75" customHeight="1">
      <c r="A1276" s="209" t="s">
        <v>939</v>
      </c>
      <c r="B1276" s="184" t="s">
        <v>70</v>
      </c>
      <c r="C1276" s="173"/>
      <c r="D1276" s="173"/>
    </row>
    <row r="1277" ht="15.75" customHeight="1">
      <c r="A1277" s="188" t="s">
        <v>1006</v>
      </c>
      <c r="B1277" s="190" t="s">
        <v>70</v>
      </c>
      <c r="C1277" s="180"/>
      <c r="D1277" s="180"/>
    </row>
    <row r="1278" ht="15.75" customHeight="1">
      <c r="A1278" s="168" t="s">
        <v>1383</v>
      </c>
      <c r="B1278" s="184" t="s">
        <v>70</v>
      </c>
      <c r="C1278" s="167"/>
      <c r="D1278" s="167"/>
    </row>
    <row r="1279" ht="15.75" customHeight="1">
      <c r="A1279" s="168" t="s">
        <v>1411</v>
      </c>
      <c r="B1279" s="190" t="s">
        <v>70</v>
      </c>
      <c r="C1279" s="167"/>
      <c r="D1279" s="167"/>
    </row>
    <row r="1280" ht="15.75" customHeight="1">
      <c r="A1280" s="174" t="s">
        <v>1491</v>
      </c>
      <c r="B1280" s="184" t="s">
        <v>70</v>
      </c>
      <c r="C1280" s="170"/>
      <c r="D1280" s="170"/>
    </row>
    <row r="1281" ht="15.75" customHeight="1">
      <c r="A1281" s="174" t="s">
        <v>1542</v>
      </c>
      <c r="B1281" s="190" t="s">
        <v>70</v>
      </c>
      <c r="C1281" s="173"/>
      <c r="D1281" s="173"/>
    </row>
    <row r="1282" ht="15.75" customHeight="1">
      <c r="A1282" s="174" t="s">
        <v>285</v>
      </c>
      <c r="B1282" s="171" t="s">
        <v>286</v>
      </c>
      <c r="C1282" s="191" t="s">
        <v>286</v>
      </c>
      <c r="D1282" s="170"/>
    </row>
    <row r="1283" ht="15.75" customHeight="1">
      <c r="A1283" s="174" t="s">
        <v>525</v>
      </c>
      <c r="B1283" s="171" t="s">
        <v>286</v>
      </c>
      <c r="C1283" s="173"/>
      <c r="D1283" s="173"/>
    </row>
    <row r="1284" ht="15.75" customHeight="1">
      <c r="A1284" s="174" t="s">
        <v>569</v>
      </c>
      <c r="B1284" s="171" t="s">
        <v>286</v>
      </c>
      <c r="C1284" s="180"/>
      <c r="D1284" s="180"/>
    </row>
    <row r="1285" ht="15.75" customHeight="1">
      <c r="A1285" s="174" t="s">
        <v>570</v>
      </c>
      <c r="B1285" s="171" t="s">
        <v>286</v>
      </c>
      <c r="C1285" s="180"/>
      <c r="D1285" s="180"/>
    </row>
    <row r="1286" ht="15.75" customHeight="1">
      <c r="A1286" s="174" t="s">
        <v>1430</v>
      </c>
      <c r="B1286" s="171" t="s">
        <v>286</v>
      </c>
      <c r="C1286" s="167"/>
      <c r="D1286" s="167"/>
    </row>
    <row r="1287" ht="15.75" customHeight="1">
      <c r="A1287" s="168" t="s">
        <v>1433</v>
      </c>
      <c r="B1287" s="171" t="s">
        <v>286</v>
      </c>
      <c r="C1287" s="173"/>
      <c r="D1287" s="173"/>
    </row>
    <row r="1288" ht="15.75" customHeight="1">
      <c r="A1288" s="174" t="s">
        <v>1997</v>
      </c>
      <c r="B1288" s="171" t="s">
        <v>286</v>
      </c>
      <c r="C1288" s="180"/>
      <c r="D1288" s="180"/>
    </row>
    <row r="1289" ht="15.75" customHeight="1">
      <c r="A1289" s="168" t="s">
        <v>1073</v>
      </c>
      <c r="B1289" s="169" t="s">
        <v>1074</v>
      </c>
      <c r="C1289" s="194" t="s">
        <v>1074</v>
      </c>
      <c r="D1289" s="173"/>
    </row>
    <row r="1290" ht="15.75" customHeight="1">
      <c r="A1290" s="168" t="s">
        <v>1547</v>
      </c>
      <c r="B1290" s="169" t="s">
        <v>1074</v>
      </c>
      <c r="C1290" s="173"/>
      <c r="D1290" s="173"/>
    </row>
    <row r="1291" ht="15.75" customHeight="1">
      <c r="A1291" s="168" t="s">
        <v>54</v>
      </c>
      <c r="B1291" s="171" t="s">
        <v>55</v>
      </c>
      <c r="C1291" s="194" t="s">
        <v>55</v>
      </c>
      <c r="D1291" s="173"/>
    </row>
    <row r="1292" ht="15.75" customHeight="1">
      <c r="A1292" s="168" t="s">
        <v>703</v>
      </c>
      <c r="B1292" s="171" t="s">
        <v>55</v>
      </c>
      <c r="C1292" s="173"/>
      <c r="D1292" s="173"/>
    </row>
    <row r="1293" ht="15.75" customHeight="1">
      <c r="A1293" s="168" t="s">
        <v>961</v>
      </c>
      <c r="B1293" s="171" t="s">
        <v>55</v>
      </c>
      <c r="C1293" s="173"/>
      <c r="D1293" s="173"/>
    </row>
    <row r="1294" ht="15.75" customHeight="1">
      <c r="A1294" s="168" t="s">
        <v>1416</v>
      </c>
      <c r="B1294" s="171" t="s">
        <v>55</v>
      </c>
      <c r="C1294" s="173"/>
      <c r="D1294" s="173"/>
    </row>
    <row r="1295" ht="15.75" customHeight="1">
      <c r="A1295" s="168" t="s">
        <v>1638</v>
      </c>
      <c r="B1295" s="171" t="s">
        <v>55</v>
      </c>
      <c r="C1295" s="173"/>
      <c r="D1295" s="173"/>
    </row>
    <row r="1296" ht="15.75" customHeight="1">
      <c r="A1296" s="168" t="s">
        <v>453</v>
      </c>
      <c r="B1296" s="171" t="s">
        <v>454</v>
      </c>
      <c r="C1296" s="194" t="s">
        <v>2012</v>
      </c>
      <c r="D1296" s="173"/>
    </row>
    <row r="1297" ht="15.75" customHeight="1">
      <c r="A1297" s="168" t="s">
        <v>624</v>
      </c>
      <c r="B1297" s="171" t="s">
        <v>454</v>
      </c>
      <c r="C1297" s="173"/>
      <c r="D1297" s="173"/>
    </row>
    <row r="1298" ht="15.75" customHeight="1">
      <c r="A1298" s="168" t="s">
        <v>2210</v>
      </c>
      <c r="B1298" s="171" t="s">
        <v>454</v>
      </c>
      <c r="C1298" s="173"/>
      <c r="D1298" s="173"/>
    </row>
    <row r="1299" ht="15.75" customHeight="1">
      <c r="A1299" s="168" t="s">
        <v>1061</v>
      </c>
      <c r="B1299" s="171" t="s">
        <v>454</v>
      </c>
      <c r="C1299" s="173"/>
      <c r="D1299" s="173"/>
    </row>
    <row r="1300" ht="15.75" customHeight="1">
      <c r="A1300" s="168" t="s">
        <v>1162</v>
      </c>
      <c r="B1300" s="171" t="s">
        <v>454</v>
      </c>
      <c r="C1300" s="173"/>
      <c r="D1300" s="173"/>
    </row>
    <row r="1301" ht="15.75" customHeight="1">
      <c r="A1301" s="168" t="s">
        <v>1166</v>
      </c>
      <c r="B1301" s="171" t="s">
        <v>454</v>
      </c>
      <c r="C1301" s="173"/>
      <c r="D1301" s="173"/>
    </row>
    <row r="1302" ht="15.75" customHeight="1">
      <c r="A1302" s="168" t="s">
        <v>1254</v>
      </c>
      <c r="B1302" s="171" t="s">
        <v>454</v>
      </c>
      <c r="C1302" s="173"/>
      <c r="D1302" s="173"/>
    </row>
    <row r="1303" ht="15.75" customHeight="1">
      <c r="A1303" s="168" t="s">
        <v>2211</v>
      </c>
      <c r="B1303" s="171" t="s">
        <v>454</v>
      </c>
      <c r="C1303" s="173"/>
      <c r="D1303" s="173"/>
    </row>
    <row r="1304" ht="15.75" customHeight="1">
      <c r="A1304" s="168" t="s">
        <v>2212</v>
      </c>
      <c r="B1304" s="171" t="s">
        <v>454</v>
      </c>
      <c r="C1304" s="173"/>
      <c r="D1304" s="173"/>
    </row>
    <row r="1305" ht="15.75" customHeight="1">
      <c r="A1305" s="168" t="s">
        <v>1436</v>
      </c>
      <c r="B1305" s="171" t="s">
        <v>454</v>
      </c>
      <c r="C1305" s="173"/>
      <c r="D1305" s="173"/>
    </row>
    <row r="1306" ht="15.75" customHeight="1">
      <c r="A1306" s="168" t="s">
        <v>2213</v>
      </c>
      <c r="B1306" s="171" t="s">
        <v>454</v>
      </c>
      <c r="C1306" s="173"/>
      <c r="D1306" s="173"/>
    </row>
    <row r="1307" ht="15.75" customHeight="1">
      <c r="A1307" s="168" t="s">
        <v>1535</v>
      </c>
      <c r="B1307" s="171" t="s">
        <v>454</v>
      </c>
      <c r="C1307" s="173"/>
      <c r="D1307" s="173"/>
    </row>
    <row r="1308" ht="15.75" customHeight="1">
      <c r="A1308" s="168" t="s">
        <v>33</v>
      </c>
      <c r="B1308" s="171" t="s">
        <v>34</v>
      </c>
      <c r="C1308" s="194" t="s">
        <v>2012</v>
      </c>
      <c r="D1308" s="173"/>
    </row>
    <row r="1309" ht="15.75" customHeight="1">
      <c r="A1309" s="168" t="s">
        <v>39</v>
      </c>
      <c r="B1309" s="171" t="s">
        <v>34</v>
      </c>
      <c r="C1309" s="173"/>
      <c r="D1309" s="173"/>
    </row>
    <row r="1310" ht="15.75" customHeight="1">
      <c r="A1310" s="168" t="s">
        <v>301</v>
      </c>
      <c r="B1310" s="171" t="s">
        <v>34</v>
      </c>
      <c r="C1310" s="173"/>
      <c r="D1310" s="173"/>
    </row>
    <row r="1311" ht="15.75" customHeight="1">
      <c r="A1311" s="168" t="s">
        <v>478</v>
      </c>
      <c r="B1311" s="171" t="s">
        <v>34</v>
      </c>
      <c r="C1311" s="173"/>
      <c r="D1311" s="173"/>
    </row>
    <row r="1312" ht="15.75" customHeight="1">
      <c r="A1312" s="168" t="s">
        <v>481</v>
      </c>
      <c r="B1312" s="171" t="s">
        <v>34</v>
      </c>
      <c r="C1312" s="173"/>
      <c r="D1312" s="173"/>
    </row>
    <row r="1313" ht="15.75" customHeight="1">
      <c r="A1313" s="168" t="s">
        <v>646</v>
      </c>
      <c r="B1313" s="171" t="s">
        <v>34</v>
      </c>
      <c r="C1313" s="173"/>
      <c r="D1313" s="173"/>
    </row>
    <row r="1314" ht="15.75" customHeight="1">
      <c r="A1314" s="168" t="s">
        <v>721</v>
      </c>
      <c r="B1314" s="171" t="s">
        <v>34</v>
      </c>
      <c r="C1314" s="173"/>
      <c r="D1314" s="173"/>
    </row>
    <row r="1315" ht="15.75" customHeight="1">
      <c r="A1315" s="168" t="s">
        <v>846</v>
      </c>
      <c r="B1315" s="171" t="s">
        <v>34</v>
      </c>
      <c r="C1315" s="173"/>
      <c r="D1315" s="173"/>
    </row>
    <row r="1316" ht="15.75" customHeight="1">
      <c r="A1316" s="168" t="s">
        <v>894</v>
      </c>
      <c r="B1316" s="171" t="s">
        <v>34</v>
      </c>
      <c r="C1316" s="173"/>
      <c r="D1316" s="173"/>
    </row>
    <row r="1317" ht="15.75" customHeight="1">
      <c r="A1317" s="168" t="s">
        <v>924</v>
      </c>
      <c r="B1317" s="171" t="s">
        <v>34</v>
      </c>
      <c r="C1317" s="173"/>
      <c r="D1317" s="173"/>
    </row>
    <row r="1318" ht="15.75" customHeight="1">
      <c r="A1318" s="168" t="s">
        <v>1252</v>
      </c>
      <c r="B1318" s="171" t="s">
        <v>34</v>
      </c>
      <c r="C1318" s="173"/>
      <c r="D1318" s="173"/>
    </row>
    <row r="1319" ht="15.75" customHeight="1">
      <c r="A1319" s="168" t="s">
        <v>2214</v>
      </c>
      <c r="B1319" s="171" t="s">
        <v>34</v>
      </c>
      <c r="C1319" s="173"/>
      <c r="D1319" s="173"/>
    </row>
    <row r="1320" ht="15.75" customHeight="1">
      <c r="A1320" s="168" t="s">
        <v>1507</v>
      </c>
      <c r="B1320" s="171" t="s">
        <v>34</v>
      </c>
      <c r="C1320" s="173"/>
      <c r="D1320" s="173"/>
    </row>
    <row r="1321" ht="15.75" customHeight="1">
      <c r="A1321" s="168" t="s">
        <v>2215</v>
      </c>
      <c r="B1321" s="171" t="s">
        <v>27</v>
      </c>
      <c r="C1321" s="194" t="s">
        <v>2012</v>
      </c>
      <c r="D1321" s="173"/>
    </row>
    <row r="1322" ht="15.75" customHeight="1">
      <c r="A1322" s="168" t="s">
        <v>44</v>
      </c>
      <c r="B1322" s="171" t="s">
        <v>27</v>
      </c>
      <c r="C1322" s="173"/>
      <c r="D1322" s="173"/>
    </row>
    <row r="1323" ht="15.75" customHeight="1">
      <c r="A1323" s="168" t="s">
        <v>112</v>
      </c>
      <c r="B1323" s="171" t="s">
        <v>27</v>
      </c>
      <c r="C1323" s="173"/>
      <c r="D1323" s="173"/>
    </row>
    <row r="1324" ht="15.75" customHeight="1">
      <c r="A1324" s="168" t="s">
        <v>212</v>
      </c>
      <c r="B1324" s="171" t="s">
        <v>27</v>
      </c>
      <c r="C1324" s="173"/>
      <c r="D1324" s="173"/>
    </row>
    <row r="1325" ht="15.75" customHeight="1">
      <c r="A1325" s="168" t="s">
        <v>215</v>
      </c>
      <c r="B1325" s="171" t="s">
        <v>27</v>
      </c>
      <c r="C1325" s="173"/>
      <c r="D1325" s="173"/>
    </row>
    <row r="1326" ht="15.75" customHeight="1">
      <c r="A1326" s="168" t="s">
        <v>277</v>
      </c>
      <c r="B1326" s="171" t="s">
        <v>27</v>
      </c>
      <c r="C1326" s="173"/>
      <c r="D1326" s="173"/>
    </row>
    <row r="1327" ht="15.75" customHeight="1">
      <c r="A1327" s="168" t="s">
        <v>2216</v>
      </c>
      <c r="B1327" s="171" t="s">
        <v>27</v>
      </c>
      <c r="C1327" s="173"/>
      <c r="D1327" s="173"/>
    </row>
    <row r="1328" ht="15.75" customHeight="1">
      <c r="A1328" s="168" t="s">
        <v>467</v>
      </c>
      <c r="B1328" s="171" t="s">
        <v>27</v>
      </c>
      <c r="C1328" s="173"/>
      <c r="D1328" s="173"/>
    </row>
    <row r="1329" ht="15.75" customHeight="1">
      <c r="A1329" s="168" t="s">
        <v>697</v>
      </c>
      <c r="B1329" s="171" t="s">
        <v>27</v>
      </c>
      <c r="C1329" s="173"/>
      <c r="D1329" s="173"/>
    </row>
    <row r="1330" ht="15.75" customHeight="1">
      <c r="A1330" s="168" t="s">
        <v>730</v>
      </c>
      <c r="B1330" s="171" t="s">
        <v>27</v>
      </c>
      <c r="C1330" s="173"/>
      <c r="D1330" s="173"/>
    </row>
    <row r="1331" ht="15.75" customHeight="1">
      <c r="A1331" s="168" t="s">
        <v>814</v>
      </c>
      <c r="B1331" s="171" t="s">
        <v>27</v>
      </c>
      <c r="C1331" s="173"/>
      <c r="D1331" s="173"/>
    </row>
    <row r="1332" ht="15.75" customHeight="1">
      <c r="A1332" s="168" t="s">
        <v>1047</v>
      </c>
      <c r="B1332" s="171" t="s">
        <v>27</v>
      </c>
      <c r="C1332" s="173"/>
      <c r="D1332" s="173"/>
    </row>
    <row r="1333" ht="15.75" customHeight="1">
      <c r="A1333" s="168" t="s">
        <v>2217</v>
      </c>
      <c r="B1333" s="171" t="s">
        <v>27</v>
      </c>
      <c r="C1333" s="173"/>
      <c r="D1333" s="173"/>
    </row>
    <row r="1334" ht="15.75" customHeight="1">
      <c r="A1334" s="168" t="s">
        <v>1082</v>
      </c>
      <c r="B1334" s="171" t="s">
        <v>27</v>
      </c>
      <c r="C1334" s="173"/>
      <c r="D1334" s="173"/>
    </row>
    <row r="1335" ht="15.75" customHeight="1">
      <c r="A1335" s="168" t="s">
        <v>1086</v>
      </c>
      <c r="B1335" s="171" t="s">
        <v>27</v>
      </c>
      <c r="C1335" s="173"/>
      <c r="D1335" s="173"/>
    </row>
    <row r="1336" ht="15.75" customHeight="1">
      <c r="A1336" s="168" t="s">
        <v>1161</v>
      </c>
      <c r="B1336" s="171" t="s">
        <v>27</v>
      </c>
      <c r="C1336" s="173"/>
      <c r="D1336" s="173"/>
    </row>
    <row r="1337" ht="15.75" customHeight="1">
      <c r="A1337" s="168" t="s">
        <v>1233</v>
      </c>
      <c r="B1337" s="171" t="s">
        <v>27</v>
      </c>
      <c r="C1337" s="173"/>
      <c r="D1337" s="173"/>
    </row>
    <row r="1338" ht="15.75" customHeight="1">
      <c r="A1338" s="168" t="s">
        <v>1294</v>
      </c>
      <c r="B1338" s="171" t="s">
        <v>27</v>
      </c>
      <c r="C1338" s="173"/>
      <c r="D1338" s="173"/>
    </row>
    <row r="1339" ht="15.75" customHeight="1">
      <c r="A1339" s="168" t="s">
        <v>1294</v>
      </c>
      <c r="B1339" s="171" t="s">
        <v>27</v>
      </c>
      <c r="C1339" s="173"/>
      <c r="D1339" s="173"/>
    </row>
    <row r="1340" ht="15.75" customHeight="1">
      <c r="A1340" s="168" t="s">
        <v>1466</v>
      </c>
      <c r="B1340" s="171" t="s">
        <v>27</v>
      </c>
      <c r="C1340" s="173"/>
      <c r="D1340" s="173"/>
    </row>
    <row r="1341" ht="15.75" customHeight="1">
      <c r="A1341" s="168" t="s">
        <v>1533</v>
      </c>
      <c r="B1341" s="171" t="s">
        <v>27</v>
      </c>
      <c r="C1341" s="173"/>
      <c r="D1341" s="173"/>
    </row>
    <row r="1342" ht="15.75" customHeight="1">
      <c r="A1342" s="168" t="s">
        <v>1760</v>
      </c>
      <c r="B1342" s="171" t="s">
        <v>27</v>
      </c>
      <c r="C1342" s="173"/>
      <c r="D1342" s="173"/>
    </row>
    <row r="1343" ht="15.75" customHeight="1">
      <c r="A1343" s="168" t="s">
        <v>128</v>
      </c>
      <c r="B1343" s="171" t="s">
        <v>129</v>
      </c>
      <c r="C1343" s="194" t="s">
        <v>2029</v>
      </c>
      <c r="D1343" s="173"/>
    </row>
    <row r="1344" ht="15.75" customHeight="1">
      <c r="A1344" s="168" t="s">
        <v>2218</v>
      </c>
      <c r="B1344" s="171" t="s">
        <v>129</v>
      </c>
      <c r="C1344" s="173"/>
      <c r="D1344" s="173"/>
    </row>
    <row r="1345" ht="15.75" customHeight="1">
      <c r="A1345" s="168" t="s">
        <v>387</v>
      </c>
      <c r="B1345" s="171" t="s">
        <v>129</v>
      </c>
      <c r="C1345" s="173"/>
      <c r="D1345" s="173"/>
    </row>
    <row r="1346" ht="15.75" customHeight="1">
      <c r="A1346" s="168" t="s">
        <v>2219</v>
      </c>
      <c r="B1346" s="171" t="s">
        <v>129</v>
      </c>
      <c r="C1346" s="173"/>
      <c r="D1346" s="173"/>
    </row>
    <row r="1347" ht="15.75" customHeight="1">
      <c r="A1347" s="168" t="s">
        <v>523</v>
      </c>
      <c r="B1347" s="171" t="s">
        <v>129</v>
      </c>
      <c r="C1347" s="173"/>
      <c r="D1347" s="173"/>
    </row>
    <row r="1348" ht="15.75" customHeight="1">
      <c r="A1348" s="168" t="s">
        <v>623</v>
      </c>
      <c r="B1348" s="171" t="s">
        <v>129</v>
      </c>
      <c r="C1348" s="173"/>
      <c r="D1348" s="173"/>
    </row>
    <row r="1349" ht="15.75" customHeight="1">
      <c r="A1349" s="168" t="s">
        <v>625</v>
      </c>
      <c r="B1349" s="171" t="s">
        <v>129</v>
      </c>
      <c r="C1349" s="173"/>
      <c r="D1349" s="173"/>
    </row>
    <row r="1350" ht="15.75" customHeight="1">
      <c r="A1350" s="168" t="s">
        <v>2220</v>
      </c>
      <c r="B1350" s="171" t="s">
        <v>129</v>
      </c>
      <c r="C1350" s="173"/>
      <c r="D1350" s="173"/>
    </row>
    <row r="1351" ht="15.75" customHeight="1">
      <c r="A1351" s="168" t="s">
        <v>2221</v>
      </c>
      <c r="B1351" s="171" t="s">
        <v>129</v>
      </c>
      <c r="C1351" s="173"/>
      <c r="D1351" s="173"/>
    </row>
    <row r="1352" ht="15.75" customHeight="1">
      <c r="A1352" s="168" t="s">
        <v>774</v>
      </c>
      <c r="B1352" s="171" t="s">
        <v>129</v>
      </c>
      <c r="C1352" s="173"/>
      <c r="D1352" s="173"/>
    </row>
    <row r="1353" ht="15.75" customHeight="1">
      <c r="A1353" s="168" t="s">
        <v>914</v>
      </c>
      <c r="B1353" s="171" t="s">
        <v>129</v>
      </c>
      <c r="C1353" s="173"/>
      <c r="D1353" s="173"/>
    </row>
    <row r="1354" ht="15.75" customHeight="1">
      <c r="A1354" s="168" t="s">
        <v>1066</v>
      </c>
      <c r="B1354" s="171" t="s">
        <v>129</v>
      </c>
      <c r="C1354" s="173"/>
      <c r="D1354" s="173"/>
    </row>
    <row r="1355" ht="15.75" customHeight="1">
      <c r="A1355" s="168" t="s">
        <v>1077</v>
      </c>
      <c r="B1355" s="171" t="s">
        <v>129</v>
      </c>
      <c r="C1355" s="173"/>
      <c r="D1355" s="173"/>
    </row>
    <row r="1356" ht="15.75" customHeight="1">
      <c r="A1356" s="168" t="s">
        <v>1188</v>
      </c>
      <c r="B1356" s="171" t="s">
        <v>129</v>
      </c>
      <c r="C1356" s="173"/>
      <c r="D1356" s="173"/>
    </row>
    <row r="1357" ht="15.75" customHeight="1">
      <c r="A1357" s="168" t="s">
        <v>1234</v>
      </c>
      <c r="B1357" s="171" t="s">
        <v>129</v>
      </c>
      <c r="C1357" s="173"/>
      <c r="D1357" s="173"/>
    </row>
    <row r="1358" ht="15.75" customHeight="1">
      <c r="A1358" s="168" t="s">
        <v>1299</v>
      </c>
      <c r="B1358" s="171" t="s">
        <v>129</v>
      </c>
      <c r="C1358" s="173"/>
      <c r="D1358" s="173"/>
    </row>
    <row r="1359" ht="15.75" customHeight="1">
      <c r="A1359" s="168" t="s">
        <v>1417</v>
      </c>
      <c r="B1359" s="171" t="s">
        <v>129</v>
      </c>
      <c r="C1359" s="173"/>
      <c r="D1359" s="173"/>
    </row>
    <row r="1360" ht="15.75" customHeight="1">
      <c r="A1360" s="168" t="s">
        <v>1417</v>
      </c>
      <c r="B1360" s="171" t="s">
        <v>129</v>
      </c>
      <c r="C1360" s="173"/>
      <c r="D1360" s="173"/>
    </row>
    <row r="1361" ht="15.75" customHeight="1">
      <c r="A1361" s="168" t="s">
        <v>1447</v>
      </c>
      <c r="B1361" s="171" t="s">
        <v>129</v>
      </c>
      <c r="C1361" s="173"/>
      <c r="D1361" s="173"/>
    </row>
    <row r="1362" ht="15.75" customHeight="1">
      <c r="A1362" s="168" t="s">
        <v>1716</v>
      </c>
      <c r="B1362" s="171" t="s">
        <v>129</v>
      </c>
      <c r="C1362" s="173"/>
      <c r="D1362" s="173"/>
    </row>
    <row r="1363" ht="15.75" customHeight="1">
      <c r="A1363" s="168" t="s">
        <v>1823</v>
      </c>
      <c r="B1363" s="171" t="s">
        <v>129</v>
      </c>
      <c r="C1363" s="173"/>
      <c r="D1363" s="173"/>
    </row>
    <row r="1364" ht="15.75" customHeight="1">
      <c r="A1364" s="168" t="s">
        <v>1848</v>
      </c>
      <c r="B1364" s="171" t="s">
        <v>129</v>
      </c>
      <c r="C1364" s="173"/>
      <c r="D1364" s="173"/>
    </row>
    <row r="1365" ht="15.75" customHeight="1">
      <c r="A1365" s="168" t="s">
        <v>59</v>
      </c>
      <c r="B1365" s="171" t="s">
        <v>60</v>
      </c>
      <c r="C1365" s="194" t="s">
        <v>2012</v>
      </c>
      <c r="D1365" s="173"/>
    </row>
    <row r="1366" ht="15.75" customHeight="1">
      <c r="A1366" s="168" t="s">
        <v>2222</v>
      </c>
      <c r="B1366" s="171" t="s">
        <v>60</v>
      </c>
      <c r="C1366" s="173"/>
      <c r="D1366" s="173"/>
    </row>
    <row r="1367" ht="15.75" customHeight="1">
      <c r="A1367" s="168" t="s">
        <v>527</v>
      </c>
      <c r="B1367" s="171" t="s">
        <v>60</v>
      </c>
      <c r="C1367" s="173"/>
      <c r="D1367" s="173"/>
    </row>
    <row r="1368" ht="15.75" customHeight="1">
      <c r="A1368" s="168" t="s">
        <v>593</v>
      </c>
      <c r="B1368" s="171" t="s">
        <v>60</v>
      </c>
      <c r="C1368" s="173"/>
      <c r="D1368" s="173"/>
    </row>
    <row r="1369" ht="15.75" customHeight="1">
      <c r="A1369" s="168" t="s">
        <v>2223</v>
      </c>
      <c r="B1369" s="171" t="s">
        <v>60</v>
      </c>
      <c r="C1369" s="173"/>
      <c r="D1369" s="173"/>
    </row>
    <row r="1370" ht="15.75" customHeight="1">
      <c r="A1370" s="168" t="s">
        <v>693</v>
      </c>
      <c r="B1370" s="171" t="s">
        <v>60</v>
      </c>
      <c r="C1370" s="173"/>
      <c r="D1370" s="173"/>
    </row>
    <row r="1371" ht="15.75" customHeight="1">
      <c r="A1371" s="168" t="s">
        <v>748</v>
      </c>
      <c r="B1371" s="171" t="s">
        <v>60</v>
      </c>
      <c r="C1371" s="173"/>
      <c r="D1371" s="173"/>
    </row>
    <row r="1372" ht="15.75" customHeight="1">
      <c r="A1372" s="168" t="s">
        <v>2224</v>
      </c>
      <c r="B1372" s="171" t="s">
        <v>60</v>
      </c>
      <c r="C1372" s="173"/>
      <c r="D1372" s="173"/>
    </row>
    <row r="1373" ht="15.75" customHeight="1">
      <c r="A1373" s="168" t="s">
        <v>837</v>
      </c>
      <c r="B1373" s="171" t="s">
        <v>60</v>
      </c>
      <c r="C1373" s="173"/>
      <c r="D1373" s="173"/>
    </row>
    <row r="1374" ht="15.75" customHeight="1">
      <c r="A1374" s="168" t="s">
        <v>933</v>
      </c>
      <c r="B1374" s="171" t="s">
        <v>60</v>
      </c>
      <c r="C1374" s="173"/>
      <c r="D1374" s="173"/>
    </row>
    <row r="1375" ht="15.75" customHeight="1">
      <c r="A1375" s="168" t="s">
        <v>1033</v>
      </c>
      <c r="B1375" s="171" t="s">
        <v>60</v>
      </c>
      <c r="C1375" s="173"/>
      <c r="D1375" s="173"/>
    </row>
    <row r="1376" ht="15.75" customHeight="1">
      <c r="A1376" s="168" t="s">
        <v>1044</v>
      </c>
      <c r="B1376" s="171" t="s">
        <v>60</v>
      </c>
      <c r="C1376" s="173"/>
      <c r="D1376" s="173"/>
    </row>
    <row r="1377" ht="15.75" customHeight="1">
      <c r="A1377" s="168" t="s">
        <v>2225</v>
      </c>
      <c r="B1377" s="171" t="s">
        <v>60</v>
      </c>
      <c r="C1377" s="173"/>
      <c r="D1377" s="173"/>
    </row>
    <row r="1378" ht="15.75" customHeight="1">
      <c r="A1378" s="168" t="s">
        <v>1165</v>
      </c>
      <c r="B1378" s="171" t="s">
        <v>60</v>
      </c>
      <c r="C1378" s="173"/>
      <c r="D1378" s="173"/>
    </row>
    <row r="1379" ht="15.75" customHeight="1">
      <c r="A1379" s="168" t="s">
        <v>1169</v>
      </c>
      <c r="B1379" s="171" t="s">
        <v>60</v>
      </c>
      <c r="C1379" s="173"/>
      <c r="D1379" s="173"/>
    </row>
    <row r="1380" ht="15.75" customHeight="1">
      <c r="A1380" s="168" t="s">
        <v>1278</v>
      </c>
      <c r="B1380" s="171" t="s">
        <v>60</v>
      </c>
      <c r="C1380" s="173"/>
      <c r="D1380" s="173"/>
    </row>
    <row r="1381" ht="15.75" customHeight="1">
      <c r="A1381" s="168" t="s">
        <v>1512</v>
      </c>
      <c r="B1381" s="171" t="s">
        <v>60</v>
      </c>
      <c r="C1381" s="173"/>
      <c r="D1381" s="173"/>
    </row>
    <row r="1382" ht="15.75" customHeight="1">
      <c r="A1382" s="168" t="s">
        <v>1563</v>
      </c>
      <c r="B1382" s="171" t="s">
        <v>60</v>
      </c>
      <c r="C1382" s="173"/>
      <c r="D1382" s="173"/>
    </row>
    <row r="1383" ht="15.75" customHeight="1">
      <c r="A1383" s="168" t="s">
        <v>1576</v>
      </c>
      <c r="B1383" s="171" t="s">
        <v>60</v>
      </c>
      <c r="C1383" s="173"/>
      <c r="D1383" s="173"/>
    </row>
    <row r="1384" ht="15.75" customHeight="1">
      <c r="A1384" s="168" t="s">
        <v>1945</v>
      </c>
      <c r="B1384" s="171" t="s">
        <v>60</v>
      </c>
      <c r="C1384" s="173"/>
      <c r="D1384" s="173"/>
    </row>
    <row r="1385" ht="15.75" customHeight="1">
      <c r="A1385" s="168" t="s">
        <v>1962</v>
      </c>
      <c r="B1385" s="171" t="s">
        <v>60</v>
      </c>
      <c r="C1385" s="173"/>
      <c r="D1385" s="173"/>
    </row>
    <row r="1386" ht="15.75" customHeight="1">
      <c r="A1386" s="168" t="s">
        <v>213</v>
      </c>
      <c r="B1386" s="171" t="s">
        <v>214</v>
      </c>
      <c r="C1386" s="194" t="s">
        <v>2029</v>
      </c>
      <c r="D1386" s="173"/>
    </row>
    <row r="1387" ht="15.75" customHeight="1">
      <c r="A1387" s="168" t="s">
        <v>232</v>
      </c>
      <c r="B1387" s="171" t="s">
        <v>214</v>
      </c>
      <c r="C1387" s="173"/>
      <c r="D1387" s="173"/>
    </row>
    <row r="1388" ht="15.75" customHeight="1">
      <c r="A1388" s="168" t="s">
        <v>340</v>
      </c>
      <c r="B1388" s="171" t="s">
        <v>214</v>
      </c>
      <c r="C1388" s="173"/>
      <c r="D1388" s="173"/>
    </row>
    <row r="1389" ht="15.75" customHeight="1">
      <c r="A1389" s="168" t="s">
        <v>384</v>
      </c>
      <c r="B1389" s="171" t="s">
        <v>214</v>
      </c>
      <c r="C1389" s="173"/>
      <c r="D1389" s="173"/>
    </row>
    <row r="1390" ht="15.75" customHeight="1">
      <c r="A1390" s="168" t="s">
        <v>390</v>
      </c>
      <c r="B1390" s="171" t="s">
        <v>214</v>
      </c>
      <c r="C1390" s="173"/>
      <c r="D1390" s="173"/>
    </row>
    <row r="1391" ht="15.75" customHeight="1">
      <c r="A1391" s="168" t="s">
        <v>2226</v>
      </c>
      <c r="B1391" s="171" t="s">
        <v>214</v>
      </c>
      <c r="C1391" s="173"/>
      <c r="D1391" s="173"/>
    </row>
    <row r="1392" ht="15.75" customHeight="1">
      <c r="A1392" s="168" t="s">
        <v>523</v>
      </c>
      <c r="B1392" s="171" t="s">
        <v>214</v>
      </c>
      <c r="C1392" s="173"/>
      <c r="D1392" s="173"/>
    </row>
    <row r="1393" ht="15.75" customHeight="1">
      <c r="A1393" s="168" t="s">
        <v>644</v>
      </c>
      <c r="B1393" s="171" t="s">
        <v>214</v>
      </c>
      <c r="C1393" s="173"/>
      <c r="D1393" s="173"/>
    </row>
    <row r="1394" ht="15.75" customHeight="1">
      <c r="A1394" s="168" t="s">
        <v>661</v>
      </c>
      <c r="B1394" s="171" t="s">
        <v>214</v>
      </c>
      <c r="C1394" s="173"/>
      <c r="D1394" s="173"/>
    </row>
    <row r="1395" ht="15.75" customHeight="1">
      <c r="A1395" s="168" t="s">
        <v>2227</v>
      </c>
      <c r="B1395" s="171" t="s">
        <v>214</v>
      </c>
      <c r="C1395" s="173"/>
      <c r="D1395" s="173"/>
    </row>
    <row r="1396" ht="15.75" customHeight="1">
      <c r="A1396" s="168" t="s">
        <v>2228</v>
      </c>
      <c r="B1396" s="171" t="s">
        <v>214</v>
      </c>
      <c r="C1396" s="173"/>
      <c r="D1396" s="173"/>
    </row>
    <row r="1397" ht="15.75" customHeight="1">
      <c r="A1397" s="168" t="s">
        <v>891</v>
      </c>
      <c r="B1397" s="171" t="s">
        <v>214</v>
      </c>
      <c r="C1397" s="173"/>
      <c r="D1397" s="173"/>
    </row>
    <row r="1398" ht="15.75" customHeight="1">
      <c r="A1398" s="168" t="s">
        <v>996</v>
      </c>
      <c r="B1398" s="171" t="s">
        <v>214</v>
      </c>
      <c r="C1398" s="173"/>
      <c r="D1398" s="173"/>
    </row>
    <row r="1399" ht="15.75" customHeight="1">
      <c r="A1399" s="168" t="s">
        <v>1044</v>
      </c>
      <c r="B1399" s="171" t="s">
        <v>214</v>
      </c>
      <c r="C1399" s="173"/>
      <c r="D1399" s="173"/>
    </row>
    <row r="1400" ht="15.75" customHeight="1">
      <c r="A1400" s="168" t="s">
        <v>1147</v>
      </c>
      <c r="B1400" s="171" t="s">
        <v>214</v>
      </c>
      <c r="C1400" s="173"/>
      <c r="D1400" s="173"/>
    </row>
    <row r="1401" ht="15.75" customHeight="1">
      <c r="A1401" s="168" t="s">
        <v>1236</v>
      </c>
      <c r="B1401" s="171" t="s">
        <v>214</v>
      </c>
      <c r="C1401" s="173"/>
      <c r="D1401" s="173"/>
    </row>
    <row r="1402" ht="15.75" customHeight="1">
      <c r="A1402" s="168" t="s">
        <v>1280</v>
      </c>
      <c r="B1402" s="171" t="s">
        <v>214</v>
      </c>
      <c r="C1402" s="173"/>
      <c r="D1402" s="173"/>
    </row>
    <row r="1403" ht="15.75" customHeight="1">
      <c r="A1403" s="168" t="s">
        <v>2229</v>
      </c>
      <c r="B1403" s="171" t="s">
        <v>214</v>
      </c>
      <c r="C1403" s="173"/>
      <c r="D1403" s="173"/>
    </row>
    <row r="1404" ht="15.75" customHeight="1">
      <c r="A1404" s="168" t="s">
        <v>1426</v>
      </c>
      <c r="B1404" s="171" t="s">
        <v>214</v>
      </c>
      <c r="C1404" s="173"/>
      <c r="D1404" s="173"/>
    </row>
    <row r="1405" ht="15.75" customHeight="1">
      <c r="A1405" s="168" t="s">
        <v>1556</v>
      </c>
      <c r="B1405" s="171" t="s">
        <v>214</v>
      </c>
      <c r="C1405" s="173"/>
      <c r="D1405" s="173"/>
    </row>
    <row r="1406" ht="15.75" customHeight="1">
      <c r="A1406" s="168" t="s">
        <v>1713</v>
      </c>
      <c r="B1406" s="171" t="s">
        <v>214</v>
      </c>
      <c r="C1406" s="173"/>
      <c r="D1406" s="173"/>
    </row>
    <row r="1407" ht="15.75" customHeight="1">
      <c r="A1407" s="168" t="s">
        <v>1820</v>
      </c>
      <c r="B1407" s="171" t="s">
        <v>214</v>
      </c>
      <c r="C1407" s="173"/>
      <c r="D1407" s="173"/>
    </row>
    <row r="1408" ht="15.75" customHeight="1">
      <c r="A1408" s="168" t="s">
        <v>1954</v>
      </c>
      <c r="B1408" s="171" t="s">
        <v>214</v>
      </c>
      <c r="C1408" s="173"/>
      <c r="D1408" s="173"/>
    </row>
    <row r="1409" ht="15.75" customHeight="1">
      <c r="A1409" s="168" t="s">
        <v>48</v>
      </c>
      <c r="B1409" s="171" t="s">
        <v>49</v>
      </c>
      <c r="C1409" s="194" t="s">
        <v>2029</v>
      </c>
      <c r="D1409" s="173"/>
    </row>
    <row r="1410" ht="15.75" customHeight="1">
      <c r="A1410" s="168" t="s">
        <v>307</v>
      </c>
      <c r="B1410" s="171" t="s">
        <v>49</v>
      </c>
      <c r="C1410" s="173"/>
      <c r="D1410" s="173"/>
    </row>
    <row r="1411" ht="15.75" customHeight="1">
      <c r="A1411" s="168" t="s">
        <v>344</v>
      </c>
      <c r="B1411" s="171" t="s">
        <v>49</v>
      </c>
      <c r="C1411" s="173"/>
      <c r="D1411" s="173"/>
    </row>
    <row r="1412" ht="15.75" customHeight="1">
      <c r="A1412" s="168" t="s">
        <v>502</v>
      </c>
      <c r="B1412" s="171" t="s">
        <v>49</v>
      </c>
      <c r="C1412" s="173"/>
      <c r="D1412" s="173"/>
    </row>
    <row r="1413" ht="15.75" customHeight="1">
      <c r="A1413" s="168" t="s">
        <v>507</v>
      </c>
      <c r="B1413" s="171" t="s">
        <v>49</v>
      </c>
      <c r="C1413" s="173"/>
      <c r="D1413" s="173"/>
    </row>
    <row r="1414" ht="15.75" customHeight="1">
      <c r="A1414" s="168" t="s">
        <v>2230</v>
      </c>
      <c r="B1414" s="171" t="s">
        <v>49</v>
      </c>
      <c r="C1414" s="173"/>
      <c r="D1414" s="173"/>
    </row>
    <row r="1415" ht="15.75" customHeight="1">
      <c r="A1415" s="168" t="s">
        <v>2231</v>
      </c>
      <c r="B1415" s="171" t="s">
        <v>49</v>
      </c>
      <c r="C1415" s="173"/>
      <c r="D1415" s="173"/>
    </row>
    <row r="1416" ht="15.75" customHeight="1">
      <c r="A1416" s="168" t="s">
        <v>2232</v>
      </c>
      <c r="B1416" s="171" t="s">
        <v>49</v>
      </c>
      <c r="C1416" s="173"/>
      <c r="D1416" s="173"/>
    </row>
    <row r="1417" ht="15.75" customHeight="1">
      <c r="A1417" s="168" t="s">
        <v>855</v>
      </c>
      <c r="B1417" s="171" t="s">
        <v>49</v>
      </c>
      <c r="C1417" s="173"/>
      <c r="D1417" s="173"/>
    </row>
    <row r="1418" ht="15.75" customHeight="1">
      <c r="A1418" s="168" t="s">
        <v>896</v>
      </c>
      <c r="B1418" s="171" t="s">
        <v>49</v>
      </c>
      <c r="C1418" s="173"/>
      <c r="D1418" s="173"/>
    </row>
    <row r="1419" ht="15.75" customHeight="1">
      <c r="A1419" s="168" t="s">
        <v>1192</v>
      </c>
      <c r="B1419" s="171" t="s">
        <v>49</v>
      </c>
      <c r="C1419" s="173"/>
      <c r="D1419" s="173"/>
    </row>
    <row r="1420" ht="15.75" customHeight="1">
      <c r="A1420" s="168" t="s">
        <v>1291</v>
      </c>
      <c r="B1420" s="171" t="s">
        <v>49</v>
      </c>
      <c r="C1420" s="173"/>
      <c r="D1420" s="173"/>
    </row>
    <row r="1421" ht="15.75" customHeight="1">
      <c r="A1421" s="168" t="s">
        <v>1386</v>
      </c>
      <c r="B1421" s="171" t="s">
        <v>49</v>
      </c>
      <c r="C1421" s="173"/>
      <c r="D1421" s="173"/>
    </row>
    <row r="1422" ht="15.75" customHeight="1">
      <c r="A1422" s="168" t="s">
        <v>2233</v>
      </c>
      <c r="B1422" s="171" t="s">
        <v>49</v>
      </c>
      <c r="C1422" s="173"/>
      <c r="D1422" s="173"/>
    </row>
    <row r="1423" ht="15.75" customHeight="1">
      <c r="A1423" s="168" t="s">
        <v>1541</v>
      </c>
      <c r="B1423" s="171" t="s">
        <v>49</v>
      </c>
      <c r="C1423" s="173"/>
      <c r="D1423" s="173"/>
    </row>
    <row r="1424" ht="15.75" customHeight="1">
      <c r="A1424" s="168" t="s">
        <v>1675</v>
      </c>
      <c r="B1424" s="171" t="s">
        <v>49</v>
      </c>
      <c r="C1424" s="173"/>
      <c r="D1424" s="173"/>
    </row>
    <row r="1425" ht="15.75" customHeight="1">
      <c r="A1425" s="168" t="s">
        <v>1919</v>
      </c>
      <c r="B1425" s="171" t="s">
        <v>49</v>
      </c>
      <c r="C1425" s="173"/>
      <c r="D1425" s="173"/>
    </row>
    <row r="1426" ht="15.75" customHeight="1">
      <c r="A1426" s="168" t="s">
        <v>1937</v>
      </c>
      <c r="B1426" s="171" t="s">
        <v>49</v>
      </c>
      <c r="C1426" s="173"/>
      <c r="D1426" s="173"/>
    </row>
    <row r="1427" ht="15.75" customHeight="1">
      <c r="A1427" s="168" t="s">
        <v>290</v>
      </c>
      <c r="B1427" s="171" t="s">
        <v>291</v>
      </c>
      <c r="C1427" s="194" t="s">
        <v>2012</v>
      </c>
      <c r="D1427" s="173"/>
    </row>
    <row r="1428" ht="15.75" customHeight="1">
      <c r="A1428" s="168" t="s">
        <v>2234</v>
      </c>
      <c r="B1428" s="171" t="s">
        <v>291</v>
      </c>
      <c r="C1428" s="173"/>
      <c r="D1428" s="173"/>
    </row>
    <row r="1429" ht="15.75" customHeight="1">
      <c r="A1429" s="168" t="s">
        <v>377</v>
      </c>
      <c r="B1429" s="171" t="s">
        <v>291</v>
      </c>
      <c r="C1429" s="173"/>
      <c r="D1429" s="173"/>
    </row>
    <row r="1430" ht="15.75" customHeight="1">
      <c r="A1430" s="168" t="s">
        <v>405</v>
      </c>
      <c r="B1430" s="171" t="s">
        <v>291</v>
      </c>
      <c r="C1430" s="173"/>
      <c r="D1430" s="173"/>
    </row>
    <row r="1431" ht="15.75" customHeight="1">
      <c r="A1431" s="168" t="s">
        <v>830</v>
      </c>
      <c r="B1431" s="171" t="s">
        <v>291</v>
      </c>
      <c r="C1431" s="173"/>
      <c r="D1431" s="173"/>
    </row>
    <row r="1432" ht="15.75" customHeight="1">
      <c r="A1432" s="168" t="s">
        <v>859</v>
      </c>
      <c r="B1432" s="171" t="s">
        <v>291</v>
      </c>
      <c r="C1432" s="173"/>
      <c r="D1432" s="173"/>
    </row>
    <row r="1433" ht="15.75" customHeight="1">
      <c r="A1433" s="168" t="s">
        <v>909</v>
      </c>
      <c r="B1433" s="171" t="s">
        <v>291</v>
      </c>
      <c r="C1433" s="173"/>
      <c r="D1433" s="173"/>
    </row>
    <row r="1434" ht="15.75" customHeight="1">
      <c r="A1434" s="168" t="s">
        <v>2235</v>
      </c>
      <c r="B1434" s="171" t="s">
        <v>291</v>
      </c>
      <c r="C1434" s="173"/>
      <c r="D1434" s="173"/>
    </row>
    <row r="1435" ht="15.75" customHeight="1">
      <c r="A1435" s="168" t="s">
        <v>1143</v>
      </c>
      <c r="B1435" s="171" t="s">
        <v>291</v>
      </c>
      <c r="C1435" s="173"/>
      <c r="D1435" s="173"/>
    </row>
    <row r="1436" ht="15.75" customHeight="1">
      <c r="A1436" s="168" t="s">
        <v>1367</v>
      </c>
      <c r="B1436" s="171" t="s">
        <v>291</v>
      </c>
      <c r="C1436" s="173"/>
      <c r="D1436" s="173"/>
    </row>
    <row r="1437" ht="15.75" customHeight="1">
      <c r="A1437" s="168" t="s">
        <v>1384</v>
      </c>
      <c r="B1437" s="171" t="s">
        <v>291</v>
      </c>
      <c r="C1437" s="173"/>
      <c r="D1437" s="173"/>
    </row>
    <row r="1438" ht="15.75" customHeight="1">
      <c r="A1438" s="168" t="s">
        <v>1432</v>
      </c>
      <c r="B1438" s="171" t="s">
        <v>291</v>
      </c>
      <c r="C1438" s="173"/>
      <c r="D1438" s="173"/>
    </row>
    <row r="1439" ht="15.75" customHeight="1">
      <c r="A1439" s="168" t="s">
        <v>2236</v>
      </c>
      <c r="B1439" s="171" t="s">
        <v>291</v>
      </c>
      <c r="C1439" s="173"/>
      <c r="D1439" s="173"/>
    </row>
    <row r="1440" ht="15.75" customHeight="1">
      <c r="A1440" s="168" t="s">
        <v>1819</v>
      </c>
      <c r="B1440" s="171" t="s">
        <v>291</v>
      </c>
      <c r="C1440" s="173"/>
      <c r="D1440" s="173"/>
    </row>
    <row r="1441" ht="15.75" customHeight="1">
      <c r="A1441" s="168" t="s">
        <v>1899</v>
      </c>
      <c r="B1441" s="171" t="s">
        <v>291</v>
      </c>
      <c r="C1441" s="173"/>
      <c r="D1441" s="173"/>
    </row>
    <row r="1442" ht="15.75" customHeight="1">
      <c r="A1442" s="168" t="s">
        <v>531</v>
      </c>
      <c r="B1442" s="171" t="s">
        <v>532</v>
      </c>
      <c r="C1442" s="194" t="s">
        <v>2114</v>
      </c>
      <c r="D1442" s="173"/>
    </row>
    <row r="1443" ht="15.75" customHeight="1">
      <c r="A1443" s="168" t="s">
        <v>725</v>
      </c>
      <c r="B1443" s="171" t="s">
        <v>532</v>
      </c>
      <c r="C1443" s="194"/>
      <c r="D1443" s="173"/>
    </row>
    <row r="1444" ht="15.75" customHeight="1">
      <c r="A1444" s="168" t="s">
        <v>964</v>
      </c>
      <c r="B1444" s="171" t="s">
        <v>532</v>
      </c>
      <c r="C1444" s="173"/>
      <c r="D1444" s="173"/>
    </row>
    <row r="1445" ht="15.75" customHeight="1">
      <c r="A1445" s="168" t="s">
        <v>1063</v>
      </c>
      <c r="B1445" s="171" t="s">
        <v>532</v>
      </c>
      <c r="C1445" s="173"/>
      <c r="D1445" s="173"/>
    </row>
    <row r="1446" ht="15.75" customHeight="1">
      <c r="A1446" s="168" t="s">
        <v>2237</v>
      </c>
      <c r="B1446" s="171" t="s">
        <v>532</v>
      </c>
      <c r="C1446" s="173"/>
      <c r="D1446" s="173"/>
    </row>
    <row r="1447" ht="15.75" customHeight="1">
      <c r="A1447" s="168" t="s">
        <v>1591</v>
      </c>
      <c r="B1447" s="171" t="s">
        <v>532</v>
      </c>
      <c r="C1447" s="173"/>
      <c r="D1447" s="173"/>
    </row>
    <row r="1448" ht="15.75" customHeight="1">
      <c r="A1448" s="168" t="s">
        <v>1657</v>
      </c>
      <c r="B1448" s="171" t="s">
        <v>532</v>
      </c>
      <c r="C1448" s="173"/>
      <c r="D1448" s="173"/>
    </row>
    <row r="1449" ht="15.75" customHeight="1">
      <c r="A1449" s="168" t="s">
        <v>2238</v>
      </c>
      <c r="B1449" s="171" t="s">
        <v>532</v>
      </c>
      <c r="C1449" s="173"/>
      <c r="D1449" s="173"/>
    </row>
    <row r="1450" ht="15.75" customHeight="1">
      <c r="A1450" s="168" t="s">
        <v>1925</v>
      </c>
      <c r="B1450" s="171" t="s">
        <v>532</v>
      </c>
      <c r="C1450" s="173"/>
      <c r="D1450" s="173"/>
    </row>
    <row r="1451" ht="15.75" customHeight="1">
      <c r="A1451" s="168" t="s">
        <v>181</v>
      </c>
      <c r="B1451" s="171" t="s">
        <v>182</v>
      </c>
      <c r="C1451" s="194" t="s">
        <v>2114</v>
      </c>
      <c r="D1451" s="173"/>
    </row>
    <row r="1452" ht="15.75" customHeight="1">
      <c r="A1452" s="168" t="s">
        <v>219</v>
      </c>
      <c r="B1452" s="171" t="s">
        <v>182</v>
      </c>
      <c r="C1452" s="173"/>
      <c r="D1452" s="173"/>
    </row>
    <row r="1453" ht="15.75" customHeight="1">
      <c r="A1453" s="168" t="s">
        <v>231</v>
      </c>
      <c r="B1453" s="171" t="s">
        <v>182</v>
      </c>
      <c r="C1453" s="173"/>
      <c r="D1453" s="173"/>
    </row>
    <row r="1454" ht="15.75" customHeight="1">
      <c r="A1454" s="168" t="s">
        <v>559</v>
      </c>
      <c r="B1454" s="171" t="s">
        <v>182</v>
      </c>
      <c r="C1454" s="173"/>
      <c r="D1454" s="173"/>
    </row>
    <row r="1455" ht="15.75" customHeight="1">
      <c r="A1455" s="168" t="s">
        <v>659</v>
      </c>
      <c r="B1455" s="171" t="s">
        <v>182</v>
      </c>
      <c r="C1455" s="173"/>
      <c r="D1455" s="173"/>
    </row>
    <row r="1456" ht="15.75" customHeight="1">
      <c r="A1456" s="168" t="s">
        <v>722</v>
      </c>
      <c r="B1456" s="171" t="s">
        <v>182</v>
      </c>
      <c r="C1456" s="173"/>
      <c r="D1456" s="173"/>
    </row>
    <row r="1457" ht="15.75" customHeight="1">
      <c r="A1457" s="168" t="s">
        <v>773</v>
      </c>
      <c r="B1457" s="171" t="s">
        <v>182</v>
      </c>
      <c r="C1457" s="173"/>
      <c r="D1457" s="173"/>
    </row>
    <row r="1458" ht="15.75" customHeight="1">
      <c r="A1458" s="168" t="s">
        <v>903</v>
      </c>
      <c r="B1458" s="171" t="s">
        <v>182</v>
      </c>
      <c r="C1458" s="173"/>
      <c r="D1458" s="173"/>
    </row>
    <row r="1459" ht="15.75" customHeight="1">
      <c r="A1459" s="168" t="s">
        <v>971</v>
      </c>
      <c r="B1459" s="171" t="s">
        <v>182</v>
      </c>
      <c r="C1459" s="173"/>
      <c r="D1459" s="173"/>
    </row>
    <row r="1460" ht="15.75" customHeight="1">
      <c r="A1460" s="168" t="s">
        <v>1032</v>
      </c>
      <c r="B1460" s="171" t="s">
        <v>182</v>
      </c>
      <c r="C1460" s="173"/>
      <c r="D1460" s="173"/>
    </row>
    <row r="1461" ht="15.75" customHeight="1">
      <c r="A1461" s="168" t="s">
        <v>1126</v>
      </c>
      <c r="B1461" s="171" t="s">
        <v>182</v>
      </c>
      <c r="C1461" s="173"/>
      <c r="D1461" s="173"/>
    </row>
    <row r="1462" ht="15.75" customHeight="1">
      <c r="A1462" s="168" t="s">
        <v>1590</v>
      </c>
      <c r="B1462" s="171" t="s">
        <v>182</v>
      </c>
      <c r="C1462" s="173"/>
      <c r="D1462" s="173"/>
    </row>
    <row r="1463" ht="15.75" customHeight="1">
      <c r="A1463" s="168" t="s">
        <v>1666</v>
      </c>
      <c r="B1463" s="171" t="s">
        <v>182</v>
      </c>
      <c r="C1463" s="173"/>
      <c r="D1463" s="173"/>
    </row>
    <row r="1464" ht="15.75" customHeight="1">
      <c r="A1464" s="168" t="s">
        <v>1832</v>
      </c>
      <c r="B1464" s="171" t="s">
        <v>182</v>
      </c>
      <c r="C1464" s="173"/>
      <c r="D1464" s="173"/>
    </row>
    <row r="1465" ht="15.75" customHeight="1">
      <c r="A1465" s="168" t="s">
        <v>1867</v>
      </c>
      <c r="B1465" s="171" t="s">
        <v>182</v>
      </c>
      <c r="C1465" s="173"/>
      <c r="D1465" s="173"/>
    </row>
    <row r="1466" ht="15.75" customHeight="1">
      <c r="A1466" s="168" t="s">
        <v>2239</v>
      </c>
      <c r="B1466" s="171" t="s">
        <v>182</v>
      </c>
      <c r="C1466" s="173"/>
      <c r="D1466" s="173"/>
    </row>
    <row r="1467" ht="15.75" customHeight="1">
      <c r="A1467" s="178" t="s">
        <v>529</v>
      </c>
      <c r="B1467" s="179" t="s">
        <v>382</v>
      </c>
      <c r="C1467" s="177"/>
      <c r="D1467" s="177"/>
    </row>
    <row r="1468" ht="15.75" customHeight="1">
      <c r="A1468" s="210" t="s">
        <v>20</v>
      </c>
      <c r="B1468" s="168" t="s">
        <v>22</v>
      </c>
      <c r="C1468" s="177"/>
      <c r="D1468" s="177"/>
    </row>
    <row r="1469" ht="15.75" customHeight="1">
      <c r="A1469" s="210" t="s">
        <v>52</v>
      </c>
      <c r="B1469" s="168" t="s">
        <v>22</v>
      </c>
      <c r="C1469" s="177"/>
      <c r="D1469" s="177"/>
    </row>
    <row r="1470" ht="15.75" customHeight="1">
      <c r="A1470" s="210" t="s">
        <v>53</v>
      </c>
      <c r="B1470" s="168" t="s">
        <v>22</v>
      </c>
      <c r="C1470" s="177"/>
      <c r="D1470" s="177"/>
    </row>
    <row r="1471" ht="15.75" customHeight="1">
      <c r="A1471" s="210" t="s">
        <v>111</v>
      </c>
      <c r="B1471" s="168" t="s">
        <v>22</v>
      </c>
      <c r="C1471" s="177"/>
      <c r="D1471" s="177"/>
    </row>
    <row r="1472" ht="15.75" customHeight="1">
      <c r="A1472" s="210" t="s">
        <v>113</v>
      </c>
      <c r="B1472" s="168" t="s">
        <v>22</v>
      </c>
      <c r="C1472" s="177"/>
      <c r="D1472" s="177"/>
    </row>
    <row r="1473" ht="15.75" customHeight="1">
      <c r="A1473" s="210" t="s">
        <v>164</v>
      </c>
      <c r="B1473" s="168" t="s">
        <v>22</v>
      </c>
      <c r="C1473" s="177"/>
      <c r="D1473" s="177"/>
    </row>
    <row r="1474" ht="15.75" customHeight="1">
      <c r="A1474" s="210" t="s">
        <v>302</v>
      </c>
      <c r="B1474" s="168" t="s">
        <v>22</v>
      </c>
      <c r="C1474" s="177"/>
      <c r="D1474" s="177"/>
    </row>
    <row r="1475" ht="15.75" customHeight="1">
      <c r="A1475" s="210" t="s">
        <v>331</v>
      </c>
      <c r="B1475" s="168" t="s">
        <v>22</v>
      </c>
      <c r="C1475" s="177"/>
      <c r="D1475" s="177"/>
    </row>
    <row r="1476" ht="15.75" customHeight="1">
      <c r="A1476" s="210" t="s">
        <v>431</v>
      </c>
      <c r="B1476" s="168" t="s">
        <v>22</v>
      </c>
      <c r="C1476" s="177"/>
      <c r="D1476" s="177"/>
    </row>
    <row r="1477" ht="15.75" customHeight="1">
      <c r="A1477" s="210" t="s">
        <v>452</v>
      </c>
      <c r="B1477" s="168" t="s">
        <v>22</v>
      </c>
      <c r="C1477" s="177"/>
      <c r="D1477" s="177"/>
    </row>
    <row r="1478" ht="15.75" customHeight="1">
      <c r="A1478" s="210" t="s">
        <v>547</v>
      </c>
      <c r="B1478" s="168" t="s">
        <v>22</v>
      </c>
      <c r="C1478" s="177"/>
      <c r="D1478" s="177"/>
    </row>
    <row r="1479" ht="15.75" customHeight="1">
      <c r="A1479" s="210" t="s">
        <v>688</v>
      </c>
      <c r="B1479" s="168" t="s">
        <v>22</v>
      </c>
      <c r="C1479" s="177"/>
      <c r="D1479" s="177"/>
    </row>
    <row r="1480" ht="15.75" customHeight="1">
      <c r="A1480" s="210" t="s">
        <v>689</v>
      </c>
      <c r="B1480" s="168" t="s">
        <v>22</v>
      </c>
      <c r="C1480" s="177"/>
      <c r="D1480" s="177"/>
    </row>
    <row r="1481" ht="15.75" customHeight="1">
      <c r="A1481" s="210" t="s">
        <v>728</v>
      </c>
      <c r="B1481" s="168" t="s">
        <v>22</v>
      </c>
      <c r="C1481" s="177"/>
      <c r="D1481" s="177"/>
    </row>
    <row r="1482" ht="15.75" customHeight="1">
      <c r="A1482" s="210" t="s">
        <v>2240</v>
      </c>
      <c r="B1482" s="168" t="s">
        <v>22</v>
      </c>
      <c r="C1482" s="177"/>
      <c r="D1482" s="177"/>
    </row>
    <row r="1483" ht="15.75" customHeight="1">
      <c r="A1483" s="210" t="s">
        <v>2241</v>
      </c>
      <c r="B1483" s="168" t="s">
        <v>22</v>
      </c>
      <c r="C1483" s="177"/>
      <c r="D1483" s="177"/>
    </row>
    <row r="1484" ht="15.75" customHeight="1">
      <c r="A1484" s="210" t="s">
        <v>904</v>
      </c>
      <c r="B1484" s="168" t="s">
        <v>22</v>
      </c>
      <c r="C1484" s="177"/>
      <c r="D1484" s="177"/>
    </row>
    <row r="1485" ht="15.75" customHeight="1">
      <c r="A1485" s="210" t="s">
        <v>911</v>
      </c>
      <c r="B1485" s="168" t="s">
        <v>22</v>
      </c>
      <c r="C1485" s="177"/>
      <c r="D1485" s="177"/>
    </row>
    <row r="1486" ht="15.75" customHeight="1">
      <c r="A1486" s="210" t="s">
        <v>1198</v>
      </c>
      <c r="B1486" s="168" t="s">
        <v>22</v>
      </c>
      <c r="C1486" s="177"/>
      <c r="D1486" s="177"/>
    </row>
    <row r="1487" ht="15.75" customHeight="1">
      <c r="A1487" s="210" t="s">
        <v>1298</v>
      </c>
      <c r="B1487" s="168" t="s">
        <v>22</v>
      </c>
      <c r="C1487" s="177"/>
      <c r="D1487" s="177"/>
    </row>
    <row r="1488" ht="15.75" customHeight="1">
      <c r="A1488" s="210" t="s">
        <v>1486</v>
      </c>
      <c r="B1488" s="168" t="s">
        <v>22</v>
      </c>
      <c r="C1488" s="177"/>
      <c r="D1488" s="177"/>
    </row>
    <row r="1489" ht="15.75" customHeight="1">
      <c r="A1489" s="210" t="s">
        <v>2242</v>
      </c>
      <c r="B1489" s="168" t="s">
        <v>22</v>
      </c>
      <c r="C1489" s="177"/>
      <c r="D1489" s="177"/>
    </row>
    <row r="1490" ht="15.75" customHeight="1">
      <c r="A1490" s="211" t="s">
        <v>1658</v>
      </c>
      <c r="B1490" s="168" t="s">
        <v>22</v>
      </c>
      <c r="C1490" s="177"/>
      <c r="D1490" s="177"/>
    </row>
    <row r="1491" ht="15.75" customHeight="1">
      <c r="A1491" s="211" t="s">
        <v>1662</v>
      </c>
      <c r="B1491" s="168" t="s">
        <v>22</v>
      </c>
      <c r="C1491" s="177"/>
      <c r="D1491" s="177"/>
    </row>
    <row r="1492" ht="15.75" customHeight="1">
      <c r="A1492" s="210" t="s">
        <v>1665</v>
      </c>
      <c r="B1492" s="168" t="s">
        <v>22</v>
      </c>
      <c r="C1492" s="177"/>
      <c r="D1492" s="177"/>
    </row>
    <row r="1493" ht="15.75" customHeight="1">
      <c r="A1493" s="210" t="s">
        <v>1692</v>
      </c>
      <c r="B1493" s="168" t="s">
        <v>22</v>
      </c>
      <c r="C1493" s="177"/>
      <c r="D1493" s="177"/>
    </row>
    <row r="1494" ht="15.75" customHeight="1">
      <c r="A1494" s="210" t="s">
        <v>2243</v>
      </c>
      <c r="B1494" s="168" t="s">
        <v>22</v>
      </c>
      <c r="C1494" s="177"/>
      <c r="D1494" s="177"/>
    </row>
    <row r="1495" ht="15.75" customHeight="1">
      <c r="A1495" s="210" t="s">
        <v>1800</v>
      </c>
      <c r="B1495" s="168" t="s">
        <v>22</v>
      </c>
      <c r="C1495" s="177"/>
      <c r="D1495" s="177"/>
    </row>
    <row r="1496" ht="15.75" customHeight="1">
      <c r="A1496" s="210" t="s">
        <v>1923</v>
      </c>
      <c r="B1496" s="168" t="s">
        <v>22</v>
      </c>
      <c r="C1496" s="177"/>
      <c r="D1496" s="177"/>
    </row>
    <row r="1497" ht="15.75" customHeight="1">
      <c r="A1497" s="178"/>
      <c r="B1497" s="179"/>
      <c r="C1497" s="177"/>
      <c r="D1497" s="177"/>
    </row>
    <row r="1498" ht="15.75" customHeight="1">
      <c r="A1498" s="178"/>
      <c r="B1498" s="179"/>
      <c r="C1498" s="177"/>
      <c r="D1498" s="177"/>
    </row>
    <row r="1499" ht="15.75" customHeight="1">
      <c r="A1499" s="178"/>
      <c r="B1499" s="179"/>
      <c r="C1499" s="177"/>
      <c r="D1499" s="177"/>
    </row>
    <row r="1500" ht="15.75" customHeight="1">
      <c r="A1500" s="178"/>
      <c r="B1500" s="179"/>
      <c r="C1500" s="177"/>
      <c r="D1500" s="177"/>
    </row>
    <row r="1501" ht="15.75" customHeight="1">
      <c r="A1501" s="178"/>
      <c r="B1501" s="179"/>
      <c r="C1501" s="177"/>
      <c r="D1501" s="177"/>
    </row>
    <row r="1502" ht="15.75" customHeight="1">
      <c r="A1502" s="178"/>
      <c r="B1502" s="179"/>
      <c r="C1502" s="177"/>
      <c r="D1502" s="177"/>
    </row>
    <row r="1503" ht="15.75" customHeight="1">
      <c r="A1503" s="178"/>
      <c r="B1503" s="179"/>
      <c r="C1503" s="177"/>
      <c r="D1503" s="177"/>
    </row>
    <row r="1504" ht="15.75" customHeight="1">
      <c r="A1504" s="178"/>
      <c r="B1504" s="179"/>
      <c r="C1504" s="177"/>
      <c r="D1504" s="177"/>
    </row>
    <row r="1505" ht="15.75" customHeight="1">
      <c r="A1505" s="178"/>
      <c r="B1505" s="179"/>
      <c r="C1505" s="177"/>
      <c r="D1505" s="177"/>
    </row>
    <row r="1506" ht="15.75" customHeight="1">
      <c r="A1506" s="178"/>
      <c r="B1506" s="179"/>
      <c r="C1506" s="177"/>
      <c r="D1506" s="177"/>
    </row>
    <row r="1507" ht="15.75" customHeight="1">
      <c r="A1507" s="178"/>
      <c r="B1507" s="179"/>
      <c r="C1507" s="177"/>
      <c r="D1507" s="177"/>
    </row>
    <row r="1508" ht="15.75" customHeight="1">
      <c r="A1508" s="178"/>
      <c r="B1508" s="179"/>
      <c r="C1508" s="177"/>
      <c r="D1508" s="177"/>
    </row>
    <row r="1509" ht="15.75" customHeight="1">
      <c r="A1509" s="178"/>
      <c r="B1509" s="179"/>
      <c r="C1509" s="177"/>
      <c r="D1509" s="177"/>
    </row>
    <row r="1510" ht="15.75" customHeight="1">
      <c r="A1510" s="178"/>
      <c r="B1510" s="179"/>
      <c r="C1510" s="177"/>
      <c r="D1510" s="177"/>
    </row>
    <row r="1511" ht="15.75" customHeight="1">
      <c r="A1511" s="178"/>
      <c r="B1511" s="179"/>
      <c r="C1511" s="177"/>
      <c r="D1511" s="177"/>
    </row>
    <row r="1512" ht="15.75" customHeight="1">
      <c r="A1512" s="178"/>
      <c r="B1512" s="179"/>
      <c r="C1512" s="177"/>
      <c r="D1512" s="177"/>
    </row>
    <row r="1513" ht="15.75" customHeight="1">
      <c r="A1513" s="178"/>
      <c r="B1513" s="179"/>
      <c r="C1513" s="177"/>
      <c r="D1513" s="177"/>
    </row>
    <row r="1514" ht="15.75" customHeight="1">
      <c r="A1514" s="178"/>
      <c r="B1514" s="179"/>
      <c r="C1514" s="177"/>
      <c r="D1514" s="177"/>
    </row>
    <row r="1515" ht="15.75" customHeight="1">
      <c r="A1515" s="178"/>
      <c r="B1515" s="179"/>
      <c r="C1515" s="177"/>
      <c r="D1515" s="177"/>
    </row>
    <row r="1516" ht="15.75" customHeight="1">
      <c r="A1516" s="178"/>
      <c r="B1516" s="179"/>
      <c r="C1516" s="177"/>
      <c r="D1516" s="177"/>
    </row>
    <row r="1517" ht="15.75" customHeight="1">
      <c r="A1517" s="178"/>
      <c r="B1517" s="179"/>
      <c r="C1517" s="177"/>
      <c r="D1517" s="177"/>
    </row>
    <row r="1518" ht="15.75" customHeight="1">
      <c r="A1518" s="178"/>
      <c r="B1518" s="179"/>
      <c r="C1518" s="177"/>
      <c r="D1518" s="177"/>
    </row>
    <row r="1519" ht="15.75" customHeight="1">
      <c r="A1519" s="212"/>
      <c r="B1519" s="204"/>
      <c r="C1519" s="177"/>
      <c r="D1519" s="177"/>
    </row>
    <row r="1520" ht="15.75" customHeight="1">
      <c r="A1520" s="212"/>
      <c r="B1520" s="204"/>
      <c r="C1520" s="177"/>
      <c r="D1520" s="177"/>
    </row>
    <row r="1521" ht="15.75" customHeight="1">
      <c r="A1521" s="212"/>
      <c r="B1521" s="204"/>
      <c r="C1521" s="177"/>
      <c r="D1521" s="177"/>
    </row>
    <row r="1522" ht="15.75" customHeight="1">
      <c r="A1522" s="212"/>
      <c r="B1522" s="204"/>
      <c r="C1522" s="177"/>
      <c r="D1522" s="177"/>
    </row>
    <row r="1523" ht="15.75" customHeight="1">
      <c r="A1523" s="212"/>
      <c r="B1523" s="204"/>
      <c r="C1523" s="177"/>
      <c r="D1523" s="177"/>
    </row>
    <row r="1524" ht="15.75" customHeight="1">
      <c r="A1524" s="212"/>
      <c r="B1524" s="204"/>
      <c r="C1524" s="177"/>
      <c r="D1524" s="177"/>
    </row>
    <row r="1525" ht="15.75" customHeight="1">
      <c r="A1525" s="212"/>
      <c r="B1525" s="204"/>
      <c r="C1525" s="177"/>
      <c r="D1525" s="177"/>
    </row>
    <row r="1526" ht="15.75" customHeight="1">
      <c r="A1526" s="212"/>
      <c r="B1526" s="204"/>
      <c r="C1526" s="177"/>
      <c r="D1526" s="177"/>
    </row>
    <row r="1527" ht="15.75" customHeight="1">
      <c r="A1527" s="212"/>
      <c r="B1527" s="204"/>
      <c r="C1527" s="177"/>
      <c r="D1527" s="177"/>
    </row>
    <row r="1528" ht="15.75" customHeight="1">
      <c r="A1528" s="212"/>
      <c r="B1528" s="204"/>
      <c r="C1528" s="177"/>
      <c r="D1528" s="177"/>
    </row>
    <row r="1529" ht="15.75" customHeight="1">
      <c r="A1529" s="212"/>
      <c r="B1529" s="204"/>
      <c r="C1529" s="177"/>
      <c r="D1529" s="177"/>
    </row>
    <row r="1530" ht="15.75" customHeight="1">
      <c r="A1530" s="212"/>
      <c r="B1530" s="204"/>
      <c r="C1530" s="177"/>
      <c r="D1530" s="177"/>
    </row>
    <row r="1531" ht="15.75" customHeight="1">
      <c r="A1531" s="212"/>
      <c r="B1531" s="204"/>
      <c r="C1531" s="177"/>
      <c r="D1531" s="177"/>
    </row>
    <row r="1532" ht="15.75" customHeight="1">
      <c r="A1532" s="212"/>
      <c r="B1532" s="204"/>
      <c r="C1532" s="177"/>
      <c r="D1532" s="177"/>
    </row>
    <row r="1533" ht="15.75" customHeight="1">
      <c r="A1533" s="212"/>
      <c r="B1533" s="204"/>
      <c r="C1533" s="177"/>
      <c r="D1533" s="177"/>
    </row>
    <row r="1534" ht="15.75" customHeight="1">
      <c r="A1534" s="212"/>
      <c r="B1534" s="204"/>
      <c r="C1534" s="177"/>
      <c r="D1534" s="177"/>
    </row>
    <row r="1535" ht="15.75" customHeight="1">
      <c r="A1535" s="212"/>
      <c r="B1535" s="204"/>
      <c r="C1535" s="177"/>
      <c r="D1535" s="177"/>
    </row>
    <row r="1536" ht="15.75" customHeight="1">
      <c r="A1536" s="212"/>
      <c r="B1536" s="204"/>
      <c r="C1536" s="177"/>
      <c r="D1536" s="177"/>
    </row>
    <row r="1537" ht="15.75" customHeight="1">
      <c r="A1537" s="212"/>
      <c r="B1537" s="204"/>
      <c r="C1537" s="177"/>
      <c r="D1537" s="177"/>
    </row>
    <row r="1538" ht="15.75" customHeight="1">
      <c r="A1538" s="212"/>
      <c r="B1538" s="204"/>
      <c r="C1538" s="177"/>
      <c r="D1538" s="177"/>
    </row>
    <row r="1539" ht="15.75" customHeight="1">
      <c r="A1539" s="212"/>
      <c r="B1539" s="204"/>
      <c r="C1539" s="177"/>
      <c r="D1539" s="177"/>
    </row>
    <row r="1540" ht="15.75" customHeight="1">
      <c r="A1540" s="212"/>
      <c r="B1540" s="204"/>
      <c r="C1540" s="177"/>
      <c r="D1540" s="177"/>
    </row>
    <row r="1541" ht="15.75" customHeight="1">
      <c r="A1541" s="212"/>
      <c r="B1541" s="204"/>
      <c r="C1541" s="177"/>
      <c r="D1541" s="177"/>
    </row>
    <row r="1542" ht="15.75" customHeight="1">
      <c r="A1542" s="212"/>
      <c r="B1542" s="204"/>
      <c r="C1542" s="177"/>
      <c r="D1542" s="177"/>
    </row>
    <row r="1543" ht="15.75" customHeight="1">
      <c r="A1543" s="212"/>
      <c r="B1543" s="204"/>
      <c r="C1543" s="177"/>
      <c r="D1543" s="177"/>
    </row>
    <row r="1544" ht="15.75" customHeight="1">
      <c r="A1544" s="212"/>
      <c r="B1544" s="204"/>
      <c r="C1544" s="177"/>
      <c r="D1544" s="177"/>
    </row>
    <row r="1545" ht="15.75" customHeight="1">
      <c r="A1545" s="212"/>
      <c r="B1545" s="204"/>
      <c r="C1545" s="177"/>
      <c r="D1545" s="177"/>
    </row>
    <row r="1546" ht="15.75" customHeight="1">
      <c r="A1546" s="212"/>
      <c r="B1546" s="204"/>
      <c r="C1546" s="177"/>
      <c r="D1546" s="177"/>
    </row>
    <row r="1547" ht="15.75" customHeight="1">
      <c r="A1547" s="212"/>
      <c r="B1547" s="204"/>
      <c r="C1547" s="177"/>
      <c r="D1547" s="177"/>
    </row>
    <row r="1548" ht="15.75" customHeight="1">
      <c r="A1548" s="212"/>
      <c r="B1548" s="204"/>
      <c r="C1548" s="177"/>
      <c r="D1548" s="177"/>
    </row>
    <row r="1549" ht="15.75" customHeight="1">
      <c r="A1549" s="212"/>
      <c r="B1549" s="204"/>
      <c r="C1549" s="177"/>
      <c r="D1549" s="177"/>
    </row>
    <row r="1550" ht="15.75" customHeight="1">
      <c r="A1550" s="212"/>
      <c r="B1550" s="204"/>
      <c r="C1550" s="177"/>
      <c r="D1550" s="177"/>
    </row>
    <row r="1551" ht="15.75" customHeight="1">
      <c r="A1551" s="212"/>
      <c r="B1551" s="204"/>
      <c r="C1551" s="177"/>
      <c r="D1551" s="177"/>
    </row>
    <row r="1552" ht="15.75" customHeight="1">
      <c r="A1552" s="212"/>
      <c r="B1552" s="204"/>
      <c r="C1552" s="177"/>
      <c r="D1552" s="177"/>
    </row>
    <row r="1553" ht="15.75" customHeight="1">
      <c r="A1553" s="212"/>
      <c r="B1553" s="204"/>
      <c r="C1553" s="177"/>
      <c r="D1553" s="177"/>
    </row>
    <row r="1554" ht="15.75" customHeight="1">
      <c r="A1554" s="212"/>
      <c r="B1554" s="204"/>
      <c r="C1554" s="177"/>
      <c r="D1554" s="177"/>
    </row>
    <row r="1555" ht="15.75" customHeight="1">
      <c r="A1555" s="212"/>
      <c r="B1555" s="204"/>
      <c r="C1555" s="177"/>
      <c r="D1555" s="177"/>
    </row>
    <row r="1556" ht="15.75" customHeight="1">
      <c r="A1556" s="212"/>
      <c r="B1556" s="204"/>
      <c r="C1556" s="177"/>
      <c r="D1556" s="177"/>
    </row>
    <row r="1557" ht="15.75" customHeight="1">
      <c r="A1557" s="212"/>
      <c r="B1557" s="204"/>
      <c r="C1557" s="177"/>
      <c r="D1557" s="177"/>
    </row>
    <row r="1558" ht="15.75" customHeight="1">
      <c r="A1558" s="212"/>
      <c r="B1558" s="204"/>
      <c r="C1558" s="177"/>
      <c r="D1558" s="177"/>
    </row>
    <row r="1559" ht="15.75" customHeight="1">
      <c r="A1559" s="212"/>
      <c r="B1559" s="204"/>
      <c r="C1559" s="177"/>
      <c r="D1559" s="177"/>
    </row>
    <row r="1560" ht="15.75" customHeight="1">
      <c r="A1560" s="212"/>
      <c r="B1560" s="204"/>
      <c r="C1560" s="177"/>
      <c r="D1560" s="177"/>
    </row>
    <row r="1561" ht="15.75" customHeight="1">
      <c r="A1561" s="212"/>
      <c r="B1561" s="204"/>
      <c r="C1561" s="177"/>
      <c r="D1561" s="177"/>
    </row>
    <row r="1562" ht="15.75" customHeight="1">
      <c r="A1562" s="212"/>
      <c r="B1562" s="204"/>
      <c r="C1562" s="177"/>
      <c r="D1562" s="177"/>
    </row>
    <row r="1563" ht="15.75" customHeight="1">
      <c r="A1563" s="212"/>
      <c r="B1563" s="204"/>
      <c r="C1563" s="177"/>
      <c r="D1563" s="177"/>
    </row>
    <row r="1564" ht="15.75" customHeight="1">
      <c r="A1564" s="212"/>
      <c r="B1564" s="204"/>
      <c r="C1564" s="177"/>
      <c r="D1564" s="177"/>
    </row>
    <row r="1565" ht="15.75" customHeight="1">
      <c r="A1565" s="212"/>
      <c r="B1565" s="204"/>
      <c r="C1565" s="177"/>
      <c r="D1565" s="177"/>
    </row>
    <row r="1566" ht="15.75" customHeight="1">
      <c r="A1566" s="212"/>
      <c r="B1566" s="204"/>
      <c r="C1566" s="177"/>
      <c r="D1566" s="177"/>
    </row>
    <row r="1567" ht="15.75" customHeight="1">
      <c r="A1567" s="212"/>
      <c r="B1567" s="204"/>
      <c r="C1567" s="177"/>
      <c r="D1567" s="177"/>
    </row>
    <row r="1568" ht="15.75" customHeight="1">
      <c r="A1568" s="212"/>
      <c r="B1568" s="204"/>
      <c r="C1568" s="177"/>
      <c r="D1568" s="177"/>
    </row>
    <row r="1569" ht="15.75" customHeight="1">
      <c r="A1569" s="212"/>
      <c r="B1569" s="204"/>
      <c r="C1569" s="177"/>
      <c r="D1569" s="177"/>
    </row>
    <row r="1570" ht="15.75" customHeight="1">
      <c r="A1570" s="212"/>
      <c r="B1570" s="204"/>
      <c r="C1570" s="177"/>
      <c r="D1570" s="177"/>
    </row>
    <row r="1571" ht="15.75" customHeight="1">
      <c r="A1571" s="212"/>
      <c r="B1571" s="204"/>
      <c r="C1571" s="177"/>
      <c r="D1571" s="177"/>
    </row>
    <row r="1572" ht="15.75" customHeight="1">
      <c r="A1572" s="212"/>
      <c r="B1572" s="204"/>
      <c r="C1572" s="177"/>
      <c r="D1572" s="177"/>
    </row>
    <row r="1573" ht="15.75" customHeight="1">
      <c r="A1573" s="212"/>
      <c r="B1573" s="204"/>
      <c r="C1573" s="177"/>
      <c r="D1573" s="177"/>
    </row>
    <row r="1574" ht="15.75" customHeight="1">
      <c r="A1574" s="212"/>
      <c r="B1574" s="204"/>
      <c r="C1574" s="177"/>
      <c r="D1574" s="177"/>
    </row>
    <row r="1575" ht="15.75" customHeight="1">
      <c r="A1575" s="212"/>
      <c r="B1575" s="204"/>
      <c r="C1575" s="177"/>
      <c r="D1575" s="177"/>
    </row>
    <row r="1576" ht="15.75" customHeight="1">
      <c r="A1576" s="212"/>
      <c r="B1576" s="204"/>
      <c r="C1576" s="177"/>
      <c r="D1576" s="177"/>
    </row>
    <row r="1577" ht="15.75" customHeight="1">
      <c r="A1577" s="212"/>
      <c r="B1577" s="204"/>
      <c r="C1577" s="177"/>
      <c r="D1577" s="177"/>
    </row>
    <row r="1578" ht="15.75" customHeight="1">
      <c r="A1578" s="212"/>
      <c r="B1578" s="204"/>
      <c r="C1578" s="177"/>
      <c r="D1578" s="177"/>
    </row>
    <row r="1579" ht="15.75" customHeight="1">
      <c r="A1579" s="212"/>
      <c r="B1579" s="204"/>
      <c r="C1579" s="177"/>
      <c r="D1579" s="177"/>
    </row>
    <row r="1580" ht="15.75" customHeight="1">
      <c r="A1580" s="212"/>
      <c r="B1580" s="204"/>
      <c r="C1580" s="177"/>
      <c r="D1580" s="177"/>
    </row>
    <row r="1581" ht="15.75" customHeight="1">
      <c r="A1581" s="212"/>
      <c r="B1581" s="204"/>
      <c r="C1581" s="177"/>
      <c r="D1581" s="177"/>
    </row>
    <row r="1582" ht="15.75" customHeight="1">
      <c r="A1582" s="212"/>
      <c r="B1582" s="204"/>
      <c r="C1582" s="177"/>
      <c r="D1582" s="177"/>
    </row>
    <row r="1583" ht="15.75" customHeight="1">
      <c r="A1583" s="212"/>
      <c r="B1583" s="204"/>
      <c r="C1583" s="177"/>
      <c r="D1583" s="177"/>
    </row>
    <row r="1584" ht="15.75" customHeight="1">
      <c r="A1584" s="212"/>
      <c r="B1584" s="204"/>
      <c r="C1584" s="177"/>
      <c r="D1584" s="177"/>
    </row>
    <row r="1585" ht="15.75" customHeight="1">
      <c r="A1585" s="212"/>
      <c r="B1585" s="204"/>
      <c r="C1585" s="177"/>
      <c r="D1585" s="177"/>
    </row>
    <row r="1586" ht="15.75" customHeight="1">
      <c r="A1586" s="212"/>
      <c r="B1586" s="204"/>
      <c r="C1586" s="177"/>
      <c r="D1586" s="177"/>
    </row>
    <row r="1587" ht="15.75" customHeight="1">
      <c r="A1587" s="212"/>
      <c r="B1587" s="204"/>
      <c r="C1587" s="177"/>
      <c r="D1587" s="177"/>
    </row>
    <row r="1588" ht="15.75" customHeight="1">
      <c r="A1588" s="212"/>
      <c r="B1588" s="204"/>
      <c r="C1588" s="177"/>
      <c r="D1588" s="177"/>
    </row>
    <row r="1589" ht="15.75" customHeight="1">
      <c r="A1589" s="212"/>
      <c r="B1589" s="204"/>
      <c r="C1589" s="177"/>
      <c r="D1589" s="177"/>
    </row>
    <row r="1590" ht="15.75" customHeight="1">
      <c r="A1590" s="212"/>
      <c r="B1590" s="204"/>
      <c r="C1590" s="177"/>
      <c r="D1590" s="177"/>
    </row>
    <row r="1591" ht="15.75" customHeight="1">
      <c r="A1591" s="212"/>
      <c r="B1591" s="204"/>
      <c r="C1591" s="177"/>
      <c r="D1591" s="177"/>
    </row>
  </sheetData>
  <conditionalFormatting sqref="A906">
    <cfRule type="expression" dxfId="1" priority="1">
      <formula>($F908&lt;&gt;"")</formula>
    </cfRule>
  </conditionalFormatting>
  <conditionalFormatting sqref="A906">
    <cfRule type="expression" dxfId="0" priority="2">
      <formula>$F908="N"</formula>
    </cfRule>
  </conditionalFormatting>
  <conditionalFormatting sqref="A917 A1207:A1217">
    <cfRule type="expression" dxfId="0" priority="3">
      <formula>$F917="N"</formula>
    </cfRule>
  </conditionalFormatting>
  <conditionalFormatting sqref="A917 A1207:A1217">
    <cfRule type="expression" dxfId="1" priority="4">
      <formula>($F917&lt;&gt;"")</formula>
    </cfRule>
  </conditionalFormatting>
  <conditionalFormatting sqref="A1254:A1471 A1473:A1591">
    <cfRule type="expression" dxfId="0" priority="5">
      <formula>$E1254="N"</formula>
    </cfRule>
  </conditionalFormatting>
  <conditionalFormatting sqref="A1254:A1471 A1473:A1591">
    <cfRule type="expression" dxfId="1" priority="6">
      <formula>($E1254&lt;&gt;"")</formula>
    </cfRule>
  </conditionalFormatting>
  <conditionalFormatting sqref="A751:B751">
    <cfRule type="expression" dxfId="1" priority="7">
      <formula>(#REF!&lt;&gt;"")</formula>
    </cfRule>
  </conditionalFormatting>
  <conditionalFormatting sqref="A751:B751">
    <cfRule type="expression" dxfId="0" priority="8">
      <formula>#REF!="N"</formula>
    </cfRule>
  </conditionalFormatting>
  <conditionalFormatting sqref="A752:A767 B752:B773">
    <cfRule type="expression" dxfId="1" priority="9">
      <formula>(#REF!&lt;&gt;"")</formula>
    </cfRule>
  </conditionalFormatting>
  <conditionalFormatting sqref="A752:A767 B752:B773">
    <cfRule type="expression" dxfId="0" priority="10">
      <formula>#REF!="N"</formula>
    </cfRule>
  </conditionalFormatting>
  <conditionalFormatting sqref="A747:B750">
    <cfRule type="expression" dxfId="1" priority="11">
      <formula>($D766&lt;&gt;"")</formula>
    </cfRule>
  </conditionalFormatting>
  <conditionalFormatting sqref="A747:B750">
    <cfRule type="expression" dxfId="0" priority="12">
      <formula>$D766="N"</formula>
    </cfRule>
  </conditionalFormatting>
  <conditionalFormatting sqref="B133">
    <cfRule type="expression" dxfId="0" priority="13">
      <formula>$D134="N"</formula>
    </cfRule>
  </conditionalFormatting>
  <conditionalFormatting sqref="B133">
    <cfRule type="expression" dxfId="1" priority="14">
      <formula>($D134&lt;&gt;"")</formula>
    </cfRule>
  </conditionalFormatting>
  <conditionalFormatting sqref="A270:A272">
    <cfRule type="expression" dxfId="1" priority="15">
      <formula>(#REF!&lt;&gt;"")</formula>
    </cfRule>
  </conditionalFormatting>
  <conditionalFormatting sqref="A270:A272">
    <cfRule type="expression" dxfId="0" priority="16">
      <formula>#REF!="N"</formula>
    </cfRule>
  </conditionalFormatting>
  <conditionalFormatting sqref="A368">
    <cfRule type="expression" dxfId="1" priority="17">
      <formula>(#REF!&lt;&gt;"")</formula>
    </cfRule>
  </conditionalFormatting>
  <conditionalFormatting sqref="A368">
    <cfRule type="expression" dxfId="0" priority="18">
      <formula>#REF!="N"</formula>
    </cfRule>
  </conditionalFormatting>
  <conditionalFormatting sqref="B799">
    <cfRule type="expression" dxfId="1" priority="19">
      <formula>(#REF!&lt;&gt;"")</formula>
    </cfRule>
  </conditionalFormatting>
  <conditionalFormatting sqref="B799">
    <cfRule type="expression" dxfId="0" priority="20">
      <formula>#REF!="N"</formula>
    </cfRule>
  </conditionalFormatting>
  <conditionalFormatting sqref="B387:B389 B537 B599">
    <cfRule type="expression" dxfId="0" priority="21">
      <formula>#REF!="N"</formula>
    </cfRule>
  </conditionalFormatting>
  <conditionalFormatting sqref="B387:B389 B537 B599">
    <cfRule type="expression" dxfId="1" priority="22">
      <formula>(#REF!&lt;&gt;"")</formula>
    </cfRule>
  </conditionalFormatting>
  <conditionalFormatting sqref="B1269 B1271 B1273 B1275 B1278 B1280">
    <cfRule type="notContainsBlanks" dxfId="2" priority="23">
      <formula>LEN(TRIM(B1269))&gt;0</formula>
    </cfRule>
  </conditionalFormatting>
  <conditionalFormatting sqref="A2:A367 B9:B119 B123:B124 B126:B132 B134:B387 A369:A746 B390:B746 B748 B750 A767:A1471 B767:B831 B842:B1188 B1190:B1591 A1473:A1591">
    <cfRule type="expression" dxfId="0" priority="24">
      <formula>$D2="N"</formula>
    </cfRule>
  </conditionalFormatting>
  <conditionalFormatting sqref="A2:A367 B9:B119 B123:B124 B126:B132 B134:B387 A369:A746 B390:B746 B748 B750 A767:A1471 B767:B831 B842:B1188 B1190:B1591 A1473:A1591">
    <cfRule type="expression" dxfId="1" priority="25">
      <formula>($D2&lt;&gt;"")</formula>
    </cfRule>
  </conditionalFormatting>
  <printOptions gridLines="1" horizontalCentered="1"/>
  <pageMargins bottom="0.75" footer="0.0" header="0.0" left="0.7" right="0.7" top="0.75"/>
  <pageSetup paperSize="9" scale="65" cellComments="atEnd" orientation="portrait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2" width="12.14"/>
    <col customWidth="1" min="3" max="3" width="20.0"/>
    <col customWidth="1" min="4" max="26" width="17.29"/>
  </cols>
  <sheetData>
    <row r="1" ht="15.75" customHeight="1">
      <c r="A1" s="165" t="s">
        <v>0</v>
      </c>
      <c r="B1" s="166" t="s">
        <v>1</v>
      </c>
      <c r="C1" s="167"/>
      <c r="D1" s="167"/>
    </row>
    <row r="2" ht="15.75" customHeight="1">
      <c r="A2" s="168" t="s">
        <v>61</v>
      </c>
      <c r="B2" s="169" t="s">
        <v>62</v>
      </c>
      <c r="C2" s="170"/>
      <c r="D2" s="170"/>
    </row>
    <row r="3" ht="15.75" customHeight="1">
      <c r="A3" s="168" t="s">
        <v>71</v>
      </c>
      <c r="B3" s="171" t="s">
        <v>62</v>
      </c>
      <c r="C3" s="170"/>
      <c r="D3" s="170"/>
    </row>
    <row r="4" ht="15.75" customHeight="1">
      <c r="A4" s="168" t="s">
        <v>127</v>
      </c>
      <c r="B4" s="169" t="s">
        <v>62</v>
      </c>
      <c r="C4" s="170"/>
      <c r="D4" s="170"/>
    </row>
    <row r="5" ht="15.75" customHeight="1">
      <c r="A5" s="168" t="s">
        <v>88</v>
      </c>
      <c r="B5" s="169" t="s">
        <v>62</v>
      </c>
      <c r="C5" s="170"/>
      <c r="D5" s="170"/>
    </row>
    <row r="6" ht="15.75" customHeight="1">
      <c r="A6" s="168" t="s">
        <v>2004</v>
      </c>
      <c r="B6" s="171" t="s">
        <v>62</v>
      </c>
      <c r="C6" s="170"/>
      <c r="D6" s="170"/>
    </row>
    <row r="7" ht="15.75" customHeight="1">
      <c r="A7" s="168" t="s">
        <v>185</v>
      </c>
      <c r="B7" s="171" t="s">
        <v>62</v>
      </c>
      <c r="C7" s="167"/>
      <c r="D7" s="167"/>
    </row>
    <row r="8" ht="15.75" customHeight="1">
      <c r="A8" s="168" t="s">
        <v>220</v>
      </c>
      <c r="B8" s="171" t="s">
        <v>62</v>
      </c>
      <c r="C8" s="173"/>
      <c r="D8" s="173"/>
    </row>
    <row r="9" ht="15.75" customHeight="1">
      <c r="A9" s="172" t="s">
        <v>253</v>
      </c>
      <c r="B9" s="169" t="s">
        <v>62</v>
      </c>
      <c r="C9" s="177"/>
      <c r="D9" s="177"/>
    </row>
    <row r="10" ht="15.75" customHeight="1">
      <c r="A10" s="174" t="s">
        <v>281</v>
      </c>
      <c r="B10" s="171" t="s">
        <v>62</v>
      </c>
      <c r="C10" s="177"/>
      <c r="D10" s="177"/>
    </row>
    <row r="11" ht="15.75" customHeight="1">
      <c r="A11" s="175" t="s">
        <v>300</v>
      </c>
      <c r="B11" s="176" t="s">
        <v>62</v>
      </c>
      <c r="C11" s="167"/>
      <c r="D11" s="167"/>
    </row>
    <row r="12" ht="15.75" customHeight="1">
      <c r="A12" s="168" t="s">
        <v>2005</v>
      </c>
      <c r="B12" s="166" t="s">
        <v>62</v>
      </c>
      <c r="C12" s="167"/>
      <c r="D12" s="167"/>
    </row>
    <row r="13" ht="15.75" customHeight="1">
      <c r="A13" s="168" t="s">
        <v>312</v>
      </c>
      <c r="B13" s="175" t="s">
        <v>62</v>
      </c>
      <c r="C13" s="177"/>
      <c r="D13" s="177"/>
    </row>
    <row r="14" ht="15.75" customHeight="1">
      <c r="A14" s="168" t="s">
        <v>349</v>
      </c>
      <c r="B14" s="168" t="s">
        <v>62</v>
      </c>
      <c r="C14" s="177"/>
      <c r="D14" s="177"/>
    </row>
    <row r="15" ht="15.75" customHeight="1">
      <c r="A15" s="165" t="s">
        <v>380</v>
      </c>
      <c r="B15" s="178" t="s">
        <v>62</v>
      </c>
      <c r="C15" s="180"/>
      <c r="D15" s="180"/>
    </row>
    <row r="16" ht="15.75" customHeight="1">
      <c r="A16" s="179" t="s">
        <v>380</v>
      </c>
      <c r="B16" s="179" t="s">
        <v>62</v>
      </c>
      <c r="C16" s="180"/>
      <c r="D16" s="180"/>
    </row>
    <row r="17" ht="15.75" customHeight="1">
      <c r="A17" s="175" t="s">
        <v>408</v>
      </c>
      <c r="B17" s="176" t="s">
        <v>62</v>
      </c>
      <c r="C17" s="180"/>
      <c r="D17" s="180"/>
    </row>
    <row r="18" ht="15.75" customHeight="1">
      <c r="A18" s="175" t="s">
        <v>2006</v>
      </c>
      <c r="B18" s="176" t="s">
        <v>62</v>
      </c>
      <c r="C18" s="180"/>
      <c r="D18" s="180"/>
    </row>
    <row r="19" ht="15.75" customHeight="1">
      <c r="A19" s="178" t="s">
        <v>470</v>
      </c>
      <c r="B19" s="178" t="s">
        <v>62</v>
      </c>
      <c r="C19" s="180"/>
      <c r="D19" s="180"/>
    </row>
    <row r="20" ht="15.75" customHeight="1">
      <c r="A20" s="179" t="s">
        <v>470</v>
      </c>
      <c r="B20" s="179" t="s">
        <v>62</v>
      </c>
      <c r="C20" s="181"/>
      <c r="D20" s="181"/>
    </row>
    <row r="21" ht="15.75" customHeight="1">
      <c r="A21" s="178" t="s">
        <v>519</v>
      </c>
      <c r="B21" s="178" t="s">
        <v>62</v>
      </c>
      <c r="C21" s="170"/>
      <c r="D21" s="170"/>
    </row>
    <row r="22" ht="15.75" customHeight="1">
      <c r="A22" s="178" t="s">
        <v>545</v>
      </c>
      <c r="B22" s="178" t="s">
        <v>62</v>
      </c>
      <c r="C22" s="180"/>
      <c r="D22" s="180"/>
    </row>
    <row r="23" ht="15.75" customHeight="1">
      <c r="A23" s="178" t="s">
        <v>546</v>
      </c>
      <c r="B23" s="178" t="s">
        <v>62</v>
      </c>
      <c r="C23" s="180"/>
      <c r="D23" s="180"/>
    </row>
    <row r="24" ht="15.75" customHeight="1">
      <c r="A24" s="172" t="s">
        <v>574</v>
      </c>
      <c r="B24" s="172" t="s">
        <v>62</v>
      </c>
      <c r="C24" s="180"/>
      <c r="D24" s="180"/>
    </row>
    <row r="25" ht="15.75" customHeight="1">
      <c r="A25" s="174" t="s">
        <v>594</v>
      </c>
      <c r="B25" s="174" t="s">
        <v>62</v>
      </c>
      <c r="C25" s="173"/>
      <c r="D25" s="173"/>
    </row>
    <row r="26" ht="15.75" customHeight="1">
      <c r="A26" s="174" t="s">
        <v>609</v>
      </c>
      <c r="B26" s="174" t="s">
        <v>62</v>
      </c>
      <c r="C26" s="173"/>
      <c r="D26" s="173"/>
    </row>
    <row r="27" ht="15.75" customHeight="1">
      <c r="A27" s="172" t="s">
        <v>635</v>
      </c>
      <c r="B27" s="172" t="s">
        <v>62</v>
      </c>
      <c r="C27" s="173"/>
      <c r="D27" s="173"/>
    </row>
    <row r="28" ht="15.75" customHeight="1">
      <c r="A28" s="174" t="s">
        <v>665</v>
      </c>
      <c r="B28" s="174" t="s">
        <v>62</v>
      </c>
      <c r="C28" s="173"/>
      <c r="D28" s="173"/>
    </row>
    <row r="29" ht="15.75" customHeight="1">
      <c r="A29" s="174" t="s">
        <v>669</v>
      </c>
      <c r="B29" s="174" t="s">
        <v>62</v>
      </c>
      <c r="C29" s="173"/>
      <c r="D29" s="173"/>
    </row>
    <row r="30" ht="15.75" customHeight="1">
      <c r="A30" s="174" t="s">
        <v>680</v>
      </c>
      <c r="B30" s="174" t="s">
        <v>62</v>
      </c>
      <c r="C30" s="173"/>
      <c r="D30" s="173"/>
    </row>
    <row r="31" ht="15.75" customHeight="1">
      <c r="A31" s="174" t="s">
        <v>684</v>
      </c>
      <c r="B31" s="174" t="s">
        <v>62</v>
      </c>
      <c r="C31" s="173"/>
      <c r="D31" s="173"/>
    </row>
    <row r="32" ht="15.75" customHeight="1">
      <c r="A32" s="168" t="s">
        <v>685</v>
      </c>
      <c r="B32" s="174" t="s">
        <v>62</v>
      </c>
      <c r="C32" s="173"/>
      <c r="D32" s="173"/>
    </row>
    <row r="33" ht="15.75" customHeight="1">
      <c r="A33" s="168" t="s">
        <v>717</v>
      </c>
      <c r="B33" s="174" t="s">
        <v>62</v>
      </c>
      <c r="C33" s="180"/>
      <c r="D33" s="180"/>
    </row>
    <row r="34" ht="15.75" customHeight="1">
      <c r="A34" s="168" t="s">
        <v>2007</v>
      </c>
      <c r="B34" s="174" t="s">
        <v>62</v>
      </c>
      <c r="C34" s="173"/>
      <c r="D34" s="173"/>
    </row>
    <row r="35" ht="15.75" customHeight="1">
      <c r="A35" s="168" t="s">
        <v>761</v>
      </c>
      <c r="B35" s="174" t="s">
        <v>62</v>
      </c>
      <c r="C35" s="173"/>
      <c r="D35" s="173"/>
    </row>
    <row r="36" ht="15.75" customHeight="1">
      <c r="A36" s="168" t="s">
        <v>775</v>
      </c>
      <c r="B36" s="174" t="s">
        <v>62</v>
      </c>
      <c r="C36" s="180"/>
      <c r="D36" s="180"/>
    </row>
    <row r="37" ht="15.75" customHeight="1">
      <c r="A37" s="178" t="s">
        <v>789</v>
      </c>
      <c r="B37" s="174" t="s">
        <v>62</v>
      </c>
      <c r="C37" s="180"/>
      <c r="D37" s="180"/>
    </row>
    <row r="38" ht="15.75" customHeight="1">
      <c r="A38" s="174" t="s">
        <v>789</v>
      </c>
      <c r="B38" s="174" t="s">
        <v>62</v>
      </c>
      <c r="C38" s="180"/>
      <c r="D38" s="180"/>
    </row>
    <row r="39" ht="15.75" customHeight="1">
      <c r="A39" s="172" t="s">
        <v>821</v>
      </c>
      <c r="B39" s="174" t="s">
        <v>62</v>
      </c>
      <c r="C39" s="180"/>
      <c r="D39" s="180"/>
    </row>
    <row r="40" ht="15.75" customHeight="1">
      <c r="A40" s="174" t="s">
        <v>823</v>
      </c>
      <c r="B40" s="174" t="s">
        <v>62</v>
      </c>
      <c r="C40" s="170"/>
      <c r="D40" s="170"/>
    </row>
    <row r="41" ht="15.75" customHeight="1">
      <c r="A41" s="174" t="s">
        <v>824</v>
      </c>
      <c r="B41" s="174" t="s">
        <v>62</v>
      </c>
      <c r="C41" s="173"/>
      <c r="D41" s="173"/>
    </row>
    <row r="42" ht="15.75" customHeight="1">
      <c r="A42" s="174" t="s">
        <v>825</v>
      </c>
      <c r="B42" s="174" t="s">
        <v>62</v>
      </c>
      <c r="C42" s="173"/>
      <c r="D42" s="173"/>
    </row>
    <row r="43" ht="15.75" customHeight="1">
      <c r="A43" s="174" t="s">
        <v>834</v>
      </c>
      <c r="B43" s="174" t="s">
        <v>62</v>
      </c>
      <c r="C43" s="173"/>
      <c r="D43" s="173"/>
    </row>
    <row r="44" ht="15.75" customHeight="1">
      <c r="A44" s="174" t="s">
        <v>882</v>
      </c>
      <c r="B44" s="174" t="s">
        <v>62</v>
      </c>
      <c r="C44" s="173"/>
      <c r="D44" s="173"/>
    </row>
    <row r="45" ht="15.75" customHeight="1">
      <c r="A45" s="174" t="s">
        <v>902</v>
      </c>
      <c r="B45" s="174" t="s">
        <v>62</v>
      </c>
      <c r="C45" s="173"/>
      <c r="D45" s="173"/>
    </row>
    <row r="46" ht="15.75" customHeight="1">
      <c r="A46" s="174" t="s">
        <v>970</v>
      </c>
      <c r="B46" s="174" t="s">
        <v>62</v>
      </c>
      <c r="C46" s="173"/>
      <c r="D46" s="173"/>
    </row>
    <row r="47" ht="15.75" customHeight="1">
      <c r="A47" s="174" t="s">
        <v>985</v>
      </c>
      <c r="B47" s="174" t="s">
        <v>62</v>
      </c>
      <c r="C47" s="173"/>
      <c r="D47" s="173"/>
    </row>
    <row r="48" ht="15.75" customHeight="1">
      <c r="A48" s="174" t="s">
        <v>1004</v>
      </c>
      <c r="B48" s="174" t="s">
        <v>62</v>
      </c>
      <c r="C48" s="173"/>
      <c r="D48" s="173"/>
    </row>
    <row r="49" ht="15.75" customHeight="1">
      <c r="A49" s="174" t="s">
        <v>1111</v>
      </c>
      <c r="B49" s="174" t="s">
        <v>62</v>
      </c>
      <c r="C49" s="173"/>
      <c r="D49" s="173"/>
    </row>
    <row r="50" ht="15.75" customHeight="1">
      <c r="A50" s="172" t="s">
        <v>1150</v>
      </c>
      <c r="B50" s="174" t="s">
        <v>62</v>
      </c>
      <c r="C50" s="173"/>
      <c r="D50" s="173"/>
    </row>
    <row r="51" ht="15.75" customHeight="1">
      <c r="A51" s="175" t="s">
        <v>2008</v>
      </c>
      <c r="B51" s="174" t="s">
        <v>62</v>
      </c>
      <c r="C51" s="173"/>
      <c r="D51" s="173"/>
    </row>
    <row r="52" ht="15.75" customHeight="1">
      <c r="A52" s="168" t="s">
        <v>1170</v>
      </c>
      <c r="B52" s="174" t="s">
        <v>62</v>
      </c>
      <c r="C52" s="173"/>
      <c r="D52" s="173"/>
    </row>
    <row r="53" ht="15.75" customHeight="1">
      <c r="A53" s="168" t="s">
        <v>1176</v>
      </c>
      <c r="B53" s="168" t="s">
        <v>62</v>
      </c>
      <c r="C53" s="173"/>
      <c r="D53" s="173"/>
    </row>
    <row r="54" ht="15.75" customHeight="1">
      <c r="A54" s="168" t="s">
        <v>1181</v>
      </c>
      <c r="B54" s="168" t="s">
        <v>62</v>
      </c>
      <c r="C54" s="173"/>
      <c r="D54" s="173"/>
    </row>
    <row r="55" ht="15.75" customHeight="1">
      <c r="A55" s="168" t="s">
        <v>1190</v>
      </c>
      <c r="B55" s="168" t="s">
        <v>62</v>
      </c>
      <c r="C55" s="173"/>
      <c r="D55" s="173"/>
    </row>
    <row r="56" ht="15.75" customHeight="1">
      <c r="A56" s="174" t="s">
        <v>1221</v>
      </c>
      <c r="B56" s="168" t="s">
        <v>62</v>
      </c>
      <c r="C56" s="173"/>
      <c r="D56" s="173"/>
    </row>
    <row r="57" ht="15.75" customHeight="1">
      <c r="A57" s="174" t="s">
        <v>1222</v>
      </c>
      <c r="B57" s="168" t="s">
        <v>62</v>
      </c>
      <c r="C57" s="173"/>
      <c r="D57" s="173"/>
    </row>
    <row r="58" ht="15.75" customHeight="1">
      <c r="A58" s="174" t="s">
        <v>1225</v>
      </c>
      <c r="B58" s="168" t="s">
        <v>62</v>
      </c>
      <c r="C58" s="173"/>
      <c r="D58" s="173"/>
    </row>
    <row r="59" ht="15.75" customHeight="1">
      <c r="A59" s="174" t="s">
        <v>1232</v>
      </c>
      <c r="B59" s="168" t="s">
        <v>62</v>
      </c>
      <c r="C59" s="173"/>
      <c r="D59" s="173"/>
    </row>
    <row r="60" ht="15.75" customHeight="1">
      <c r="A60" s="174" t="s">
        <v>1245</v>
      </c>
      <c r="B60" s="168" t="s">
        <v>62</v>
      </c>
      <c r="C60" s="173"/>
      <c r="D60" s="173"/>
    </row>
    <row r="61" ht="15.75" customHeight="1">
      <c r="A61" s="175" t="s">
        <v>2009</v>
      </c>
      <c r="B61" s="175" t="s">
        <v>62</v>
      </c>
      <c r="C61" s="173"/>
      <c r="D61" s="173"/>
    </row>
    <row r="62" ht="15.75" customHeight="1">
      <c r="A62" s="168" t="s">
        <v>1295</v>
      </c>
      <c r="B62" s="168" t="s">
        <v>62</v>
      </c>
      <c r="C62" s="173"/>
      <c r="D62" s="173"/>
    </row>
    <row r="63" ht="15.75" customHeight="1">
      <c r="A63" s="175" t="s">
        <v>1310</v>
      </c>
      <c r="B63" s="168" t="s">
        <v>62</v>
      </c>
      <c r="C63" s="173"/>
      <c r="D63" s="173"/>
    </row>
    <row r="64" ht="15.75" customHeight="1">
      <c r="A64" s="175" t="s">
        <v>1304</v>
      </c>
      <c r="B64" s="175" t="s">
        <v>62</v>
      </c>
      <c r="C64" s="173"/>
      <c r="D64" s="173"/>
    </row>
    <row r="65" ht="15.75" customHeight="1">
      <c r="A65" s="168" t="s">
        <v>1326</v>
      </c>
      <c r="B65" s="168" t="s">
        <v>62</v>
      </c>
      <c r="C65" s="173"/>
      <c r="D65" s="173"/>
    </row>
    <row r="66" ht="15.75" customHeight="1">
      <c r="A66" s="168" t="s">
        <v>1328</v>
      </c>
      <c r="B66" s="168" t="s">
        <v>62</v>
      </c>
      <c r="C66" s="173"/>
      <c r="D66" s="173"/>
    </row>
    <row r="67" ht="15.75" customHeight="1">
      <c r="A67" s="172" t="s">
        <v>1371</v>
      </c>
      <c r="B67" s="172" t="s">
        <v>62</v>
      </c>
      <c r="C67" s="173"/>
      <c r="D67" s="173"/>
    </row>
    <row r="68" ht="15.75" customHeight="1">
      <c r="A68" s="168" t="s">
        <v>1401</v>
      </c>
      <c r="B68" s="175" t="s">
        <v>62</v>
      </c>
      <c r="C68" s="173"/>
      <c r="D68" s="173"/>
    </row>
    <row r="69" ht="15.75" customHeight="1">
      <c r="A69" s="168" t="s">
        <v>1429</v>
      </c>
      <c r="B69" s="168" t="s">
        <v>62</v>
      </c>
      <c r="C69" s="173"/>
      <c r="D69" s="173"/>
    </row>
    <row r="70" ht="15.75" customHeight="1">
      <c r="A70" s="168" t="s">
        <v>1451</v>
      </c>
      <c r="B70" s="168" t="s">
        <v>62</v>
      </c>
      <c r="C70" s="173"/>
      <c r="D70" s="173"/>
    </row>
    <row r="71" ht="15.75" customHeight="1">
      <c r="A71" s="168" t="s">
        <v>1525</v>
      </c>
      <c r="B71" s="168" t="s">
        <v>62</v>
      </c>
      <c r="C71" s="173"/>
      <c r="D71" s="173"/>
    </row>
    <row r="72" ht="15.75" customHeight="1">
      <c r="A72" s="174" t="s">
        <v>2010</v>
      </c>
      <c r="B72" s="168" t="s">
        <v>62</v>
      </c>
      <c r="C72" s="173"/>
      <c r="D72" s="173"/>
    </row>
    <row r="73" ht="15.75" customHeight="1">
      <c r="A73" s="174" t="s">
        <v>1558</v>
      </c>
      <c r="B73" s="168" t="s">
        <v>62</v>
      </c>
      <c r="C73" s="173"/>
      <c r="D73" s="173"/>
    </row>
    <row r="74" ht="15.75" customHeight="1">
      <c r="A74" s="174" t="s">
        <v>1559</v>
      </c>
      <c r="B74" s="168" t="s">
        <v>62</v>
      </c>
      <c r="C74" s="173"/>
      <c r="D74" s="173"/>
    </row>
    <row r="75" ht="15.75" customHeight="1">
      <c r="A75" s="174" t="s">
        <v>1592</v>
      </c>
      <c r="B75" s="168" t="s">
        <v>62</v>
      </c>
      <c r="C75" s="173"/>
      <c r="D75" s="173"/>
    </row>
    <row r="76" ht="15.75" customHeight="1">
      <c r="A76" s="174" t="s">
        <v>1595</v>
      </c>
      <c r="B76" s="168" t="s">
        <v>62</v>
      </c>
      <c r="C76" s="173"/>
      <c r="D76" s="173"/>
    </row>
    <row r="77" ht="15.75" customHeight="1">
      <c r="A77" s="172" t="s">
        <v>1606</v>
      </c>
      <c r="B77" s="172" t="s">
        <v>62</v>
      </c>
      <c r="C77" s="173"/>
      <c r="D77" s="173"/>
    </row>
    <row r="78" ht="15.75" customHeight="1">
      <c r="A78" s="172" t="s">
        <v>1611</v>
      </c>
      <c r="B78" s="182" t="s">
        <v>62</v>
      </c>
      <c r="C78" s="173"/>
      <c r="D78" s="173"/>
    </row>
    <row r="79" ht="15.75" customHeight="1">
      <c r="A79" s="174" t="s">
        <v>1612</v>
      </c>
      <c r="B79" s="183" t="s">
        <v>62</v>
      </c>
      <c r="C79" s="173"/>
      <c r="D79" s="173"/>
    </row>
    <row r="80" ht="15.75" customHeight="1">
      <c r="A80" s="174" t="s">
        <v>1661</v>
      </c>
      <c r="B80" s="183" t="s">
        <v>62</v>
      </c>
      <c r="C80" s="173"/>
      <c r="D80" s="173"/>
    </row>
    <row r="81" ht="15.75" customHeight="1">
      <c r="A81" s="174" t="s">
        <v>1686</v>
      </c>
      <c r="B81" s="183" t="s">
        <v>62</v>
      </c>
      <c r="C81" s="173"/>
      <c r="D81" s="173"/>
    </row>
    <row r="82" ht="15.75" customHeight="1">
      <c r="A82" s="174" t="s">
        <v>1687</v>
      </c>
      <c r="B82" s="183" t="s">
        <v>62</v>
      </c>
      <c r="C82" s="173"/>
      <c r="D82" s="173"/>
    </row>
    <row r="83" ht="15.75" customHeight="1">
      <c r="A83" s="174" t="s">
        <v>1688</v>
      </c>
      <c r="B83" s="183" t="s">
        <v>62</v>
      </c>
      <c r="C83" s="173"/>
      <c r="D83" s="173"/>
    </row>
    <row r="84" ht="15.75" customHeight="1">
      <c r="A84" s="168" t="s">
        <v>1694</v>
      </c>
      <c r="B84" s="168" t="s">
        <v>62</v>
      </c>
      <c r="C84" s="173"/>
      <c r="D84" s="173"/>
    </row>
    <row r="85" ht="15.75" customHeight="1">
      <c r="A85" s="168" t="s">
        <v>2011</v>
      </c>
      <c r="B85" s="168" t="s">
        <v>62</v>
      </c>
      <c r="C85" s="173"/>
      <c r="D85" s="173"/>
    </row>
    <row r="86" ht="15.75" customHeight="1">
      <c r="A86" s="168" t="s">
        <v>1742</v>
      </c>
      <c r="B86" s="168" t="s">
        <v>62</v>
      </c>
      <c r="C86" s="173"/>
      <c r="D86" s="173"/>
    </row>
    <row r="87" ht="15.75" customHeight="1">
      <c r="A87" s="168" t="s">
        <v>1826</v>
      </c>
      <c r="B87" s="168" t="s">
        <v>62</v>
      </c>
      <c r="C87" s="173"/>
      <c r="D87" s="173"/>
    </row>
    <row r="88" ht="15.75" customHeight="1">
      <c r="A88" s="168" t="s">
        <v>1831</v>
      </c>
      <c r="B88" s="168" t="s">
        <v>62</v>
      </c>
      <c r="C88" s="173"/>
      <c r="D88" s="173"/>
    </row>
    <row r="89" ht="15.75" customHeight="1">
      <c r="A89" s="168" t="s">
        <v>1885</v>
      </c>
      <c r="B89" s="168" t="s">
        <v>62</v>
      </c>
      <c r="C89" s="173"/>
      <c r="D89" s="173"/>
    </row>
    <row r="90" ht="15.75" customHeight="1">
      <c r="A90" s="168" t="s">
        <v>1888</v>
      </c>
      <c r="B90" s="168" t="s">
        <v>62</v>
      </c>
      <c r="C90" s="173"/>
      <c r="D90" s="173"/>
    </row>
    <row r="91" ht="15.75" customHeight="1">
      <c r="A91" s="168" t="s">
        <v>1888</v>
      </c>
      <c r="B91" s="168" t="s">
        <v>62</v>
      </c>
      <c r="C91" s="173"/>
      <c r="D91" s="173"/>
    </row>
    <row r="92" ht="15.75" customHeight="1">
      <c r="A92" s="175" t="s">
        <v>1894</v>
      </c>
      <c r="B92" s="175" t="s">
        <v>62</v>
      </c>
      <c r="C92" s="173"/>
      <c r="D92" s="173"/>
    </row>
    <row r="93" ht="15.75" customHeight="1">
      <c r="A93" s="175" t="s">
        <v>1922</v>
      </c>
      <c r="B93" s="175" t="s">
        <v>62</v>
      </c>
      <c r="C93" s="173"/>
      <c r="D93" s="173"/>
    </row>
    <row r="94" ht="15.75" customHeight="1">
      <c r="A94" s="168" t="s">
        <v>1963</v>
      </c>
      <c r="B94" s="168" t="s">
        <v>62</v>
      </c>
      <c r="C94" s="173"/>
      <c r="D94" s="173"/>
    </row>
    <row r="95" ht="15.75" customHeight="1">
      <c r="A95" s="174" t="s">
        <v>132</v>
      </c>
      <c r="B95" s="184" t="s">
        <v>133</v>
      </c>
      <c r="C95" s="185" t="s">
        <v>2012</v>
      </c>
      <c r="D95" s="180"/>
    </row>
    <row r="96" ht="15.75" customHeight="1">
      <c r="A96" s="174" t="s">
        <v>273</v>
      </c>
      <c r="B96" s="184" t="s">
        <v>133</v>
      </c>
      <c r="C96" s="180"/>
      <c r="D96" s="180"/>
    </row>
    <row r="97" ht="15.75" customHeight="1">
      <c r="A97" s="174" t="s">
        <v>898</v>
      </c>
      <c r="B97" s="184" t="s">
        <v>133</v>
      </c>
      <c r="C97" s="180"/>
      <c r="D97" s="180"/>
    </row>
    <row r="98" ht="15.75" customHeight="1">
      <c r="A98" s="172" t="s">
        <v>2013</v>
      </c>
      <c r="B98" s="186" t="s">
        <v>133</v>
      </c>
      <c r="C98" s="180"/>
      <c r="D98" s="180"/>
    </row>
    <row r="99" ht="15.75" customHeight="1">
      <c r="A99" s="175" t="s">
        <v>1053</v>
      </c>
      <c r="B99" s="186" t="s">
        <v>133</v>
      </c>
      <c r="C99" s="173"/>
      <c r="D99" s="173"/>
    </row>
    <row r="100" ht="15.75" customHeight="1">
      <c r="A100" s="175" t="s">
        <v>1281</v>
      </c>
      <c r="B100" s="186" t="s">
        <v>133</v>
      </c>
      <c r="C100" s="173"/>
      <c r="D100" s="173"/>
    </row>
    <row r="101" ht="15.75" customHeight="1">
      <c r="A101" s="187" t="s">
        <v>1394</v>
      </c>
      <c r="B101" s="186" t="s">
        <v>133</v>
      </c>
      <c r="C101" s="173"/>
      <c r="D101" s="173"/>
    </row>
    <row r="102" ht="15.75" customHeight="1">
      <c r="A102" s="187" t="s">
        <v>1394</v>
      </c>
      <c r="B102" s="186" t="s">
        <v>133</v>
      </c>
      <c r="C102" s="180"/>
      <c r="D102" s="180"/>
    </row>
    <row r="103" ht="15.75" customHeight="1">
      <c r="A103" s="188" t="s">
        <v>2014</v>
      </c>
      <c r="B103" s="184" t="s">
        <v>133</v>
      </c>
      <c r="C103" s="180"/>
      <c r="D103" s="180"/>
    </row>
    <row r="104" ht="15.75" customHeight="1">
      <c r="A104" s="168" t="s">
        <v>2015</v>
      </c>
      <c r="B104" s="189" t="s">
        <v>1271</v>
      </c>
      <c r="C104" s="167" t="s">
        <v>2012</v>
      </c>
      <c r="D104" s="167"/>
    </row>
    <row r="105" ht="15.75" customHeight="1">
      <c r="A105" s="174" t="s">
        <v>1540</v>
      </c>
      <c r="B105" s="189" t="s">
        <v>1271</v>
      </c>
      <c r="C105" s="170"/>
      <c r="D105" s="170"/>
    </row>
    <row r="106" ht="15.75" customHeight="1">
      <c r="A106" s="168" t="s">
        <v>1846</v>
      </c>
      <c r="B106" s="189" t="s">
        <v>1271</v>
      </c>
      <c r="C106" s="167"/>
      <c r="D106" s="167"/>
    </row>
    <row r="107" ht="15.75" customHeight="1">
      <c r="A107" s="168" t="s">
        <v>1948</v>
      </c>
      <c r="B107" s="186" t="s">
        <v>1271</v>
      </c>
      <c r="C107" s="173"/>
      <c r="D107" s="173"/>
    </row>
    <row r="108" ht="15.75" customHeight="1">
      <c r="A108" s="168" t="s">
        <v>322</v>
      </c>
      <c r="B108" s="189" t="s">
        <v>323</v>
      </c>
      <c r="C108" s="167" t="s">
        <v>2012</v>
      </c>
      <c r="D108" s="167"/>
    </row>
    <row r="109" ht="15.75" customHeight="1">
      <c r="A109" s="174" t="s">
        <v>1212</v>
      </c>
      <c r="B109" s="189" t="s">
        <v>323</v>
      </c>
      <c r="C109" s="170"/>
      <c r="D109" s="170"/>
    </row>
    <row r="110" ht="15.75" customHeight="1">
      <c r="A110" s="175" t="s">
        <v>2016</v>
      </c>
      <c r="B110" s="186" t="s">
        <v>323</v>
      </c>
      <c r="C110" s="173"/>
      <c r="D110" s="173"/>
    </row>
    <row r="111" ht="15.75" customHeight="1">
      <c r="A111" s="174" t="s">
        <v>1958</v>
      </c>
      <c r="B111" s="186" t="s">
        <v>323</v>
      </c>
      <c r="C111" s="180"/>
      <c r="D111" s="180"/>
    </row>
    <row r="112" ht="15.75" customHeight="1">
      <c r="A112" s="175" t="s">
        <v>1960</v>
      </c>
      <c r="B112" s="186" t="s">
        <v>323</v>
      </c>
      <c r="C112" s="173"/>
      <c r="D112" s="173"/>
    </row>
    <row r="113" ht="15.75" customHeight="1">
      <c r="A113" s="172" t="s">
        <v>1959</v>
      </c>
      <c r="B113" s="186" t="s">
        <v>323</v>
      </c>
      <c r="C113" s="180"/>
      <c r="D113" s="180"/>
    </row>
    <row r="114" ht="15.75" customHeight="1">
      <c r="A114" s="175" t="s">
        <v>2017</v>
      </c>
      <c r="B114" s="189" t="s">
        <v>295</v>
      </c>
      <c r="C114" s="167" t="s">
        <v>2012</v>
      </c>
      <c r="D114" s="167"/>
    </row>
    <row r="115" ht="15.75" customHeight="1">
      <c r="A115" s="175" t="s">
        <v>596</v>
      </c>
      <c r="B115" s="189" t="s">
        <v>295</v>
      </c>
      <c r="C115" s="167"/>
      <c r="D115" s="167"/>
    </row>
    <row r="116" ht="15.75" customHeight="1">
      <c r="A116" s="172" t="s">
        <v>682</v>
      </c>
      <c r="B116" s="189" t="s">
        <v>295</v>
      </c>
      <c r="C116" s="170"/>
      <c r="D116" s="170"/>
    </row>
    <row r="117" ht="15.75" customHeight="1">
      <c r="A117" s="174" t="s">
        <v>731</v>
      </c>
      <c r="B117" s="190" t="s">
        <v>295</v>
      </c>
      <c r="C117" s="170"/>
      <c r="D117" s="170"/>
    </row>
    <row r="118" ht="15.75" customHeight="1">
      <c r="A118" s="175" t="s">
        <v>1562</v>
      </c>
      <c r="B118" s="186" t="s">
        <v>295</v>
      </c>
      <c r="C118" s="173"/>
      <c r="D118" s="173"/>
    </row>
    <row r="119" ht="15.75" customHeight="1">
      <c r="A119" s="172" t="s">
        <v>2018</v>
      </c>
      <c r="B119" s="186" t="s">
        <v>295</v>
      </c>
      <c r="C119" s="180"/>
      <c r="D119" s="180"/>
    </row>
    <row r="120" ht="15.75" customHeight="1">
      <c r="A120" s="174" t="s">
        <v>226</v>
      </c>
      <c r="B120" s="189" t="s">
        <v>227</v>
      </c>
      <c r="C120" s="191" t="s">
        <v>2012</v>
      </c>
      <c r="D120" s="170"/>
    </row>
    <row r="121" ht="15.75" customHeight="1">
      <c r="A121" s="174" t="s">
        <v>548</v>
      </c>
      <c r="B121" s="190" t="s">
        <v>227</v>
      </c>
      <c r="C121" s="191"/>
      <c r="D121" s="170"/>
    </row>
    <row r="122" ht="15.75" customHeight="1">
      <c r="A122" s="174" t="s">
        <v>583</v>
      </c>
      <c r="B122" s="190" t="s">
        <v>227</v>
      </c>
      <c r="C122" s="191"/>
      <c r="D122" s="170"/>
    </row>
    <row r="123" ht="15.75" customHeight="1">
      <c r="A123" s="172" t="s">
        <v>1104</v>
      </c>
      <c r="B123" s="186" t="s">
        <v>227</v>
      </c>
      <c r="C123" s="180"/>
      <c r="D123" s="180"/>
    </row>
    <row r="124" ht="15.75" customHeight="1">
      <c r="A124" s="175" t="s">
        <v>1149</v>
      </c>
      <c r="B124" s="186" t="s">
        <v>227</v>
      </c>
      <c r="C124" s="173"/>
      <c r="D124" s="173"/>
    </row>
    <row r="125" ht="15.75" customHeight="1">
      <c r="A125" s="172" t="s">
        <v>1204</v>
      </c>
      <c r="B125" s="186" t="s">
        <v>227</v>
      </c>
      <c r="C125" s="180"/>
      <c r="D125" s="180"/>
    </row>
    <row r="126" ht="15.75" customHeight="1">
      <c r="A126" s="174" t="s">
        <v>599</v>
      </c>
      <c r="B126" s="168" t="s">
        <v>600</v>
      </c>
      <c r="C126" s="185" t="s">
        <v>2012</v>
      </c>
      <c r="D126" s="180"/>
    </row>
    <row r="127" ht="15.75" customHeight="1">
      <c r="A127" s="174" t="s">
        <v>2019</v>
      </c>
      <c r="B127" s="175" t="s">
        <v>600</v>
      </c>
      <c r="C127" s="185"/>
      <c r="D127" s="180"/>
    </row>
    <row r="128" ht="15.75" customHeight="1">
      <c r="A128" s="174" t="s">
        <v>2020</v>
      </c>
      <c r="B128" s="168" t="s">
        <v>600</v>
      </c>
      <c r="C128" s="185"/>
      <c r="D128" s="180"/>
    </row>
    <row r="129" ht="15.75" customHeight="1">
      <c r="A129" s="174" t="s">
        <v>1110</v>
      </c>
      <c r="B129" s="168" t="s">
        <v>600</v>
      </c>
      <c r="C129" s="185"/>
      <c r="D129" s="180"/>
    </row>
    <row r="130" ht="15.75" customHeight="1">
      <c r="A130" s="174" t="s">
        <v>1724</v>
      </c>
      <c r="B130" s="175" t="s">
        <v>600</v>
      </c>
      <c r="C130" s="180"/>
      <c r="D130" s="180"/>
    </row>
    <row r="131" ht="15.75" customHeight="1">
      <c r="A131" s="176" t="s">
        <v>579</v>
      </c>
      <c r="B131" s="176" t="s">
        <v>580</v>
      </c>
      <c r="C131" s="192" t="s">
        <v>2021</v>
      </c>
      <c r="D131" s="167"/>
    </row>
    <row r="132" ht="15.75" customHeight="1">
      <c r="A132" s="166" t="s">
        <v>627</v>
      </c>
      <c r="B132" s="166" t="s">
        <v>580</v>
      </c>
      <c r="C132" s="192"/>
      <c r="D132" s="167"/>
    </row>
    <row r="133" ht="15.75" customHeight="1">
      <c r="A133" s="172" t="s">
        <v>2022</v>
      </c>
      <c r="B133" s="172" t="s">
        <v>580</v>
      </c>
      <c r="C133" s="180"/>
      <c r="D133" s="180"/>
    </row>
    <row r="134" ht="15.75" customHeight="1">
      <c r="A134" s="175" t="s">
        <v>956</v>
      </c>
      <c r="B134" s="175" t="s">
        <v>580</v>
      </c>
      <c r="C134" s="173"/>
      <c r="D134" s="173"/>
    </row>
    <row r="135" ht="15.75" customHeight="1">
      <c r="A135" s="172" t="s">
        <v>957</v>
      </c>
      <c r="B135" s="172" t="s">
        <v>580</v>
      </c>
      <c r="C135" s="180"/>
      <c r="D135" s="180"/>
    </row>
    <row r="136" ht="15.75" customHeight="1">
      <c r="A136" s="172" t="s">
        <v>1005</v>
      </c>
      <c r="B136" s="172" t="s">
        <v>580</v>
      </c>
      <c r="C136" s="180"/>
      <c r="D136" s="180"/>
    </row>
    <row r="137" ht="15.75" customHeight="1">
      <c r="A137" s="172" t="s">
        <v>1054</v>
      </c>
      <c r="B137" s="172" t="s">
        <v>580</v>
      </c>
      <c r="C137" s="180"/>
      <c r="D137" s="180"/>
    </row>
    <row r="138" ht="15.75" customHeight="1">
      <c r="A138" s="174" t="s">
        <v>1463</v>
      </c>
      <c r="B138" s="172" t="s">
        <v>580</v>
      </c>
      <c r="C138" s="180"/>
      <c r="D138" s="180"/>
    </row>
    <row r="139" ht="15.75" customHeight="1">
      <c r="A139" s="174" t="s">
        <v>1855</v>
      </c>
      <c r="B139" s="172" t="s">
        <v>580</v>
      </c>
      <c r="C139" s="180"/>
      <c r="D139" s="180"/>
    </row>
    <row r="140" ht="15.75" customHeight="1">
      <c r="A140" s="174" t="s">
        <v>144</v>
      </c>
      <c r="B140" s="189" t="s">
        <v>145</v>
      </c>
      <c r="C140" s="170" t="s">
        <v>2012</v>
      </c>
      <c r="D140" s="170"/>
    </row>
    <row r="141" ht="15.75" customHeight="1">
      <c r="A141" s="174" t="s">
        <v>686</v>
      </c>
      <c r="B141" s="189" t="s">
        <v>145</v>
      </c>
      <c r="C141" s="170"/>
      <c r="D141" s="170"/>
    </row>
    <row r="142" ht="15.75" customHeight="1">
      <c r="A142" s="168" t="s">
        <v>1112</v>
      </c>
      <c r="B142" s="189" t="s">
        <v>145</v>
      </c>
      <c r="C142" s="167"/>
      <c r="D142" s="167"/>
    </row>
    <row r="143" ht="15.75" customHeight="1">
      <c r="A143" s="168" t="s">
        <v>1182</v>
      </c>
      <c r="B143" s="189" t="s">
        <v>145</v>
      </c>
      <c r="C143" s="193"/>
      <c r="D143" s="193"/>
    </row>
    <row r="144" ht="15.75" customHeight="1">
      <c r="A144" s="168" t="s">
        <v>1183</v>
      </c>
      <c r="B144" s="189" t="s">
        <v>145</v>
      </c>
      <c r="C144" s="167"/>
      <c r="D144" s="167"/>
    </row>
    <row r="145" ht="15.75" customHeight="1">
      <c r="A145" s="168" t="s">
        <v>1560</v>
      </c>
      <c r="B145" s="186" t="s">
        <v>145</v>
      </c>
      <c r="C145" s="173"/>
      <c r="D145" s="173"/>
    </row>
    <row r="146" ht="15.75" customHeight="1">
      <c r="A146" s="168" t="s">
        <v>1579</v>
      </c>
      <c r="B146" s="189" t="s">
        <v>145</v>
      </c>
      <c r="C146" s="167"/>
      <c r="D146" s="167"/>
    </row>
    <row r="147" ht="15.75" customHeight="1">
      <c r="A147" s="168" t="s">
        <v>1781</v>
      </c>
      <c r="B147" s="186" t="s">
        <v>145</v>
      </c>
      <c r="C147" s="173"/>
      <c r="D147" s="173"/>
    </row>
    <row r="148" ht="15.75" customHeight="1">
      <c r="A148" s="168" t="s">
        <v>1924</v>
      </c>
      <c r="B148" s="186" t="s">
        <v>145</v>
      </c>
      <c r="C148" s="173"/>
      <c r="D148" s="173"/>
    </row>
    <row r="149" ht="15.75" customHeight="1">
      <c r="A149" s="168" t="s">
        <v>584</v>
      </c>
      <c r="B149" s="189" t="s">
        <v>585</v>
      </c>
      <c r="C149" s="192" t="s">
        <v>2012</v>
      </c>
      <c r="D149" s="167"/>
    </row>
    <row r="150" ht="15.75" customHeight="1">
      <c r="A150" s="168" t="s">
        <v>897</v>
      </c>
      <c r="B150" s="186" t="s">
        <v>585</v>
      </c>
      <c r="C150" s="173"/>
      <c r="D150" s="173"/>
    </row>
    <row r="151" ht="15.75" customHeight="1">
      <c r="A151" s="174" t="s">
        <v>1021</v>
      </c>
      <c r="B151" s="189" t="s">
        <v>585</v>
      </c>
      <c r="C151" s="170"/>
      <c r="D151" s="170"/>
    </row>
    <row r="152" ht="15.75" customHeight="1">
      <c r="A152" s="174" t="s">
        <v>2023</v>
      </c>
      <c r="B152" s="186" t="s">
        <v>585</v>
      </c>
      <c r="C152" s="180"/>
      <c r="D152" s="180"/>
    </row>
    <row r="153" ht="15.75" customHeight="1">
      <c r="A153" s="174" t="s">
        <v>1119</v>
      </c>
      <c r="B153" s="184" t="s">
        <v>585</v>
      </c>
      <c r="C153" s="180"/>
      <c r="D153" s="180"/>
    </row>
    <row r="154" ht="15.75" customHeight="1">
      <c r="A154" s="168" t="s">
        <v>2024</v>
      </c>
      <c r="B154" s="189" t="s">
        <v>585</v>
      </c>
      <c r="C154" s="167"/>
      <c r="D154" s="167"/>
    </row>
    <row r="155" ht="15.75" customHeight="1">
      <c r="A155" s="168" t="s">
        <v>1257</v>
      </c>
      <c r="B155" s="186" t="s">
        <v>585</v>
      </c>
      <c r="C155" s="173"/>
      <c r="D155" s="173"/>
    </row>
    <row r="156" ht="15.75" customHeight="1">
      <c r="A156" s="168" t="s">
        <v>2025</v>
      </c>
      <c r="B156" s="186" t="s">
        <v>585</v>
      </c>
      <c r="C156" s="173"/>
      <c r="D156" s="173"/>
    </row>
    <row r="157" ht="15.75" customHeight="1">
      <c r="A157" s="168" t="s">
        <v>1619</v>
      </c>
      <c r="B157" s="186" t="s">
        <v>585</v>
      </c>
      <c r="C157" s="173"/>
      <c r="D157" s="173"/>
    </row>
    <row r="158" ht="15.75" customHeight="1">
      <c r="A158" s="168" t="s">
        <v>1667</v>
      </c>
      <c r="B158" s="186" t="s">
        <v>585</v>
      </c>
      <c r="C158" s="173"/>
      <c r="D158" s="173"/>
    </row>
    <row r="159" ht="15.75" customHeight="1">
      <c r="A159" s="168" t="s">
        <v>2026</v>
      </c>
      <c r="B159" s="184" t="s">
        <v>585</v>
      </c>
      <c r="C159" s="173"/>
      <c r="D159" s="173"/>
    </row>
    <row r="160" ht="15.75" customHeight="1">
      <c r="A160" s="174" t="s">
        <v>237</v>
      </c>
      <c r="B160" s="189" t="s">
        <v>238</v>
      </c>
      <c r="C160" s="191" t="s">
        <v>2012</v>
      </c>
      <c r="D160" s="170"/>
    </row>
    <row r="161" ht="15.75" customHeight="1">
      <c r="A161" s="168" t="s">
        <v>239</v>
      </c>
      <c r="B161" s="189" t="s">
        <v>238</v>
      </c>
      <c r="C161" s="167"/>
      <c r="D161" s="167"/>
    </row>
    <row r="162" ht="15.75" customHeight="1">
      <c r="A162" s="166" t="s">
        <v>297</v>
      </c>
      <c r="B162" s="189" t="s">
        <v>238</v>
      </c>
      <c r="C162" s="193"/>
      <c r="D162" s="193"/>
    </row>
    <row r="163" ht="15.75" customHeight="1">
      <c r="A163" s="174" t="s">
        <v>298</v>
      </c>
      <c r="B163" s="189" t="s">
        <v>238</v>
      </c>
      <c r="C163" s="170"/>
      <c r="D163" s="170"/>
    </row>
    <row r="164" ht="15.75" customHeight="1">
      <c r="A164" s="174" t="s">
        <v>318</v>
      </c>
      <c r="B164" s="189" t="s">
        <v>238</v>
      </c>
      <c r="C164" s="170"/>
      <c r="D164" s="170"/>
    </row>
    <row r="165" ht="15.75" customHeight="1">
      <c r="A165" s="168" t="s">
        <v>754</v>
      </c>
      <c r="B165" s="189" t="s">
        <v>238</v>
      </c>
      <c r="C165" s="167"/>
      <c r="D165" s="167"/>
    </row>
    <row r="166" ht="15.75" customHeight="1">
      <c r="A166" s="174" t="s">
        <v>792</v>
      </c>
      <c r="B166" s="186" t="s">
        <v>238</v>
      </c>
      <c r="C166" s="180"/>
      <c r="D166" s="180"/>
    </row>
    <row r="167" ht="15.75" customHeight="1">
      <c r="A167" s="174" t="s">
        <v>1697</v>
      </c>
      <c r="B167" s="186" t="s">
        <v>238</v>
      </c>
      <c r="C167" s="180"/>
      <c r="D167" s="180"/>
    </row>
    <row r="168" ht="15.75" customHeight="1">
      <c r="A168" s="174" t="s">
        <v>1717</v>
      </c>
      <c r="B168" s="184" t="s">
        <v>238</v>
      </c>
      <c r="C168" s="180"/>
      <c r="D168" s="180"/>
    </row>
    <row r="169" ht="15.75" customHeight="1">
      <c r="A169" s="174" t="s">
        <v>1727</v>
      </c>
      <c r="B169" s="184" t="s">
        <v>238</v>
      </c>
      <c r="C169" s="180"/>
      <c r="D169" s="180"/>
    </row>
    <row r="170" ht="15.75" customHeight="1">
      <c r="A170" s="168" t="s">
        <v>1947</v>
      </c>
      <c r="B170" s="186" t="s">
        <v>238</v>
      </c>
      <c r="C170" s="173"/>
      <c r="D170" s="173"/>
    </row>
    <row r="171" ht="15.75" customHeight="1">
      <c r="A171" s="168" t="s">
        <v>251</v>
      </c>
      <c r="B171" s="189" t="s">
        <v>252</v>
      </c>
      <c r="C171" s="192" t="s">
        <v>2012</v>
      </c>
      <c r="D171" s="167"/>
    </row>
    <row r="172" ht="15.75" customHeight="1">
      <c r="A172" s="174" t="s">
        <v>418</v>
      </c>
      <c r="B172" s="186" t="s">
        <v>252</v>
      </c>
      <c r="C172" s="180"/>
      <c r="D172" s="180"/>
    </row>
    <row r="173" ht="15.75" customHeight="1">
      <c r="A173" s="174" t="s">
        <v>819</v>
      </c>
      <c r="B173" s="184" t="s">
        <v>252</v>
      </c>
      <c r="C173" s="180"/>
      <c r="D173" s="180"/>
    </row>
    <row r="174" ht="15.75" customHeight="1">
      <c r="A174" s="174" t="s">
        <v>2027</v>
      </c>
      <c r="B174" s="186" t="s">
        <v>252</v>
      </c>
      <c r="C174" s="180"/>
      <c r="D174" s="180"/>
    </row>
    <row r="175" ht="15.75" customHeight="1">
      <c r="A175" s="168" t="s">
        <v>2028</v>
      </c>
      <c r="B175" s="186" t="s">
        <v>252</v>
      </c>
      <c r="C175" s="173"/>
      <c r="D175" s="173"/>
    </row>
    <row r="176" ht="15.75" customHeight="1">
      <c r="A176" s="168" t="s">
        <v>1302</v>
      </c>
      <c r="B176" s="186" t="s">
        <v>252</v>
      </c>
      <c r="C176" s="173"/>
      <c r="D176" s="173"/>
    </row>
    <row r="177" ht="15.75" customHeight="1">
      <c r="A177" s="168" t="s">
        <v>1656</v>
      </c>
      <c r="B177" s="184" t="s">
        <v>252</v>
      </c>
      <c r="C177" s="173"/>
      <c r="D177" s="173"/>
    </row>
    <row r="178" ht="15.75" customHeight="1">
      <c r="A178" s="168" t="s">
        <v>1708</v>
      </c>
      <c r="B178" s="184" t="s">
        <v>252</v>
      </c>
      <c r="C178" s="173"/>
      <c r="D178" s="173"/>
    </row>
    <row r="179" ht="15.75" customHeight="1">
      <c r="A179" s="174" t="s">
        <v>715</v>
      </c>
      <c r="B179" s="186" t="s">
        <v>716</v>
      </c>
      <c r="C179" s="185" t="s">
        <v>2029</v>
      </c>
      <c r="D179" s="180"/>
    </row>
    <row r="180" ht="15.75" customHeight="1">
      <c r="A180" s="174" t="s">
        <v>738</v>
      </c>
      <c r="B180" s="189" t="s">
        <v>716</v>
      </c>
      <c r="C180" s="170"/>
      <c r="D180" s="170"/>
    </row>
    <row r="181" ht="15.75" customHeight="1">
      <c r="A181" s="174" t="s">
        <v>916</v>
      </c>
      <c r="B181" s="189" t="s">
        <v>716</v>
      </c>
      <c r="C181" s="170"/>
      <c r="D181" s="170"/>
    </row>
    <row r="182" ht="15.75" customHeight="1">
      <c r="A182" s="168" t="s">
        <v>2030</v>
      </c>
      <c r="B182" s="186" t="s">
        <v>716</v>
      </c>
      <c r="C182" s="173"/>
      <c r="D182" s="173"/>
    </row>
    <row r="183" ht="15.75" customHeight="1">
      <c r="A183" s="174" t="s">
        <v>1057</v>
      </c>
      <c r="B183" s="186" t="s">
        <v>716</v>
      </c>
      <c r="C183" s="180"/>
      <c r="D183" s="180"/>
    </row>
    <row r="184" ht="15.75" customHeight="1">
      <c r="A184" s="174" t="s">
        <v>2031</v>
      </c>
      <c r="B184" s="186" t="s">
        <v>716</v>
      </c>
      <c r="C184" s="180"/>
      <c r="D184" s="180"/>
    </row>
    <row r="185" ht="15.75" customHeight="1">
      <c r="A185" s="168" t="s">
        <v>1261</v>
      </c>
      <c r="B185" s="186" t="s">
        <v>716</v>
      </c>
      <c r="C185" s="173"/>
      <c r="D185" s="173"/>
    </row>
    <row r="186" ht="15.75" customHeight="1">
      <c r="A186" s="168" t="s">
        <v>208</v>
      </c>
      <c r="B186" s="184" t="s">
        <v>209</v>
      </c>
      <c r="C186" s="194" t="s">
        <v>2012</v>
      </c>
      <c r="D186" s="173"/>
    </row>
    <row r="187" ht="15.75" customHeight="1">
      <c r="A187" s="168" t="s">
        <v>767</v>
      </c>
      <c r="B187" s="184" t="s">
        <v>209</v>
      </c>
      <c r="C187" s="173"/>
      <c r="D187" s="173"/>
    </row>
    <row r="188" ht="15.75" customHeight="1">
      <c r="A188" s="168" t="s">
        <v>1500</v>
      </c>
      <c r="B188" s="184" t="s">
        <v>209</v>
      </c>
      <c r="C188" s="173"/>
      <c r="D188" s="173"/>
    </row>
    <row r="189" ht="15.75" customHeight="1">
      <c r="A189" s="168" t="s">
        <v>1842</v>
      </c>
      <c r="B189" s="184" t="s">
        <v>209</v>
      </c>
      <c r="C189" s="173"/>
      <c r="D189" s="173"/>
    </row>
    <row r="190" ht="15.75" customHeight="1">
      <c r="A190" s="168" t="s">
        <v>101</v>
      </c>
      <c r="B190" s="186" t="s">
        <v>102</v>
      </c>
      <c r="C190" s="194" t="s">
        <v>2012</v>
      </c>
      <c r="D190" s="173"/>
    </row>
    <row r="191" ht="15.75" customHeight="1">
      <c r="A191" s="175" t="s">
        <v>656</v>
      </c>
      <c r="B191" s="186" t="s">
        <v>102</v>
      </c>
      <c r="C191" s="173"/>
      <c r="D191" s="173"/>
    </row>
    <row r="192" ht="15.75" customHeight="1">
      <c r="A192" s="175" t="s">
        <v>868</v>
      </c>
      <c r="B192" s="186" t="s">
        <v>102</v>
      </c>
      <c r="C192" s="173"/>
      <c r="D192" s="173"/>
    </row>
    <row r="193" ht="15.75" customHeight="1">
      <c r="A193" s="168" t="s">
        <v>912</v>
      </c>
      <c r="B193" s="184" t="s">
        <v>102</v>
      </c>
      <c r="C193" s="173"/>
      <c r="D193" s="173"/>
    </row>
    <row r="194" ht="15.75" customHeight="1">
      <c r="A194" s="175" t="s">
        <v>1012</v>
      </c>
      <c r="B194" s="186" t="s">
        <v>102</v>
      </c>
      <c r="C194" s="173"/>
      <c r="D194" s="173"/>
    </row>
    <row r="195" ht="15.75" customHeight="1">
      <c r="A195" s="172" t="s">
        <v>1013</v>
      </c>
      <c r="B195" s="186" t="s">
        <v>102</v>
      </c>
      <c r="C195" s="180"/>
      <c r="D195" s="180"/>
    </row>
    <row r="196" ht="15.75" customHeight="1">
      <c r="A196" s="174" t="s">
        <v>1051</v>
      </c>
      <c r="B196" s="184" t="s">
        <v>102</v>
      </c>
      <c r="C196" s="180"/>
      <c r="D196" s="180"/>
    </row>
    <row r="197" ht="15.75" customHeight="1">
      <c r="A197" s="174" t="s">
        <v>1460</v>
      </c>
      <c r="B197" s="184" t="s">
        <v>102</v>
      </c>
      <c r="C197" s="180"/>
      <c r="D197" s="180"/>
    </row>
    <row r="198" ht="15.75" customHeight="1">
      <c r="A198" s="168" t="s">
        <v>1468</v>
      </c>
      <c r="B198" s="186" t="s">
        <v>102</v>
      </c>
      <c r="C198" s="173"/>
      <c r="D198" s="173"/>
    </row>
    <row r="199" ht="15.75" customHeight="1">
      <c r="A199" s="175" t="s">
        <v>1482</v>
      </c>
      <c r="B199" s="186" t="s">
        <v>102</v>
      </c>
      <c r="C199" s="173"/>
      <c r="D199" s="173"/>
    </row>
    <row r="200" ht="15.75" customHeight="1">
      <c r="A200" s="172" t="s">
        <v>1896</v>
      </c>
      <c r="B200" s="186" t="s">
        <v>102</v>
      </c>
      <c r="C200" s="180"/>
      <c r="D200" s="180"/>
    </row>
    <row r="201" ht="15.75" customHeight="1">
      <c r="A201" s="174" t="s">
        <v>203</v>
      </c>
      <c r="B201" s="186" t="s">
        <v>204</v>
      </c>
      <c r="C201" s="185" t="s">
        <v>2032</v>
      </c>
      <c r="D201" s="180"/>
    </row>
    <row r="202" ht="15.75" customHeight="1">
      <c r="A202" s="174" t="s">
        <v>259</v>
      </c>
      <c r="B202" s="189" t="s">
        <v>204</v>
      </c>
      <c r="C202" s="170"/>
      <c r="D202" s="170"/>
    </row>
    <row r="203" ht="15.75" customHeight="1">
      <c r="A203" s="174" t="s">
        <v>2033</v>
      </c>
      <c r="B203" s="186" t="s">
        <v>204</v>
      </c>
      <c r="C203" s="180"/>
      <c r="D203" s="180"/>
    </row>
    <row r="204" ht="15.75" customHeight="1">
      <c r="A204" s="168" t="s">
        <v>2034</v>
      </c>
      <c r="B204" s="186" t="s">
        <v>204</v>
      </c>
      <c r="C204" s="173"/>
      <c r="D204" s="173"/>
    </row>
    <row r="205" ht="15.75" customHeight="1">
      <c r="A205" s="168" t="s">
        <v>1589</v>
      </c>
      <c r="B205" s="186" t="s">
        <v>204</v>
      </c>
      <c r="C205" s="173"/>
      <c r="D205" s="173"/>
    </row>
    <row r="206" ht="15.75" customHeight="1">
      <c r="A206" s="168" t="s">
        <v>1761</v>
      </c>
      <c r="B206" s="184" t="s">
        <v>204</v>
      </c>
      <c r="C206" s="173"/>
      <c r="D206" s="173"/>
    </row>
    <row r="207" ht="15.75" customHeight="1">
      <c r="A207" s="168" t="s">
        <v>1764</v>
      </c>
      <c r="B207" s="186" t="s">
        <v>204</v>
      </c>
      <c r="C207" s="173"/>
      <c r="D207" s="173"/>
    </row>
    <row r="208" ht="15.75" customHeight="1">
      <c r="A208" s="168" t="s">
        <v>1807</v>
      </c>
      <c r="B208" s="184" t="s">
        <v>204</v>
      </c>
      <c r="C208" s="173"/>
      <c r="D208" s="173"/>
    </row>
    <row r="209" ht="15.75" customHeight="1">
      <c r="A209" s="168" t="s">
        <v>148</v>
      </c>
      <c r="B209" s="190" t="s">
        <v>149</v>
      </c>
      <c r="C209" s="192" t="s">
        <v>2029</v>
      </c>
      <c r="D209" s="167"/>
    </row>
    <row r="210" ht="15.75" customHeight="1">
      <c r="A210" s="168" t="s">
        <v>417</v>
      </c>
      <c r="B210" s="189" t="s">
        <v>149</v>
      </c>
      <c r="C210" s="192"/>
      <c r="D210" s="167"/>
    </row>
    <row r="211" ht="15.75" customHeight="1">
      <c r="A211" s="168" t="s">
        <v>449</v>
      </c>
      <c r="B211" s="190" t="s">
        <v>149</v>
      </c>
      <c r="C211" s="192"/>
      <c r="D211" s="167"/>
    </row>
    <row r="212" ht="15.75" customHeight="1">
      <c r="A212" s="168" t="s">
        <v>612</v>
      </c>
      <c r="B212" s="186" t="s">
        <v>149</v>
      </c>
      <c r="C212" s="173"/>
      <c r="D212" s="173"/>
    </row>
    <row r="213" ht="15.75" customHeight="1">
      <c r="A213" s="174" t="s">
        <v>1184</v>
      </c>
      <c r="B213" s="186" t="s">
        <v>149</v>
      </c>
      <c r="C213" s="180"/>
      <c r="D213" s="180"/>
    </row>
    <row r="214" ht="15.75" customHeight="1">
      <c r="A214" s="174" t="s">
        <v>1186</v>
      </c>
      <c r="B214" s="186" t="s">
        <v>149</v>
      </c>
      <c r="C214" s="180"/>
      <c r="D214" s="180"/>
    </row>
    <row r="215" ht="15.75" customHeight="1">
      <c r="A215" s="168" t="s">
        <v>1317</v>
      </c>
      <c r="B215" s="186" t="s">
        <v>149</v>
      </c>
      <c r="C215" s="173"/>
      <c r="D215" s="173"/>
    </row>
    <row r="216" ht="15.75" customHeight="1">
      <c r="A216" s="174" t="s">
        <v>1522</v>
      </c>
      <c r="B216" s="184" t="s">
        <v>149</v>
      </c>
      <c r="C216" s="180"/>
      <c r="D216" s="180"/>
    </row>
    <row r="217" ht="15.75" customHeight="1">
      <c r="A217" s="174" t="s">
        <v>1526</v>
      </c>
      <c r="B217" s="184" t="s">
        <v>149</v>
      </c>
      <c r="C217" s="180"/>
      <c r="D217" s="180"/>
    </row>
    <row r="218" ht="15.75" customHeight="1">
      <c r="A218" s="174" t="s">
        <v>1830</v>
      </c>
      <c r="B218" s="184" t="s">
        <v>149</v>
      </c>
      <c r="C218" s="180"/>
      <c r="D218" s="180"/>
    </row>
    <row r="219" ht="15.75" customHeight="1">
      <c r="A219" s="174" t="s">
        <v>1901</v>
      </c>
      <c r="B219" s="184" t="s">
        <v>149</v>
      </c>
      <c r="C219" s="180"/>
      <c r="D219" s="180"/>
    </row>
    <row r="220" ht="15.75" customHeight="1">
      <c r="A220" s="174" t="s">
        <v>175</v>
      </c>
      <c r="B220" s="190" t="s">
        <v>176</v>
      </c>
      <c r="C220" s="191" t="s">
        <v>2012</v>
      </c>
      <c r="D220" s="170"/>
    </row>
    <row r="221" ht="15.75" customHeight="1">
      <c r="A221" s="174" t="s">
        <v>274</v>
      </c>
      <c r="B221" s="190" t="s">
        <v>176</v>
      </c>
      <c r="C221" s="191"/>
      <c r="D221" s="170"/>
    </row>
    <row r="222" ht="15.75" customHeight="1">
      <c r="A222" s="174" t="s">
        <v>856</v>
      </c>
      <c r="B222" s="189" t="s">
        <v>176</v>
      </c>
      <c r="C222" s="191"/>
      <c r="D222" s="170"/>
    </row>
    <row r="223" ht="15.75" customHeight="1">
      <c r="A223" s="168" t="s">
        <v>966</v>
      </c>
      <c r="B223" s="186" t="s">
        <v>176</v>
      </c>
      <c r="C223" s="173"/>
      <c r="D223" s="173"/>
    </row>
    <row r="224" ht="15.75" customHeight="1">
      <c r="A224" s="168" t="s">
        <v>973</v>
      </c>
      <c r="B224" s="189" t="s">
        <v>176</v>
      </c>
      <c r="C224" s="167"/>
      <c r="D224" s="167"/>
    </row>
    <row r="225" ht="15.75" customHeight="1">
      <c r="A225" s="168" t="s">
        <v>1130</v>
      </c>
      <c r="B225" s="190" t="s">
        <v>176</v>
      </c>
      <c r="C225" s="167"/>
      <c r="D225" s="167"/>
    </row>
    <row r="226" ht="15.75" customHeight="1">
      <c r="A226" s="168" t="s">
        <v>1321</v>
      </c>
      <c r="B226" s="190" t="s">
        <v>176</v>
      </c>
      <c r="C226" s="167"/>
      <c r="D226" s="167"/>
    </row>
    <row r="227" ht="15.75" customHeight="1">
      <c r="A227" s="168" t="s">
        <v>2035</v>
      </c>
      <c r="B227" s="186" t="s">
        <v>176</v>
      </c>
      <c r="C227" s="173"/>
      <c r="D227" s="173"/>
    </row>
    <row r="228" ht="15.75" customHeight="1">
      <c r="A228" s="168" t="s">
        <v>1377</v>
      </c>
      <c r="B228" s="186" t="s">
        <v>176</v>
      </c>
      <c r="C228" s="173"/>
      <c r="D228" s="173"/>
    </row>
    <row r="229" ht="15.75" customHeight="1">
      <c r="A229" s="168" t="s">
        <v>1379</v>
      </c>
      <c r="B229" s="186" t="s">
        <v>176</v>
      </c>
      <c r="C229" s="173"/>
      <c r="D229" s="173"/>
    </row>
    <row r="230" ht="15.75" customHeight="1">
      <c r="A230" s="174" t="s">
        <v>1380</v>
      </c>
      <c r="B230" s="186" t="s">
        <v>176</v>
      </c>
      <c r="C230" s="180"/>
      <c r="D230" s="180"/>
    </row>
    <row r="231" ht="15.75" customHeight="1">
      <c r="A231" s="174" t="s">
        <v>1381</v>
      </c>
      <c r="B231" s="186" t="s">
        <v>176</v>
      </c>
      <c r="C231" s="180"/>
      <c r="D231" s="180"/>
    </row>
    <row r="232" ht="15.75" customHeight="1">
      <c r="A232" s="174" t="s">
        <v>1730</v>
      </c>
      <c r="B232" s="184" t="s">
        <v>176</v>
      </c>
      <c r="C232" s="180"/>
      <c r="D232" s="180"/>
    </row>
    <row r="233" ht="15.75" customHeight="1">
      <c r="A233" s="168" t="s">
        <v>1738</v>
      </c>
      <c r="B233" s="186" t="s">
        <v>176</v>
      </c>
      <c r="C233" s="173"/>
      <c r="D233" s="173"/>
    </row>
    <row r="234" ht="15.75" customHeight="1">
      <c r="A234" s="172" t="s">
        <v>2036</v>
      </c>
      <c r="B234" s="189" t="s">
        <v>87</v>
      </c>
      <c r="C234" s="191" t="s">
        <v>2029</v>
      </c>
      <c r="D234" s="170"/>
    </row>
    <row r="235" ht="15.75" customHeight="1">
      <c r="A235" s="168" t="s">
        <v>97</v>
      </c>
      <c r="B235" s="189" t="s">
        <v>87</v>
      </c>
      <c r="C235" s="167"/>
      <c r="D235" s="167"/>
    </row>
    <row r="236" ht="15.75" customHeight="1">
      <c r="A236" s="174" t="s">
        <v>426</v>
      </c>
      <c r="B236" s="186" t="s">
        <v>87</v>
      </c>
      <c r="C236" s="180"/>
      <c r="D236" s="180"/>
    </row>
    <row r="237" ht="15.75" customHeight="1">
      <c r="A237" s="168" t="s">
        <v>496</v>
      </c>
      <c r="B237" s="186" t="s">
        <v>87</v>
      </c>
      <c r="C237" s="173"/>
      <c r="D237" s="173"/>
    </row>
    <row r="238" ht="15.75" customHeight="1">
      <c r="A238" s="168" t="s">
        <v>497</v>
      </c>
      <c r="B238" s="189" t="s">
        <v>87</v>
      </c>
      <c r="C238" s="193"/>
      <c r="D238" s="193"/>
    </row>
    <row r="239" ht="15.75" customHeight="1">
      <c r="A239" s="168" t="s">
        <v>501</v>
      </c>
      <c r="B239" s="186" t="s">
        <v>87</v>
      </c>
      <c r="C239" s="173"/>
      <c r="D239" s="173"/>
    </row>
    <row r="240" ht="15.75" customHeight="1">
      <c r="A240" s="174" t="s">
        <v>2037</v>
      </c>
      <c r="B240" s="186" t="s">
        <v>87</v>
      </c>
      <c r="C240" s="180"/>
      <c r="D240" s="180"/>
    </row>
    <row r="241" ht="15.75" customHeight="1">
      <c r="A241" s="174" t="s">
        <v>2038</v>
      </c>
      <c r="B241" s="186" t="s">
        <v>87</v>
      </c>
      <c r="C241" s="180"/>
      <c r="D241" s="180"/>
    </row>
    <row r="242" ht="15.75" customHeight="1">
      <c r="A242" s="168" t="s">
        <v>790</v>
      </c>
      <c r="B242" s="186" t="s">
        <v>87</v>
      </c>
      <c r="C242" s="173"/>
      <c r="D242" s="173"/>
    </row>
    <row r="243" ht="15.75" customHeight="1">
      <c r="A243" s="168" t="s">
        <v>2039</v>
      </c>
      <c r="B243" s="184" t="s">
        <v>87</v>
      </c>
      <c r="C243" s="173"/>
      <c r="D243" s="173"/>
    </row>
    <row r="244" ht="15.75" customHeight="1">
      <c r="A244" s="168" t="s">
        <v>1457</v>
      </c>
      <c r="B244" s="184" t="s">
        <v>87</v>
      </c>
      <c r="C244" s="173"/>
      <c r="D244" s="173"/>
    </row>
    <row r="245" ht="15.75" customHeight="1">
      <c r="A245" s="168" t="s">
        <v>1608</v>
      </c>
      <c r="B245" s="184" t="s">
        <v>87</v>
      </c>
      <c r="C245" s="173"/>
      <c r="D245" s="173"/>
    </row>
    <row r="246" ht="15.75" customHeight="1">
      <c r="A246" s="168" t="s">
        <v>1847</v>
      </c>
      <c r="B246" s="184" t="s">
        <v>87</v>
      </c>
      <c r="C246" s="173"/>
      <c r="D246" s="173"/>
    </row>
    <row r="247" ht="15.75" customHeight="1">
      <c r="A247" s="168" t="s">
        <v>1916</v>
      </c>
      <c r="B247" s="184" t="s">
        <v>87</v>
      </c>
      <c r="C247" s="173"/>
      <c r="D247" s="173"/>
    </row>
    <row r="248" ht="15.75" customHeight="1">
      <c r="A248" s="174" t="s">
        <v>2040</v>
      </c>
      <c r="B248" s="186" t="s">
        <v>90</v>
      </c>
      <c r="C248" s="180" t="s">
        <v>2012</v>
      </c>
      <c r="D248" s="180"/>
    </row>
    <row r="249" ht="15.75" customHeight="1">
      <c r="A249" s="168" t="s">
        <v>104</v>
      </c>
      <c r="B249" s="189" t="s">
        <v>90</v>
      </c>
      <c r="C249" s="167"/>
      <c r="D249" s="167"/>
    </row>
    <row r="250" ht="15.75" customHeight="1">
      <c r="A250" s="168" t="s">
        <v>105</v>
      </c>
      <c r="B250" s="186" t="s">
        <v>90</v>
      </c>
      <c r="C250" s="180"/>
      <c r="D250" s="180"/>
    </row>
    <row r="251" ht="15.75" customHeight="1">
      <c r="A251" s="168" t="s">
        <v>2041</v>
      </c>
      <c r="B251" s="186" t="s">
        <v>90</v>
      </c>
      <c r="C251" s="173"/>
      <c r="D251" s="173"/>
    </row>
    <row r="252" ht="15.75" customHeight="1">
      <c r="A252" s="174" t="s">
        <v>339</v>
      </c>
      <c r="B252" s="189" t="s">
        <v>90</v>
      </c>
      <c r="C252" s="170"/>
      <c r="D252" s="170"/>
    </row>
    <row r="253" ht="15.75" customHeight="1">
      <c r="A253" s="174" t="s">
        <v>566</v>
      </c>
      <c r="B253" s="186" t="s">
        <v>90</v>
      </c>
      <c r="C253" s="180"/>
      <c r="D253" s="180"/>
    </row>
    <row r="254" ht="15.75" customHeight="1">
      <c r="A254" s="168" t="s">
        <v>935</v>
      </c>
      <c r="B254" s="186" t="s">
        <v>90</v>
      </c>
      <c r="C254" s="173"/>
      <c r="D254" s="173"/>
    </row>
    <row r="255" ht="15.75" customHeight="1">
      <c r="A255" s="168" t="s">
        <v>1388</v>
      </c>
      <c r="B255" s="186" t="s">
        <v>90</v>
      </c>
      <c r="C255" s="173"/>
      <c r="D255" s="173"/>
    </row>
    <row r="256" ht="15.75" customHeight="1">
      <c r="A256" s="174" t="s">
        <v>1403</v>
      </c>
      <c r="B256" s="186" t="s">
        <v>90</v>
      </c>
      <c r="C256" s="180"/>
      <c r="D256" s="180"/>
    </row>
    <row r="257" ht="15.75" customHeight="1">
      <c r="A257" s="174" t="s">
        <v>1915</v>
      </c>
      <c r="B257" s="186" t="s">
        <v>90</v>
      </c>
      <c r="C257" s="180"/>
      <c r="D257" s="180"/>
    </row>
    <row r="258" ht="15.75" customHeight="1">
      <c r="A258" s="174" t="s">
        <v>2042</v>
      </c>
      <c r="B258" s="184" t="s">
        <v>90</v>
      </c>
      <c r="C258" s="180"/>
      <c r="D258" s="180"/>
    </row>
    <row r="259" ht="15.75" customHeight="1">
      <c r="A259" s="168" t="s">
        <v>20</v>
      </c>
      <c r="B259" s="184" t="s">
        <v>2244</v>
      </c>
      <c r="C259" s="185" t="s">
        <v>2012</v>
      </c>
      <c r="D259" s="180"/>
    </row>
    <row r="260" ht="15.75" customHeight="1">
      <c r="A260" s="168" t="s">
        <v>2044</v>
      </c>
      <c r="B260" s="184" t="s">
        <v>2244</v>
      </c>
      <c r="C260" s="180"/>
      <c r="D260" s="180"/>
    </row>
    <row r="261" ht="15.75" customHeight="1">
      <c r="A261" s="168" t="s">
        <v>794</v>
      </c>
      <c r="B261" s="184" t="s">
        <v>2244</v>
      </c>
      <c r="C261" s="180"/>
      <c r="D261" s="180"/>
    </row>
    <row r="262" ht="15.75" customHeight="1">
      <c r="A262" s="174" t="s">
        <v>960</v>
      </c>
      <c r="B262" s="184" t="s">
        <v>2244</v>
      </c>
      <c r="C262" s="180"/>
      <c r="D262" s="180"/>
    </row>
    <row r="263" ht="15.75" customHeight="1">
      <c r="A263" s="168" t="s">
        <v>1194</v>
      </c>
      <c r="B263" s="184" t="s">
        <v>2244</v>
      </c>
      <c r="C263" s="180"/>
      <c r="D263" s="180"/>
    </row>
    <row r="264" ht="15.75" customHeight="1">
      <c r="A264" s="168" t="s">
        <v>2047</v>
      </c>
      <c r="B264" s="184" t="s">
        <v>2244</v>
      </c>
      <c r="C264" s="180"/>
      <c r="D264" s="180"/>
    </row>
    <row r="265" ht="15.75" customHeight="1">
      <c r="A265" s="174" t="s">
        <v>1693</v>
      </c>
      <c r="B265" s="184" t="s">
        <v>2244</v>
      </c>
      <c r="C265" s="180"/>
      <c r="D265" s="180"/>
    </row>
    <row r="266" ht="15.75" customHeight="1">
      <c r="A266" s="174" t="s">
        <v>2052</v>
      </c>
      <c r="B266" s="184" t="s">
        <v>2244</v>
      </c>
      <c r="C266" s="180"/>
      <c r="D266" s="180"/>
    </row>
    <row r="267" ht="15.75" customHeight="1">
      <c r="A267" s="174" t="s">
        <v>2053</v>
      </c>
      <c r="B267" s="184" t="s">
        <v>2244</v>
      </c>
      <c r="C267" s="180"/>
      <c r="D267" s="180"/>
    </row>
    <row r="268" ht="15.75" customHeight="1">
      <c r="A268" s="174" t="s">
        <v>57</v>
      </c>
      <c r="B268" s="184" t="s">
        <v>2245</v>
      </c>
      <c r="C268" s="185" t="s">
        <v>2012</v>
      </c>
      <c r="D268" s="180"/>
    </row>
    <row r="269" ht="15.75" customHeight="1">
      <c r="A269" s="168" t="s">
        <v>115</v>
      </c>
      <c r="B269" s="184" t="s">
        <v>2245</v>
      </c>
      <c r="C269" s="180"/>
      <c r="D269" s="180"/>
    </row>
    <row r="270" ht="15.75" customHeight="1">
      <c r="A270" s="174" t="s">
        <v>316</v>
      </c>
      <c r="B270" s="184" t="s">
        <v>2245</v>
      </c>
      <c r="C270" s="180"/>
      <c r="D270" s="180"/>
    </row>
    <row r="271" ht="15.75" customHeight="1">
      <c r="A271" s="174" t="s">
        <v>2046</v>
      </c>
      <c r="B271" s="184" t="s">
        <v>2245</v>
      </c>
      <c r="C271" s="180"/>
      <c r="D271" s="180"/>
    </row>
    <row r="272" ht="15.75" customHeight="1">
      <c r="A272" s="174" t="s">
        <v>1365</v>
      </c>
      <c r="B272" s="184" t="s">
        <v>2245</v>
      </c>
      <c r="C272" s="180"/>
      <c r="D272" s="180"/>
    </row>
    <row r="273" ht="15.75" customHeight="1">
      <c r="A273" s="174" t="s">
        <v>1743</v>
      </c>
      <c r="B273" s="184" t="s">
        <v>2245</v>
      </c>
      <c r="C273" s="180"/>
      <c r="D273" s="180"/>
    </row>
    <row r="274" ht="15.75" customHeight="1">
      <c r="A274" s="174" t="s">
        <v>1890</v>
      </c>
      <c r="B274" s="184" t="s">
        <v>2245</v>
      </c>
      <c r="C274" s="180"/>
      <c r="D274" s="180"/>
    </row>
    <row r="275" ht="15.75" customHeight="1">
      <c r="A275" s="174" t="s">
        <v>1917</v>
      </c>
      <c r="B275" s="184" t="s">
        <v>2245</v>
      </c>
      <c r="C275" s="180"/>
      <c r="D275" s="180"/>
    </row>
    <row r="276" ht="15.75" customHeight="1">
      <c r="A276" s="174" t="s">
        <v>1951</v>
      </c>
      <c r="B276" s="184" t="s">
        <v>2245</v>
      </c>
      <c r="C276" s="180"/>
      <c r="D276" s="180"/>
    </row>
    <row r="277" ht="15.75" customHeight="1">
      <c r="A277" s="168" t="s">
        <v>56</v>
      </c>
      <c r="B277" s="184" t="s">
        <v>2246</v>
      </c>
      <c r="C277" s="185" t="s">
        <v>2012</v>
      </c>
      <c r="D277" s="180"/>
    </row>
    <row r="278" ht="15.75" customHeight="1">
      <c r="A278" s="168" t="s">
        <v>2048</v>
      </c>
      <c r="B278" s="184" t="s">
        <v>2246</v>
      </c>
      <c r="C278" s="180"/>
      <c r="D278" s="180"/>
    </row>
    <row r="279" ht="15.75" customHeight="1">
      <c r="A279" s="174" t="s">
        <v>1307</v>
      </c>
      <c r="B279" s="184" t="s">
        <v>2246</v>
      </c>
      <c r="C279" s="180"/>
      <c r="D279" s="180"/>
    </row>
    <row r="280" ht="15.75" customHeight="1">
      <c r="A280" s="174" t="s">
        <v>1421</v>
      </c>
      <c r="B280" s="184" t="s">
        <v>2246</v>
      </c>
      <c r="C280" s="180"/>
      <c r="D280" s="180"/>
    </row>
    <row r="281" ht="15.75" customHeight="1">
      <c r="A281" s="174" t="s">
        <v>1441</v>
      </c>
      <c r="B281" s="184" t="s">
        <v>2246</v>
      </c>
      <c r="C281" s="180"/>
      <c r="D281" s="180"/>
    </row>
    <row r="282" ht="15.75" customHeight="1">
      <c r="A282" s="174" t="s">
        <v>1497</v>
      </c>
      <c r="B282" s="184" t="s">
        <v>2246</v>
      </c>
      <c r="C282" s="180"/>
      <c r="D282" s="180"/>
    </row>
    <row r="283" ht="15.75" customHeight="1">
      <c r="A283" s="174" t="s">
        <v>1516</v>
      </c>
      <c r="B283" s="184" t="s">
        <v>2246</v>
      </c>
      <c r="C283" s="180"/>
      <c r="D283" s="180"/>
    </row>
    <row r="284" ht="15.75" customHeight="1">
      <c r="A284" s="168" t="s">
        <v>575</v>
      </c>
      <c r="B284" s="184" t="s">
        <v>2247</v>
      </c>
      <c r="C284" s="185" t="s">
        <v>2012</v>
      </c>
      <c r="D284" s="180"/>
    </row>
    <row r="285" ht="15.75" customHeight="1">
      <c r="A285" s="174" t="s">
        <v>2050</v>
      </c>
      <c r="B285" s="184" t="s">
        <v>2247</v>
      </c>
      <c r="C285" s="180"/>
      <c r="D285" s="180"/>
    </row>
    <row r="286" ht="15.75" customHeight="1">
      <c r="A286" s="174" t="s">
        <v>1594</v>
      </c>
      <c r="B286" s="184" t="s">
        <v>2247</v>
      </c>
      <c r="C286" s="180"/>
      <c r="D286" s="180"/>
    </row>
    <row r="287" ht="15.75" customHeight="1">
      <c r="A287" s="174" t="s">
        <v>1859</v>
      </c>
      <c r="B287" s="184" t="s">
        <v>2247</v>
      </c>
      <c r="C287" s="180"/>
      <c r="D287" s="180"/>
    </row>
    <row r="288" ht="15.75" customHeight="1">
      <c r="A288" s="174" t="s">
        <v>1905</v>
      </c>
      <c r="B288" s="184" t="s">
        <v>2247</v>
      </c>
      <c r="C288" s="180"/>
      <c r="D288" s="180"/>
    </row>
    <row r="289" ht="15.75" customHeight="1">
      <c r="A289" s="174" t="s">
        <v>1906</v>
      </c>
      <c r="B289" s="184" t="s">
        <v>2247</v>
      </c>
      <c r="C289" s="194"/>
      <c r="D289" s="173"/>
    </row>
    <row r="290" ht="15.75" customHeight="1">
      <c r="A290" s="174" t="s">
        <v>1907</v>
      </c>
      <c r="B290" s="184" t="s">
        <v>2247</v>
      </c>
      <c r="C290" s="173"/>
      <c r="D290" s="173"/>
    </row>
    <row r="291" ht="15.75" customHeight="1">
      <c r="A291" s="168" t="s">
        <v>58</v>
      </c>
      <c r="B291" s="184" t="s">
        <v>2248</v>
      </c>
      <c r="C291" s="191" t="s">
        <v>2012</v>
      </c>
      <c r="D291" s="170"/>
    </row>
    <row r="292" ht="15.75" customHeight="1">
      <c r="A292" s="168" t="s">
        <v>139</v>
      </c>
      <c r="B292" s="184" t="s">
        <v>2248</v>
      </c>
      <c r="C292" s="191"/>
      <c r="D292" s="170"/>
    </row>
    <row r="293" ht="15.75" customHeight="1">
      <c r="A293" s="174" t="s">
        <v>287</v>
      </c>
      <c r="B293" s="184" t="s">
        <v>2248</v>
      </c>
      <c r="C293" s="191"/>
      <c r="D293" s="170"/>
    </row>
    <row r="294" ht="15.75" customHeight="1">
      <c r="A294" s="174" t="s">
        <v>305</v>
      </c>
      <c r="B294" s="184" t="s">
        <v>2248</v>
      </c>
      <c r="C294" s="191"/>
      <c r="D294" s="170"/>
    </row>
    <row r="295" ht="15.75" customHeight="1">
      <c r="A295" s="174" t="s">
        <v>1593</v>
      </c>
      <c r="B295" s="184" t="s">
        <v>2248</v>
      </c>
      <c r="C295" s="191"/>
      <c r="D295" s="170"/>
    </row>
    <row r="296" ht="15.75" customHeight="1">
      <c r="A296" s="174" t="s">
        <v>1806</v>
      </c>
      <c r="B296" s="184" t="s">
        <v>2248</v>
      </c>
      <c r="C296" s="191"/>
      <c r="D296" s="170"/>
    </row>
    <row r="297" ht="15.75" customHeight="1">
      <c r="A297" s="168" t="s">
        <v>2045</v>
      </c>
      <c r="B297" s="184" t="s">
        <v>2249</v>
      </c>
      <c r="C297" s="191" t="s">
        <v>2012</v>
      </c>
      <c r="D297" s="170"/>
    </row>
    <row r="298" ht="15.75" customHeight="1">
      <c r="A298" s="168" t="s">
        <v>541</v>
      </c>
      <c r="B298" s="184" t="s">
        <v>2249</v>
      </c>
      <c r="C298" s="191"/>
      <c r="D298" s="170"/>
    </row>
    <row r="299" ht="15.75" customHeight="1">
      <c r="A299" s="168" t="s">
        <v>1022</v>
      </c>
      <c r="B299" s="184" t="s">
        <v>2249</v>
      </c>
      <c r="C299" s="191"/>
      <c r="D299" s="170"/>
    </row>
    <row r="300" ht="15.75" customHeight="1">
      <c r="A300" s="174" t="s">
        <v>1452</v>
      </c>
      <c r="B300" s="184" t="s">
        <v>2249</v>
      </c>
      <c r="C300" s="167"/>
      <c r="D300" s="167"/>
    </row>
    <row r="301" ht="15.75" customHeight="1">
      <c r="A301" s="174" t="s">
        <v>2051</v>
      </c>
      <c r="B301" s="184" t="s">
        <v>2249</v>
      </c>
      <c r="C301" s="167"/>
      <c r="D301" s="167"/>
    </row>
    <row r="302" ht="15.75" customHeight="1">
      <c r="A302" s="174" t="s">
        <v>1772</v>
      </c>
      <c r="B302" s="184" t="s">
        <v>2249</v>
      </c>
      <c r="C302" s="167"/>
      <c r="D302" s="167"/>
    </row>
    <row r="303" ht="15.75" customHeight="1">
      <c r="A303" s="174" t="s">
        <v>1900</v>
      </c>
      <c r="B303" s="184" t="s">
        <v>2249</v>
      </c>
      <c r="C303" s="167"/>
      <c r="D303" s="167"/>
    </row>
    <row r="304" ht="15.75" customHeight="1">
      <c r="A304" s="174" t="s">
        <v>334</v>
      </c>
      <c r="B304" s="184" t="s">
        <v>2250</v>
      </c>
      <c r="C304" s="192" t="s">
        <v>2043</v>
      </c>
      <c r="D304" s="167"/>
    </row>
    <row r="305" ht="15.75" customHeight="1">
      <c r="A305" s="174" t="s">
        <v>872</v>
      </c>
      <c r="B305" s="184" t="s">
        <v>2250</v>
      </c>
      <c r="C305" s="192"/>
      <c r="D305" s="167"/>
    </row>
    <row r="306" ht="15.75" customHeight="1">
      <c r="A306" s="174" t="s">
        <v>938</v>
      </c>
      <c r="B306" s="184" t="s">
        <v>2250</v>
      </c>
      <c r="C306" s="192"/>
      <c r="D306" s="167"/>
    </row>
    <row r="307" ht="15.75" customHeight="1">
      <c r="A307" s="174" t="s">
        <v>1839</v>
      </c>
      <c r="B307" s="184" t="s">
        <v>2250</v>
      </c>
      <c r="C307" s="167"/>
      <c r="D307" s="167"/>
    </row>
    <row r="308" ht="15.75" customHeight="1">
      <c r="A308" s="174" t="s">
        <v>1338</v>
      </c>
      <c r="B308" s="166" t="s">
        <v>2251</v>
      </c>
      <c r="C308" s="192" t="s">
        <v>2029</v>
      </c>
      <c r="D308" s="167"/>
    </row>
    <row r="309" ht="15.75" customHeight="1">
      <c r="A309" s="174" t="s">
        <v>2049</v>
      </c>
      <c r="B309" s="166" t="s">
        <v>2251</v>
      </c>
      <c r="C309" s="167"/>
      <c r="D309" s="167"/>
    </row>
    <row r="310" ht="15.75" customHeight="1">
      <c r="A310" s="174" t="s">
        <v>1549</v>
      </c>
      <c r="B310" s="166" t="s">
        <v>2251</v>
      </c>
      <c r="C310" s="173"/>
      <c r="D310" s="173"/>
    </row>
    <row r="311" ht="15.75" customHeight="1">
      <c r="A311" s="174" t="s">
        <v>1615</v>
      </c>
      <c r="B311" s="166" t="s">
        <v>2251</v>
      </c>
      <c r="C311" s="173"/>
      <c r="D311" s="173"/>
    </row>
    <row r="312" ht="15.75" customHeight="1">
      <c r="A312" s="168" t="s">
        <v>41</v>
      </c>
      <c r="B312" s="171" t="s">
        <v>2252</v>
      </c>
      <c r="C312" s="194" t="s">
        <v>2029</v>
      </c>
      <c r="D312" s="173"/>
    </row>
    <row r="313" ht="15.75" customHeight="1">
      <c r="A313" s="168" t="s">
        <v>549</v>
      </c>
      <c r="B313" s="171" t="s">
        <v>2252</v>
      </c>
      <c r="C313" s="195"/>
      <c r="D313" s="195"/>
    </row>
    <row r="314" ht="15.75" customHeight="1">
      <c r="A314" s="168" t="s">
        <v>733</v>
      </c>
      <c r="B314" s="171" t="s">
        <v>2252</v>
      </c>
      <c r="C314" s="180"/>
      <c r="D314" s="180"/>
    </row>
    <row r="315" ht="15.75" customHeight="1">
      <c r="A315" s="174" t="s">
        <v>831</v>
      </c>
      <c r="B315" s="171" t="s">
        <v>2252</v>
      </c>
      <c r="C315" s="180"/>
      <c r="D315" s="180"/>
    </row>
    <row r="316" ht="15.75" customHeight="1">
      <c r="A316" s="168" t="s">
        <v>937</v>
      </c>
      <c r="B316" s="171" t="s">
        <v>2252</v>
      </c>
      <c r="C316" s="173"/>
      <c r="D316" s="173"/>
    </row>
    <row r="317" ht="15.75" customHeight="1">
      <c r="A317" s="168" t="s">
        <v>1524</v>
      </c>
      <c r="B317" s="171" t="s">
        <v>2252</v>
      </c>
      <c r="C317" s="173"/>
      <c r="D317" s="173"/>
    </row>
    <row r="318" ht="15.75" customHeight="1">
      <c r="A318" s="168" t="s">
        <v>1715</v>
      </c>
      <c r="B318" s="171" t="s">
        <v>2252</v>
      </c>
      <c r="C318" s="180"/>
      <c r="D318" s="180"/>
    </row>
    <row r="319" ht="15.75" customHeight="1">
      <c r="A319" s="168" t="s">
        <v>92</v>
      </c>
      <c r="B319" s="171" t="s">
        <v>2253</v>
      </c>
      <c r="C319" s="185" t="s">
        <v>2012</v>
      </c>
      <c r="D319" s="194"/>
    </row>
    <row r="320" ht="15.75" customHeight="1">
      <c r="A320" s="168" t="s">
        <v>93</v>
      </c>
      <c r="B320" s="171" t="s">
        <v>2253</v>
      </c>
      <c r="C320" s="173"/>
    </row>
    <row r="321" ht="15.75" customHeight="1">
      <c r="A321" s="174" t="s">
        <v>94</v>
      </c>
      <c r="B321" s="171" t="s">
        <v>2253</v>
      </c>
      <c r="C321" s="180"/>
      <c r="D321" s="180"/>
    </row>
    <row r="322" ht="15.75" customHeight="1">
      <c r="A322" s="174" t="s">
        <v>95</v>
      </c>
      <c r="B322" s="171" t="s">
        <v>2253</v>
      </c>
      <c r="C322" s="173"/>
      <c r="D322" s="173"/>
    </row>
    <row r="323" ht="15.75" customHeight="1">
      <c r="A323" s="174" t="s">
        <v>96</v>
      </c>
      <c r="B323" s="171" t="s">
        <v>2253</v>
      </c>
      <c r="C323" s="173"/>
      <c r="D323" s="173"/>
    </row>
    <row r="324" ht="15.75" customHeight="1">
      <c r="A324" s="185" t="s">
        <v>98</v>
      </c>
      <c r="B324" s="171" t="s">
        <v>2253</v>
      </c>
      <c r="C324" s="173"/>
      <c r="D324" s="194"/>
    </row>
    <row r="325" ht="15.75" customHeight="1">
      <c r="A325" s="174" t="s">
        <v>556</v>
      </c>
      <c r="B325" s="171" t="s">
        <v>2254</v>
      </c>
      <c r="C325" s="185" t="s">
        <v>2012</v>
      </c>
      <c r="D325" s="180"/>
    </row>
    <row r="326" ht="15.75" customHeight="1">
      <c r="A326" s="174" t="s">
        <v>671</v>
      </c>
      <c r="B326" s="171" t="s">
        <v>2254</v>
      </c>
      <c r="C326" s="185"/>
      <c r="D326" s="180"/>
    </row>
    <row r="327" ht="15.75" customHeight="1">
      <c r="A327" s="174" t="s">
        <v>999</v>
      </c>
      <c r="B327" s="171" t="s">
        <v>2254</v>
      </c>
      <c r="C327" s="180"/>
      <c r="D327" s="180"/>
    </row>
    <row r="328" ht="15.75" customHeight="1">
      <c r="A328" s="168" t="s">
        <v>1337</v>
      </c>
      <c r="B328" s="171" t="s">
        <v>2254</v>
      </c>
      <c r="C328" s="173"/>
      <c r="D328" s="173"/>
    </row>
    <row r="329" ht="15.75" customHeight="1">
      <c r="A329" s="168" t="s">
        <v>1651</v>
      </c>
      <c r="B329" s="171" t="s">
        <v>2254</v>
      </c>
      <c r="C329" s="173"/>
      <c r="D329" s="173"/>
    </row>
    <row r="330" ht="15.75" customHeight="1">
      <c r="A330" s="168" t="s">
        <v>1844</v>
      </c>
      <c r="B330" s="171" t="s">
        <v>2254</v>
      </c>
      <c r="C330" s="193"/>
      <c r="D330" s="193"/>
    </row>
    <row r="331" ht="15.75" customHeight="1">
      <c r="A331" s="168" t="s">
        <v>228</v>
      </c>
      <c r="B331" s="171" t="s">
        <v>2255</v>
      </c>
      <c r="C331" s="191" t="s">
        <v>2021</v>
      </c>
      <c r="D331" s="170"/>
    </row>
    <row r="332" ht="15.75" customHeight="1">
      <c r="A332" s="168" t="s">
        <v>1484</v>
      </c>
      <c r="B332" s="171" t="s">
        <v>2255</v>
      </c>
      <c r="C332" s="170"/>
      <c r="D332" s="170"/>
    </row>
    <row r="333" ht="15.75" customHeight="1">
      <c r="A333" s="168" t="s">
        <v>1851</v>
      </c>
      <c r="B333" s="171" t="s">
        <v>2255</v>
      </c>
      <c r="C333" s="170"/>
      <c r="D333" s="170"/>
    </row>
    <row r="334" ht="15.75" customHeight="1">
      <c r="A334" s="168" t="s">
        <v>1897</v>
      </c>
      <c r="B334" s="171" t="s">
        <v>2255</v>
      </c>
      <c r="C334" s="170"/>
      <c r="D334" s="170"/>
    </row>
    <row r="335" ht="15.75" customHeight="1">
      <c r="A335" s="174" t="s">
        <v>117</v>
      </c>
      <c r="B335" s="171" t="s">
        <v>2256</v>
      </c>
      <c r="C335" s="191" t="s">
        <v>2029</v>
      </c>
      <c r="D335" s="170"/>
    </row>
    <row r="336" ht="15.75" customHeight="1">
      <c r="A336" s="168" t="s">
        <v>140</v>
      </c>
      <c r="B336" s="171" t="s">
        <v>2256</v>
      </c>
      <c r="C336" s="170"/>
      <c r="D336" s="170"/>
    </row>
    <row r="337" ht="15.75" customHeight="1">
      <c r="A337" s="168" t="s">
        <v>812</v>
      </c>
      <c r="B337" s="171" t="s">
        <v>2256</v>
      </c>
      <c r="C337" s="170"/>
      <c r="D337" s="170"/>
    </row>
    <row r="338" ht="15.75" customHeight="1">
      <c r="A338" s="168" t="s">
        <v>861</v>
      </c>
      <c r="B338" s="171" t="s">
        <v>2256</v>
      </c>
      <c r="C338" s="170"/>
      <c r="D338" s="170"/>
    </row>
    <row r="339" ht="15.75" customHeight="1">
      <c r="A339" s="168" t="s">
        <v>1099</v>
      </c>
      <c r="B339" s="171" t="s">
        <v>2256</v>
      </c>
      <c r="C339" s="170"/>
      <c r="D339" s="170"/>
    </row>
    <row r="340" ht="15.75" customHeight="1">
      <c r="A340" s="168" t="s">
        <v>1964</v>
      </c>
      <c r="B340" s="171" t="s">
        <v>2256</v>
      </c>
      <c r="C340" s="191"/>
      <c r="D340" s="170"/>
    </row>
    <row r="341" ht="15.75" customHeight="1">
      <c r="A341" s="168" t="s">
        <v>190</v>
      </c>
      <c r="B341" s="171" t="s">
        <v>2257</v>
      </c>
      <c r="C341" s="191" t="s">
        <v>2012</v>
      </c>
      <c r="D341" s="170"/>
    </row>
    <row r="342" ht="15.75" customHeight="1">
      <c r="A342" s="174" t="s">
        <v>434</v>
      </c>
      <c r="B342" s="171" t="s">
        <v>2257</v>
      </c>
      <c r="C342" s="170"/>
      <c r="D342" s="170"/>
    </row>
    <row r="343" ht="15.75" customHeight="1">
      <c r="A343" s="174" t="s">
        <v>514</v>
      </c>
      <c r="B343" s="171" t="s">
        <v>2257</v>
      </c>
      <c r="C343" s="170"/>
      <c r="D343" s="170"/>
    </row>
    <row r="344" ht="15.75" customHeight="1">
      <c r="A344" s="174" t="s">
        <v>932</v>
      </c>
      <c r="B344" s="171" t="s">
        <v>2257</v>
      </c>
      <c r="C344" s="170"/>
      <c r="D344" s="170"/>
    </row>
    <row r="345" ht="15.75" customHeight="1">
      <c r="A345" s="174" t="s">
        <v>2055</v>
      </c>
      <c r="B345" s="171" t="s">
        <v>2257</v>
      </c>
      <c r="C345" s="170"/>
      <c r="D345" s="170"/>
    </row>
    <row r="346" ht="15.75" customHeight="1">
      <c r="A346" s="168" t="s">
        <v>1175</v>
      </c>
      <c r="B346" s="171" t="s">
        <v>2257</v>
      </c>
      <c r="C346" s="170"/>
      <c r="D346" s="170"/>
    </row>
    <row r="347" ht="15.75" customHeight="1">
      <c r="A347" s="168" t="s">
        <v>1205</v>
      </c>
      <c r="B347" s="171" t="s">
        <v>2257</v>
      </c>
      <c r="C347" s="170"/>
      <c r="D347" s="170"/>
    </row>
    <row r="348" ht="15.75" customHeight="1">
      <c r="A348" s="168" t="s">
        <v>1342</v>
      </c>
      <c r="B348" s="171" t="s">
        <v>2257</v>
      </c>
      <c r="C348" s="170"/>
      <c r="D348" s="170"/>
    </row>
    <row r="349" ht="15.75" customHeight="1">
      <c r="A349" s="174" t="s">
        <v>508</v>
      </c>
      <c r="B349" s="168" t="s">
        <v>2258</v>
      </c>
      <c r="C349" s="191" t="s">
        <v>2029</v>
      </c>
      <c r="D349" s="170"/>
    </row>
    <row r="350" ht="15.75" customHeight="1">
      <c r="A350" s="174" t="s">
        <v>844</v>
      </c>
      <c r="B350" s="168" t="s">
        <v>2258</v>
      </c>
      <c r="C350" s="170"/>
      <c r="D350" s="170"/>
    </row>
    <row r="351" ht="15.75" customHeight="1">
      <c r="A351" s="174" t="s">
        <v>892</v>
      </c>
      <c r="B351" s="168" t="s">
        <v>2258</v>
      </c>
      <c r="C351" s="170"/>
      <c r="D351" s="170"/>
    </row>
    <row r="352" ht="15.75" customHeight="1">
      <c r="A352" s="168" t="s">
        <v>1098</v>
      </c>
      <c r="B352" s="168" t="s">
        <v>2258</v>
      </c>
      <c r="C352" s="170"/>
      <c r="D352" s="170"/>
    </row>
    <row r="353" ht="15.75" customHeight="1">
      <c r="A353" s="168" t="s">
        <v>2056</v>
      </c>
      <c r="B353" s="168" t="s">
        <v>2258</v>
      </c>
      <c r="C353" s="170"/>
      <c r="D353" s="170"/>
    </row>
    <row r="354" ht="15.75" customHeight="1">
      <c r="A354" s="174" t="s">
        <v>223</v>
      </c>
      <c r="B354" s="168" t="s">
        <v>2259</v>
      </c>
      <c r="C354" s="191" t="s">
        <v>2021</v>
      </c>
      <c r="D354" s="170"/>
    </row>
    <row r="355" ht="15.75" customHeight="1">
      <c r="A355" s="168" t="s">
        <v>482</v>
      </c>
      <c r="B355" s="168" t="s">
        <v>2259</v>
      </c>
      <c r="C355" s="170"/>
      <c r="D355" s="170"/>
    </row>
    <row r="356" ht="15.75" customHeight="1">
      <c r="A356" s="174" t="s">
        <v>893</v>
      </c>
      <c r="B356" s="168" t="s">
        <v>2259</v>
      </c>
      <c r="C356" s="170"/>
      <c r="D356" s="170"/>
    </row>
    <row r="357" ht="15.75" customHeight="1">
      <c r="A357" s="168" t="s">
        <v>1028</v>
      </c>
      <c r="B357" s="168" t="s">
        <v>2259</v>
      </c>
      <c r="C357" s="170"/>
      <c r="D357" s="170"/>
    </row>
    <row r="358" ht="15.75" customHeight="1">
      <c r="A358" s="168" t="s">
        <v>1091</v>
      </c>
      <c r="B358" s="168" t="s">
        <v>2259</v>
      </c>
      <c r="C358" s="194"/>
      <c r="D358" s="173"/>
    </row>
    <row r="359" ht="15.75" customHeight="1">
      <c r="A359" s="174" t="s">
        <v>236</v>
      </c>
      <c r="B359" s="174" t="s">
        <v>2260</v>
      </c>
      <c r="C359" s="185" t="s">
        <v>2012</v>
      </c>
      <c r="D359" s="180"/>
    </row>
    <row r="360" ht="15.75" customHeight="1">
      <c r="A360" s="174" t="s">
        <v>289</v>
      </c>
      <c r="B360" s="174" t="s">
        <v>2260</v>
      </c>
      <c r="C360" s="170"/>
      <c r="D360" s="170"/>
    </row>
    <row r="361" ht="15.75" customHeight="1">
      <c r="A361" s="174" t="s">
        <v>373</v>
      </c>
      <c r="B361" s="174" t="s">
        <v>2260</v>
      </c>
      <c r="C361" s="173"/>
      <c r="D361" s="173"/>
    </row>
    <row r="362" ht="15.75" customHeight="1">
      <c r="A362" s="168" t="s">
        <v>1344</v>
      </c>
      <c r="B362" s="174" t="s">
        <v>2260</v>
      </c>
      <c r="C362" s="173"/>
      <c r="D362" s="173"/>
    </row>
    <row r="363" ht="15.75" customHeight="1">
      <c r="A363" s="174" t="s">
        <v>1410</v>
      </c>
      <c r="B363" s="174" t="s">
        <v>2260</v>
      </c>
      <c r="C363" s="170"/>
      <c r="D363" s="170"/>
    </row>
    <row r="364" ht="15.75" customHeight="1">
      <c r="A364" s="174" t="s">
        <v>1462</v>
      </c>
      <c r="B364" s="174" t="s">
        <v>2260</v>
      </c>
      <c r="C364" s="167"/>
      <c r="D364" s="167"/>
    </row>
    <row r="365" ht="15.75" customHeight="1">
      <c r="A365" s="174" t="s">
        <v>1646</v>
      </c>
      <c r="B365" s="174" t="s">
        <v>2260</v>
      </c>
      <c r="C365" s="180"/>
      <c r="D365" s="180"/>
    </row>
    <row r="366" ht="15.75" customHeight="1">
      <c r="A366" s="174" t="s">
        <v>2060</v>
      </c>
      <c r="B366" s="174" t="s">
        <v>2260</v>
      </c>
      <c r="C366" s="173"/>
      <c r="D366" s="173"/>
    </row>
    <row r="367" ht="15.75" customHeight="1">
      <c r="A367" s="168" t="s">
        <v>954</v>
      </c>
      <c r="B367" s="174" t="s">
        <v>2261</v>
      </c>
      <c r="C367" s="185" t="s">
        <v>2012</v>
      </c>
      <c r="D367" s="180"/>
    </row>
    <row r="368" ht="15.75" customHeight="1">
      <c r="A368" s="168" t="s">
        <v>2059</v>
      </c>
      <c r="B368" s="174" t="s">
        <v>2261</v>
      </c>
      <c r="C368" s="180"/>
      <c r="D368" s="180"/>
    </row>
    <row r="369" ht="15.75" customHeight="1">
      <c r="A369" s="168" t="s">
        <v>1336</v>
      </c>
      <c r="B369" s="174" t="s">
        <v>2261</v>
      </c>
      <c r="C369" s="180"/>
      <c r="D369" s="180"/>
    </row>
    <row r="370" ht="15.75" customHeight="1">
      <c r="A370" s="174" t="s">
        <v>1459</v>
      </c>
      <c r="B370" s="174" t="s">
        <v>2261</v>
      </c>
      <c r="C370" s="195"/>
      <c r="D370" s="195"/>
    </row>
    <row r="371" ht="15.75" customHeight="1">
      <c r="A371" s="174" t="s">
        <v>1640</v>
      </c>
      <c r="B371" s="174" t="s">
        <v>2261</v>
      </c>
      <c r="C371" s="195"/>
      <c r="D371" s="195"/>
    </row>
    <row r="372" ht="15.75" customHeight="1">
      <c r="A372" s="174" t="s">
        <v>1680</v>
      </c>
      <c r="B372" s="174" t="s">
        <v>2261</v>
      </c>
      <c r="C372" s="173"/>
      <c r="D372" s="173"/>
    </row>
    <row r="373" ht="15.75" customHeight="1">
      <c r="A373" s="174" t="s">
        <v>744</v>
      </c>
      <c r="B373" s="174" t="s">
        <v>2262</v>
      </c>
      <c r="C373" s="185" t="s">
        <v>2012</v>
      </c>
      <c r="D373" s="180"/>
    </row>
    <row r="374" ht="15.75" customHeight="1">
      <c r="A374" s="168" t="s">
        <v>958</v>
      </c>
      <c r="B374" s="174" t="s">
        <v>2262</v>
      </c>
      <c r="C374" s="173"/>
      <c r="D374" s="173"/>
    </row>
    <row r="375" ht="15.75" customHeight="1">
      <c r="A375" s="174" t="s">
        <v>1355</v>
      </c>
      <c r="B375" s="174" t="s">
        <v>2262</v>
      </c>
      <c r="C375" s="173"/>
      <c r="D375" s="173"/>
    </row>
    <row r="376" ht="15.75" customHeight="1">
      <c r="A376" s="168" t="s">
        <v>1442</v>
      </c>
      <c r="B376" s="174" t="s">
        <v>2262</v>
      </c>
      <c r="C376" s="173"/>
      <c r="D376" s="173"/>
    </row>
    <row r="377" ht="15.75" customHeight="1">
      <c r="A377" s="174" t="s">
        <v>1492</v>
      </c>
      <c r="B377" s="174" t="s">
        <v>2262</v>
      </c>
      <c r="C377" s="173"/>
      <c r="D377" s="173"/>
    </row>
    <row r="378" ht="15.75" customHeight="1">
      <c r="A378" s="174" t="s">
        <v>1548</v>
      </c>
      <c r="B378" s="174" t="s">
        <v>2262</v>
      </c>
      <c r="C378" s="180"/>
      <c r="D378" s="180"/>
    </row>
    <row r="379" ht="15.75" customHeight="1">
      <c r="A379" s="168" t="s">
        <v>354</v>
      </c>
      <c r="B379" s="174" t="s">
        <v>2263</v>
      </c>
      <c r="C379" s="185" t="s">
        <v>2012</v>
      </c>
      <c r="D379" s="180"/>
    </row>
    <row r="380" ht="15.75" customHeight="1">
      <c r="A380" s="168" t="s">
        <v>399</v>
      </c>
      <c r="B380" s="174" t="s">
        <v>2263</v>
      </c>
      <c r="C380" s="185"/>
      <c r="D380" s="180"/>
    </row>
    <row r="381" ht="15.75" customHeight="1">
      <c r="A381" s="168" t="s">
        <v>404</v>
      </c>
      <c r="B381" s="174" t="s">
        <v>2263</v>
      </c>
      <c r="C381" s="180"/>
      <c r="D381" s="180"/>
    </row>
    <row r="382" ht="15.75" customHeight="1">
      <c r="A382" s="168" t="s">
        <v>1087</v>
      </c>
      <c r="B382" s="174" t="s">
        <v>2263</v>
      </c>
      <c r="C382" s="180"/>
      <c r="D382" s="180"/>
    </row>
    <row r="383" ht="15.75" customHeight="1">
      <c r="A383" s="174" t="s">
        <v>1090</v>
      </c>
      <c r="B383" s="174" t="s">
        <v>2263</v>
      </c>
      <c r="C383" s="173"/>
      <c r="D383" s="173"/>
    </row>
    <row r="384" ht="15.75" customHeight="1">
      <c r="A384" s="168" t="s">
        <v>701</v>
      </c>
      <c r="B384" s="174" t="s">
        <v>2264</v>
      </c>
      <c r="C384" s="194" t="s">
        <v>2012</v>
      </c>
      <c r="D384" s="173"/>
    </row>
    <row r="385" ht="15.75" customHeight="1">
      <c r="A385" s="174" t="s">
        <v>704</v>
      </c>
      <c r="B385" s="174" t="s">
        <v>2264</v>
      </c>
      <c r="C385" s="173"/>
      <c r="D385" s="173"/>
    </row>
    <row r="386" ht="15.75" customHeight="1">
      <c r="A386" s="174" t="s">
        <v>750</v>
      </c>
      <c r="B386" s="174" t="s">
        <v>2264</v>
      </c>
      <c r="C386" s="180"/>
      <c r="D386" s="180"/>
    </row>
    <row r="387" ht="15.75" customHeight="1">
      <c r="A387" s="174" t="s">
        <v>752</v>
      </c>
      <c r="B387" s="174" t="s">
        <v>2264</v>
      </c>
      <c r="C387" s="180"/>
      <c r="D387" s="180"/>
    </row>
    <row r="388" ht="15.75" customHeight="1">
      <c r="A388" s="168" t="s">
        <v>951</v>
      </c>
      <c r="B388" s="174" t="s">
        <v>2264</v>
      </c>
      <c r="C388" s="180"/>
      <c r="D388" s="180"/>
    </row>
    <row r="389" ht="15.75" customHeight="1">
      <c r="A389" s="168" t="s">
        <v>967</v>
      </c>
      <c r="B389" s="174" t="s">
        <v>2264</v>
      </c>
      <c r="C389" s="180"/>
      <c r="D389" s="180"/>
    </row>
    <row r="390" ht="15.75" customHeight="1">
      <c r="A390" s="168" t="s">
        <v>106</v>
      </c>
      <c r="B390" s="174" t="s">
        <v>2265</v>
      </c>
      <c r="C390" s="185" t="s">
        <v>2012</v>
      </c>
      <c r="D390" s="180"/>
    </row>
    <row r="391" ht="15.75" customHeight="1">
      <c r="A391" s="174" t="s">
        <v>880</v>
      </c>
      <c r="B391" s="174" t="s">
        <v>2265</v>
      </c>
      <c r="C391" s="180"/>
      <c r="D391" s="180"/>
    </row>
    <row r="392" ht="15.75" customHeight="1">
      <c r="A392" s="174" t="s">
        <v>889</v>
      </c>
      <c r="B392" s="174" t="s">
        <v>2265</v>
      </c>
      <c r="C392" s="180"/>
      <c r="D392" s="180"/>
    </row>
    <row r="393" ht="15.75" customHeight="1">
      <c r="A393" s="174" t="s">
        <v>1050</v>
      </c>
      <c r="B393" s="174" t="s">
        <v>2265</v>
      </c>
      <c r="C393" s="180"/>
      <c r="D393" s="180"/>
    </row>
    <row r="394" ht="15.75" customHeight="1">
      <c r="A394" s="174" t="s">
        <v>1396</v>
      </c>
      <c r="B394" s="174" t="s">
        <v>2265</v>
      </c>
      <c r="C394" s="180"/>
      <c r="D394" s="180"/>
    </row>
    <row r="395" ht="15.75" customHeight="1">
      <c r="A395" s="174" t="s">
        <v>1425</v>
      </c>
      <c r="B395" s="174" t="s">
        <v>2265</v>
      </c>
      <c r="C395" s="180"/>
      <c r="D395" s="180"/>
    </row>
    <row r="396" ht="15.75" customHeight="1">
      <c r="A396" s="174" t="s">
        <v>1431</v>
      </c>
      <c r="B396" s="174" t="s">
        <v>2265</v>
      </c>
      <c r="C396" s="180"/>
      <c r="D396" s="180"/>
    </row>
    <row r="397" ht="15.75" customHeight="1">
      <c r="A397" s="174" t="s">
        <v>332</v>
      </c>
      <c r="B397" s="174" t="s">
        <v>2266</v>
      </c>
      <c r="C397" s="185" t="s">
        <v>2012</v>
      </c>
      <c r="D397" s="180"/>
    </row>
    <row r="398" ht="15.75" customHeight="1">
      <c r="A398" s="174" t="s">
        <v>2057</v>
      </c>
      <c r="B398" s="174" t="s">
        <v>2266</v>
      </c>
      <c r="C398" s="180"/>
      <c r="D398" s="180"/>
    </row>
    <row r="399" ht="15.75" customHeight="1">
      <c r="A399" s="168" t="s">
        <v>2058</v>
      </c>
      <c r="B399" s="174" t="s">
        <v>2266</v>
      </c>
      <c r="C399" s="180"/>
      <c r="D399" s="180"/>
    </row>
    <row r="400" ht="15.75" customHeight="1">
      <c r="A400" s="174" t="s">
        <v>1010</v>
      </c>
      <c r="B400" s="174" t="s">
        <v>2266</v>
      </c>
      <c r="C400" s="180"/>
      <c r="D400" s="180"/>
    </row>
    <row r="401" ht="15.75" customHeight="1">
      <c r="A401" s="174" t="s">
        <v>1865</v>
      </c>
      <c r="B401" s="174" t="s">
        <v>2266</v>
      </c>
      <c r="C401" s="180"/>
      <c r="D401" s="180"/>
    </row>
    <row r="402" ht="15.75" customHeight="1">
      <c r="A402" s="174" t="s">
        <v>1866</v>
      </c>
      <c r="B402" s="174" t="s">
        <v>2266</v>
      </c>
      <c r="C402" s="180"/>
      <c r="D402" s="180"/>
    </row>
    <row r="403" ht="15.75" customHeight="1">
      <c r="A403" s="168" t="s">
        <v>336</v>
      </c>
      <c r="B403" s="168" t="s">
        <v>2267</v>
      </c>
      <c r="C403" s="185" t="s">
        <v>2029</v>
      </c>
      <c r="D403" s="180"/>
    </row>
    <row r="404" ht="15.75" customHeight="1">
      <c r="A404" s="174" t="s">
        <v>698</v>
      </c>
      <c r="B404" s="168" t="s">
        <v>2267</v>
      </c>
      <c r="C404" s="180"/>
      <c r="D404" s="180"/>
    </row>
    <row r="405" ht="15.75" customHeight="1">
      <c r="A405" s="168" t="s">
        <v>719</v>
      </c>
      <c r="B405" s="168" t="s">
        <v>2267</v>
      </c>
      <c r="C405" s="180"/>
      <c r="D405" s="180"/>
    </row>
    <row r="406" ht="15.75" customHeight="1">
      <c r="A406" s="174" t="s">
        <v>747</v>
      </c>
      <c r="B406" s="168" t="s">
        <v>2267</v>
      </c>
      <c r="C406" s="180"/>
      <c r="D406" s="180"/>
    </row>
    <row r="407" ht="15.75" customHeight="1">
      <c r="A407" s="174" t="s">
        <v>1642</v>
      </c>
      <c r="B407" s="168" t="s">
        <v>2267</v>
      </c>
      <c r="C407" s="180"/>
      <c r="D407" s="180"/>
    </row>
    <row r="408" ht="15.75" customHeight="1">
      <c r="A408" s="174" t="s">
        <v>805</v>
      </c>
      <c r="B408" s="168" t="s">
        <v>2268</v>
      </c>
      <c r="C408" s="185" t="s">
        <v>2012</v>
      </c>
      <c r="D408" s="180"/>
    </row>
    <row r="409" ht="15.75" customHeight="1">
      <c r="A409" s="174" t="s">
        <v>2062</v>
      </c>
      <c r="B409" s="168" t="s">
        <v>2268</v>
      </c>
      <c r="C409" s="180"/>
      <c r="D409" s="180"/>
    </row>
    <row r="410" ht="15.75" customHeight="1">
      <c r="A410" s="174" t="s">
        <v>797</v>
      </c>
      <c r="B410" s="168" t="s">
        <v>2269</v>
      </c>
      <c r="C410" s="194" t="s">
        <v>2012</v>
      </c>
      <c r="D410" s="173"/>
    </row>
    <row r="411" ht="15.75" customHeight="1">
      <c r="A411" s="174" t="s">
        <v>798</v>
      </c>
      <c r="B411" s="168" t="s">
        <v>2269</v>
      </c>
      <c r="C411" s="194"/>
      <c r="D411" s="173"/>
    </row>
    <row r="412" ht="15.75" customHeight="1">
      <c r="A412" s="168" t="s">
        <v>2065</v>
      </c>
      <c r="B412" s="168" t="s">
        <v>2269</v>
      </c>
      <c r="C412" s="167"/>
      <c r="D412" s="167"/>
    </row>
    <row r="413" ht="15.75" customHeight="1">
      <c r="A413" s="171" t="s">
        <v>803</v>
      </c>
      <c r="B413" s="168" t="s">
        <v>2269</v>
      </c>
      <c r="C413" s="170"/>
      <c r="D413" s="170"/>
    </row>
    <row r="414" ht="15.75" customHeight="1">
      <c r="A414" s="166" t="s">
        <v>2066</v>
      </c>
      <c r="B414" s="168" t="s">
        <v>2269</v>
      </c>
      <c r="C414" s="170"/>
      <c r="D414" s="170"/>
    </row>
    <row r="415" ht="15.75" customHeight="1">
      <c r="A415" s="171" t="s">
        <v>807</v>
      </c>
      <c r="B415" s="168" t="s">
        <v>2269</v>
      </c>
      <c r="C415" s="173"/>
      <c r="D415" s="173"/>
    </row>
    <row r="416" ht="15.75" customHeight="1">
      <c r="A416" s="174" t="s">
        <v>2270</v>
      </c>
      <c r="B416" s="174" t="s">
        <v>2271</v>
      </c>
      <c r="C416" s="194" t="s">
        <v>2012</v>
      </c>
      <c r="D416" s="180"/>
    </row>
    <row r="417" ht="15.75" customHeight="1">
      <c r="A417" s="174" t="s">
        <v>800</v>
      </c>
      <c r="B417" s="174" t="s">
        <v>2271</v>
      </c>
      <c r="C417" s="167"/>
      <c r="D417" s="167"/>
    </row>
    <row r="418" ht="15.75" customHeight="1">
      <c r="A418" s="174" t="s">
        <v>801</v>
      </c>
      <c r="B418" s="174" t="s">
        <v>2271</v>
      </c>
      <c r="C418" s="167"/>
      <c r="D418" s="167"/>
    </row>
    <row r="419" ht="15.75" customHeight="1">
      <c r="A419" s="171" t="s">
        <v>809</v>
      </c>
      <c r="B419" s="174" t="s">
        <v>2271</v>
      </c>
      <c r="C419" s="170"/>
      <c r="D419" s="170"/>
    </row>
    <row r="420" ht="15.75" customHeight="1">
      <c r="A420" s="171" t="s">
        <v>811</v>
      </c>
      <c r="B420" s="174" t="s">
        <v>2271</v>
      </c>
      <c r="C420" s="167"/>
      <c r="D420" s="167"/>
    </row>
    <row r="421" ht="15.75" customHeight="1">
      <c r="A421" s="168" t="s">
        <v>244</v>
      </c>
      <c r="B421" s="174" t="s">
        <v>2272</v>
      </c>
      <c r="C421" s="191" t="s">
        <v>2273</v>
      </c>
      <c r="D421" s="170"/>
    </row>
    <row r="422" ht="15.75" customHeight="1">
      <c r="A422" s="168" t="s">
        <v>245</v>
      </c>
      <c r="B422" s="174" t="s">
        <v>2272</v>
      </c>
      <c r="C422" s="167"/>
      <c r="D422" s="167"/>
    </row>
    <row r="423" ht="15.75" customHeight="1">
      <c r="A423" s="171" t="s">
        <v>1125</v>
      </c>
      <c r="B423" s="174" t="s">
        <v>2272</v>
      </c>
      <c r="C423" s="170"/>
      <c r="D423" s="170"/>
    </row>
    <row r="424" ht="15.75" customHeight="1">
      <c r="A424" s="171" t="s">
        <v>1123</v>
      </c>
      <c r="B424" s="174" t="s">
        <v>2272</v>
      </c>
      <c r="C424" s="173"/>
      <c r="D424" s="173"/>
    </row>
    <row r="425" ht="15.75" customHeight="1">
      <c r="A425" s="171" t="s">
        <v>2068</v>
      </c>
      <c r="B425" s="174" t="s">
        <v>2272</v>
      </c>
      <c r="C425" s="173"/>
      <c r="D425" s="173"/>
    </row>
    <row r="426" ht="15.75" customHeight="1">
      <c r="A426" s="168" t="s">
        <v>769</v>
      </c>
      <c r="B426" s="174" t="s">
        <v>2274</v>
      </c>
      <c r="C426" s="185" t="s">
        <v>2012</v>
      </c>
      <c r="D426" s="180"/>
    </row>
    <row r="427" ht="15.75" customHeight="1">
      <c r="A427" s="171" t="s">
        <v>2069</v>
      </c>
      <c r="B427" s="174" t="s">
        <v>2274</v>
      </c>
      <c r="C427" s="180"/>
      <c r="D427" s="180"/>
    </row>
    <row r="428" ht="15.75" customHeight="1">
      <c r="A428" s="171" t="s">
        <v>2070</v>
      </c>
      <c r="B428" s="174" t="s">
        <v>2274</v>
      </c>
      <c r="C428" s="180"/>
      <c r="D428" s="180"/>
    </row>
    <row r="429" ht="15.75" customHeight="1">
      <c r="A429" s="171" t="s">
        <v>2071</v>
      </c>
      <c r="B429" s="174" t="s">
        <v>2274</v>
      </c>
      <c r="C429" s="180"/>
      <c r="D429" s="180"/>
    </row>
    <row r="430" ht="15.75" customHeight="1">
      <c r="A430" s="171" t="s">
        <v>2072</v>
      </c>
      <c r="B430" s="174" t="s">
        <v>2274</v>
      </c>
      <c r="C430" s="180"/>
      <c r="D430" s="180"/>
    </row>
    <row r="431" ht="15.75" customHeight="1">
      <c r="A431" s="171" t="s">
        <v>1671</v>
      </c>
      <c r="B431" s="174" t="s">
        <v>2274</v>
      </c>
      <c r="C431" s="173"/>
      <c r="D431" s="173"/>
    </row>
    <row r="432" ht="15.75" customHeight="1">
      <c r="A432" s="174" t="s">
        <v>135</v>
      </c>
      <c r="B432" s="168" t="s">
        <v>2275</v>
      </c>
      <c r="C432" s="194" t="s">
        <v>2012</v>
      </c>
      <c r="D432" s="173"/>
    </row>
    <row r="433" ht="15.75" customHeight="1">
      <c r="A433" s="174" t="s">
        <v>328</v>
      </c>
      <c r="B433" s="168" t="s">
        <v>2275</v>
      </c>
      <c r="C433" s="173"/>
      <c r="D433" s="173"/>
    </row>
    <row r="434" ht="15.75" customHeight="1">
      <c r="A434" s="174" t="s">
        <v>2064</v>
      </c>
      <c r="B434" s="168" t="s">
        <v>2275</v>
      </c>
      <c r="C434" s="173"/>
      <c r="D434" s="173"/>
    </row>
    <row r="435" ht="15.75" customHeight="1">
      <c r="A435" s="168" t="s">
        <v>439</v>
      </c>
      <c r="B435" s="168" t="s">
        <v>2275</v>
      </c>
      <c r="C435" s="167"/>
      <c r="D435" s="167"/>
    </row>
    <row r="436" ht="15.75" customHeight="1">
      <c r="A436" s="174" t="s">
        <v>445</v>
      </c>
      <c r="B436" s="168" t="s">
        <v>2275</v>
      </c>
      <c r="C436" s="173"/>
      <c r="D436" s="173"/>
    </row>
    <row r="437" ht="15.75" customHeight="1">
      <c r="A437" s="171" t="s">
        <v>838</v>
      </c>
      <c r="B437" s="168" t="s">
        <v>2275</v>
      </c>
      <c r="C437" s="173"/>
      <c r="D437" s="173"/>
    </row>
    <row r="438" ht="15.75" customHeight="1">
      <c r="A438" s="171" t="s">
        <v>931</v>
      </c>
      <c r="B438" s="168" t="s">
        <v>2275</v>
      </c>
      <c r="C438" s="180"/>
      <c r="D438" s="180"/>
    </row>
    <row r="439" ht="15.75" customHeight="1">
      <c r="A439" s="171" t="s">
        <v>1406</v>
      </c>
      <c r="B439" s="168" t="s">
        <v>2275</v>
      </c>
      <c r="C439" s="170"/>
      <c r="D439" s="170"/>
    </row>
    <row r="440" ht="15.75" customHeight="1">
      <c r="A440" s="171" t="s">
        <v>1407</v>
      </c>
      <c r="B440" s="168" t="s">
        <v>2275</v>
      </c>
      <c r="C440" s="173"/>
      <c r="D440" s="173"/>
    </row>
    <row r="441" ht="15.75" customHeight="1">
      <c r="A441" s="171" t="s">
        <v>1799</v>
      </c>
      <c r="B441" s="168" t="s">
        <v>2275</v>
      </c>
      <c r="C441" s="180"/>
      <c r="D441" s="180"/>
    </row>
    <row r="442" ht="15.75" customHeight="1">
      <c r="A442" s="171" t="s">
        <v>1950</v>
      </c>
      <c r="B442" s="168" t="s">
        <v>2275</v>
      </c>
      <c r="C442" s="180"/>
      <c r="D442" s="180"/>
    </row>
    <row r="443" ht="15.75" customHeight="1">
      <c r="A443" s="168" t="s">
        <v>146</v>
      </c>
      <c r="B443" s="174" t="s">
        <v>2276</v>
      </c>
      <c r="C443" s="185" t="s">
        <v>2029</v>
      </c>
      <c r="D443" s="180"/>
    </row>
    <row r="444" ht="15.75" customHeight="1">
      <c r="A444" s="168" t="s">
        <v>486</v>
      </c>
      <c r="B444" s="174" t="s">
        <v>2276</v>
      </c>
      <c r="C444" s="185"/>
      <c r="D444" s="180"/>
    </row>
    <row r="445" ht="15.75" customHeight="1">
      <c r="A445" s="171" t="s">
        <v>1366</v>
      </c>
      <c r="B445" s="174" t="s">
        <v>2276</v>
      </c>
      <c r="C445" s="170"/>
      <c r="D445" s="170"/>
    </row>
    <row r="446" ht="15.75" customHeight="1">
      <c r="A446" s="171" t="s">
        <v>1399</v>
      </c>
      <c r="B446" s="174" t="s">
        <v>2276</v>
      </c>
      <c r="C446" s="170"/>
      <c r="D446" s="170"/>
    </row>
    <row r="447" ht="15.75" customHeight="1">
      <c r="A447" s="171" t="s">
        <v>1711</v>
      </c>
      <c r="B447" s="174" t="s">
        <v>2276</v>
      </c>
      <c r="C447" s="170"/>
      <c r="D447" s="170"/>
    </row>
    <row r="448" ht="15.75" customHeight="1">
      <c r="A448" s="174" t="s">
        <v>422</v>
      </c>
      <c r="B448" s="168" t="s">
        <v>2277</v>
      </c>
      <c r="C448" s="191" t="s">
        <v>2012</v>
      </c>
      <c r="D448" s="170"/>
    </row>
    <row r="449" ht="15.75" customHeight="1">
      <c r="A449" s="166" t="s">
        <v>681</v>
      </c>
      <c r="B449" s="168" t="s">
        <v>2277</v>
      </c>
      <c r="C449" s="170"/>
      <c r="D449" s="170"/>
    </row>
    <row r="450" ht="15.75" customHeight="1">
      <c r="A450" s="171" t="s">
        <v>683</v>
      </c>
      <c r="B450" s="168" t="s">
        <v>2277</v>
      </c>
      <c r="C450" s="170"/>
      <c r="D450" s="170"/>
    </row>
    <row r="451" ht="15.75" customHeight="1">
      <c r="A451" s="171" t="s">
        <v>1412</v>
      </c>
      <c r="B451" s="168" t="s">
        <v>2277</v>
      </c>
      <c r="C451" s="170"/>
      <c r="D451" s="170"/>
    </row>
    <row r="452" ht="15.75" customHeight="1">
      <c r="A452" s="171" t="s">
        <v>1413</v>
      </c>
      <c r="B452" s="168" t="s">
        <v>2277</v>
      </c>
      <c r="C452" s="170"/>
      <c r="D452" s="170"/>
    </row>
    <row r="453" ht="15.75" customHeight="1">
      <c r="A453" s="174" t="s">
        <v>664</v>
      </c>
      <c r="B453" s="168" t="s">
        <v>2278</v>
      </c>
      <c r="C453" s="191" t="s">
        <v>2021</v>
      </c>
      <c r="D453" s="170"/>
    </row>
    <row r="454" ht="15.75" customHeight="1">
      <c r="A454" s="171" t="s">
        <v>2067</v>
      </c>
      <c r="B454" s="168" t="s">
        <v>2278</v>
      </c>
      <c r="C454" s="170"/>
      <c r="D454" s="170"/>
    </row>
    <row r="455" ht="15.75" customHeight="1">
      <c r="A455" s="171" t="s">
        <v>1300</v>
      </c>
      <c r="B455" s="168" t="s">
        <v>2278</v>
      </c>
      <c r="C455" s="191"/>
      <c r="D455" s="170"/>
    </row>
    <row r="456" ht="15.75" customHeight="1">
      <c r="A456" s="168" t="s">
        <v>526</v>
      </c>
      <c r="B456" s="171" t="s">
        <v>2279</v>
      </c>
      <c r="C456" s="191" t="s">
        <v>2012</v>
      </c>
      <c r="D456" s="170"/>
    </row>
    <row r="457" ht="15.75" customHeight="1">
      <c r="A457" s="166" t="s">
        <v>2077</v>
      </c>
      <c r="B457" s="171" t="s">
        <v>2279</v>
      </c>
      <c r="C457" s="185"/>
      <c r="D457" s="180"/>
    </row>
    <row r="458" ht="15.75" customHeight="1">
      <c r="A458" s="174" t="s">
        <v>749</v>
      </c>
      <c r="B458" s="171" t="s">
        <v>2279</v>
      </c>
      <c r="C458" s="170"/>
      <c r="D458" s="170"/>
    </row>
    <row r="459" ht="15.75" customHeight="1">
      <c r="A459" s="168" t="s">
        <v>1025</v>
      </c>
      <c r="B459" s="171" t="s">
        <v>2279</v>
      </c>
      <c r="C459" s="170"/>
      <c r="D459" s="170"/>
    </row>
    <row r="460" ht="15.75" customHeight="1">
      <c r="A460" s="168" t="s">
        <v>1613</v>
      </c>
      <c r="B460" s="171" t="s">
        <v>2279</v>
      </c>
      <c r="C460" s="170"/>
      <c r="D460" s="170"/>
    </row>
    <row r="461" ht="15.75" customHeight="1">
      <c r="A461" s="174" t="s">
        <v>37</v>
      </c>
      <c r="B461" s="171" t="s">
        <v>2280</v>
      </c>
      <c r="C461" s="191" t="s">
        <v>2063</v>
      </c>
      <c r="D461" s="170"/>
    </row>
    <row r="462" ht="15.75" customHeight="1">
      <c r="A462" s="174" t="s">
        <v>315</v>
      </c>
      <c r="B462" s="171" t="s">
        <v>2280</v>
      </c>
      <c r="C462" s="173"/>
      <c r="D462" s="173"/>
    </row>
    <row r="463" ht="15.75" customHeight="1">
      <c r="A463" s="174" t="s">
        <v>401</v>
      </c>
      <c r="B463" s="171" t="s">
        <v>2280</v>
      </c>
      <c r="C463" s="167"/>
      <c r="D463" s="167"/>
    </row>
    <row r="464" ht="15.75" customHeight="1">
      <c r="A464" s="174" t="s">
        <v>530</v>
      </c>
      <c r="B464" s="171" t="s">
        <v>2280</v>
      </c>
      <c r="C464" s="170"/>
      <c r="D464" s="170"/>
    </row>
    <row r="465" ht="15.75" customHeight="1">
      <c r="A465" s="174" t="s">
        <v>927</v>
      </c>
      <c r="B465" s="171" t="s">
        <v>2280</v>
      </c>
      <c r="C465" s="167"/>
      <c r="D465" s="167"/>
    </row>
    <row r="466" ht="15.75" customHeight="1">
      <c r="A466" s="174" t="s">
        <v>1805</v>
      </c>
      <c r="B466" s="171" t="s">
        <v>2280</v>
      </c>
      <c r="C466" s="170"/>
      <c r="D466" s="170"/>
    </row>
    <row r="467" ht="15.75" customHeight="1">
      <c r="A467" s="174" t="s">
        <v>634</v>
      </c>
      <c r="B467" s="166" t="s">
        <v>2281</v>
      </c>
      <c r="C467" s="192" t="s">
        <v>2021</v>
      </c>
      <c r="D467" s="170"/>
    </row>
    <row r="468" ht="15.75" customHeight="1">
      <c r="A468" s="174" t="s">
        <v>759</v>
      </c>
      <c r="B468" s="166" t="s">
        <v>2281</v>
      </c>
      <c r="C468" s="173"/>
      <c r="D468" s="173"/>
    </row>
    <row r="469" ht="15.75" customHeight="1">
      <c r="A469" s="168" t="s">
        <v>833</v>
      </c>
      <c r="B469" s="166" t="s">
        <v>2281</v>
      </c>
      <c r="C469" s="180"/>
      <c r="D469" s="180"/>
    </row>
    <row r="470" ht="15.75" customHeight="1">
      <c r="A470" s="174" t="s">
        <v>895</v>
      </c>
      <c r="B470" s="166" t="s">
        <v>2281</v>
      </c>
      <c r="C470" s="173"/>
      <c r="D470" s="173"/>
    </row>
    <row r="471" ht="15.75" customHeight="1">
      <c r="A471" s="174" t="s">
        <v>1333</v>
      </c>
      <c r="B471" s="166" t="s">
        <v>2281</v>
      </c>
      <c r="C471" s="180"/>
      <c r="D471" s="180"/>
    </row>
    <row r="472" ht="15.75" customHeight="1">
      <c r="A472" s="168" t="s">
        <v>1334</v>
      </c>
      <c r="B472" s="166" t="s">
        <v>2281</v>
      </c>
      <c r="C472" s="180"/>
      <c r="D472" s="180"/>
    </row>
    <row r="473" ht="15.75" customHeight="1">
      <c r="A473" s="174" t="s">
        <v>1455</v>
      </c>
      <c r="B473" s="166" t="s">
        <v>2281</v>
      </c>
      <c r="C473" s="173"/>
      <c r="D473" s="173"/>
    </row>
    <row r="474" ht="15.75" customHeight="1">
      <c r="A474" s="174" t="s">
        <v>314</v>
      </c>
      <c r="B474" s="174" t="s">
        <v>2282</v>
      </c>
      <c r="C474" s="185" t="s">
        <v>2090</v>
      </c>
      <c r="D474" s="180"/>
    </row>
    <row r="475" ht="15.75" customHeight="1">
      <c r="A475" s="168" t="s">
        <v>448</v>
      </c>
      <c r="B475" s="174" t="s">
        <v>2282</v>
      </c>
      <c r="C475" s="180"/>
      <c r="D475" s="180"/>
    </row>
    <row r="476" ht="15.75" customHeight="1">
      <c r="A476" s="174" t="s">
        <v>2076</v>
      </c>
      <c r="B476" s="174" t="s">
        <v>2282</v>
      </c>
      <c r="C476" s="180"/>
      <c r="D476" s="180"/>
    </row>
    <row r="477" ht="15.75" customHeight="1">
      <c r="A477" s="168" t="s">
        <v>741</v>
      </c>
      <c r="B477" s="174" t="s">
        <v>2282</v>
      </c>
      <c r="C477" s="173"/>
      <c r="D477" s="173"/>
    </row>
    <row r="478" ht="15.75" customHeight="1">
      <c r="A478" s="174" t="s">
        <v>869</v>
      </c>
      <c r="B478" s="174" t="s">
        <v>2282</v>
      </c>
      <c r="C478" s="180"/>
      <c r="D478" s="180"/>
    </row>
    <row r="479" ht="15.75" customHeight="1">
      <c r="A479" s="168" t="s">
        <v>2078</v>
      </c>
      <c r="B479" s="174" t="s">
        <v>2282</v>
      </c>
      <c r="C479" s="180"/>
      <c r="D479" s="180"/>
    </row>
    <row r="480" ht="15.75" customHeight="1">
      <c r="A480" s="168" t="s">
        <v>1519</v>
      </c>
      <c r="B480" s="174" t="s">
        <v>2282</v>
      </c>
      <c r="C480" s="180"/>
      <c r="D480" s="180"/>
    </row>
    <row r="481" ht="15.75" customHeight="1">
      <c r="A481" s="174" t="s">
        <v>1741</v>
      </c>
      <c r="B481" s="174" t="s">
        <v>2282</v>
      </c>
      <c r="C481" s="180"/>
      <c r="D481" s="180"/>
    </row>
    <row r="482" ht="15.75" customHeight="1">
      <c r="A482" s="174" t="s">
        <v>393</v>
      </c>
      <c r="B482" s="168" t="s">
        <v>2283</v>
      </c>
      <c r="C482" s="185" t="s">
        <v>2012</v>
      </c>
      <c r="D482" s="180"/>
    </row>
    <row r="483" ht="15.75" customHeight="1">
      <c r="A483" s="174" t="s">
        <v>516</v>
      </c>
      <c r="B483" s="168" t="s">
        <v>2283</v>
      </c>
      <c r="C483" s="180"/>
      <c r="D483" s="180"/>
    </row>
    <row r="484" ht="15.75" customHeight="1">
      <c r="A484" s="174" t="s">
        <v>1575</v>
      </c>
      <c r="B484" s="168" t="s">
        <v>2283</v>
      </c>
      <c r="C484" s="180"/>
      <c r="D484" s="180"/>
    </row>
    <row r="485" ht="15.75" customHeight="1">
      <c r="A485" s="168" t="s">
        <v>653</v>
      </c>
      <c r="B485" s="168" t="s">
        <v>2284</v>
      </c>
      <c r="C485" s="185" t="s">
        <v>2021</v>
      </c>
      <c r="D485" s="180"/>
    </row>
    <row r="486" ht="15.75" customHeight="1">
      <c r="A486" s="174" t="s">
        <v>2075</v>
      </c>
      <c r="B486" s="168" t="s">
        <v>2284</v>
      </c>
      <c r="C486" s="180"/>
      <c r="D486" s="180"/>
    </row>
    <row r="487" ht="15.75" customHeight="1">
      <c r="A487" s="168" t="s">
        <v>592</v>
      </c>
      <c r="B487" s="174" t="s">
        <v>2285</v>
      </c>
      <c r="C487" s="185" t="s">
        <v>2029</v>
      </c>
      <c r="D487" s="180"/>
    </row>
    <row r="488" ht="15.75" customHeight="1">
      <c r="A488" s="166" t="s">
        <v>1131</v>
      </c>
      <c r="B488" s="174" t="s">
        <v>2285</v>
      </c>
      <c r="C488" s="180"/>
      <c r="D488" s="180"/>
    </row>
    <row r="489" ht="15.75" customHeight="1">
      <c r="A489" s="166" t="s">
        <v>1132</v>
      </c>
      <c r="B489" s="174" t="s">
        <v>2285</v>
      </c>
      <c r="C489" s="180"/>
      <c r="D489" s="180"/>
    </row>
    <row r="490" ht="15.75" customHeight="1">
      <c r="A490" s="166" t="s">
        <v>1405</v>
      </c>
      <c r="B490" s="174" t="s">
        <v>2285</v>
      </c>
      <c r="C490" s="180"/>
      <c r="D490" s="180"/>
    </row>
    <row r="491" ht="15.75" customHeight="1">
      <c r="A491" s="166" t="s">
        <v>1159</v>
      </c>
      <c r="B491" s="168" t="s">
        <v>2286</v>
      </c>
      <c r="C491" s="185" t="s">
        <v>2090</v>
      </c>
      <c r="D491" s="185"/>
    </row>
    <row r="492" ht="15.75" customHeight="1">
      <c r="A492" s="168" t="s">
        <v>1052</v>
      </c>
      <c r="B492" s="168" t="s">
        <v>2286</v>
      </c>
      <c r="C492" s="180"/>
      <c r="D492" s="180"/>
    </row>
    <row r="493" ht="15.75" customHeight="1">
      <c r="A493" s="168" t="s">
        <v>45</v>
      </c>
      <c r="B493" s="176" t="s">
        <v>46</v>
      </c>
      <c r="C493" s="192" t="s">
        <v>2079</v>
      </c>
      <c r="D493" s="192" t="s">
        <v>2287</v>
      </c>
    </row>
    <row r="494" ht="15.75" customHeight="1">
      <c r="A494" s="174" t="s">
        <v>47</v>
      </c>
      <c r="B494" s="169" t="s">
        <v>46</v>
      </c>
      <c r="C494" s="170"/>
      <c r="D494" s="170"/>
    </row>
    <row r="495" ht="15.75" customHeight="1">
      <c r="A495" s="174" t="s">
        <v>2080</v>
      </c>
      <c r="B495" s="169" t="s">
        <v>46</v>
      </c>
      <c r="C495" s="170"/>
      <c r="D495" s="170"/>
    </row>
    <row r="496" ht="15.75" customHeight="1">
      <c r="A496" s="168" t="s">
        <v>81</v>
      </c>
      <c r="B496" s="175" t="s">
        <v>46</v>
      </c>
      <c r="C496" s="173"/>
      <c r="D496" s="173"/>
    </row>
    <row r="497" ht="15.75" customHeight="1">
      <c r="A497" s="174" t="s">
        <v>2081</v>
      </c>
      <c r="B497" s="169" t="s">
        <v>46</v>
      </c>
      <c r="C497" s="170"/>
      <c r="D497" s="170"/>
    </row>
    <row r="498" ht="15.75" customHeight="1">
      <c r="A498" s="168" t="s">
        <v>425</v>
      </c>
      <c r="B498" s="176" t="s">
        <v>46</v>
      </c>
      <c r="C498" s="167"/>
      <c r="D498" s="167"/>
    </row>
    <row r="499" ht="15.75" customHeight="1">
      <c r="A499" s="168" t="s">
        <v>447</v>
      </c>
      <c r="B499" s="175" t="s">
        <v>46</v>
      </c>
      <c r="C499" s="173"/>
      <c r="D499" s="173"/>
    </row>
    <row r="500" ht="15.75" customHeight="1">
      <c r="A500" s="168" t="s">
        <v>528</v>
      </c>
      <c r="B500" s="176" t="s">
        <v>46</v>
      </c>
      <c r="C500" s="167"/>
      <c r="D500" s="167"/>
    </row>
    <row r="501" ht="15.75" customHeight="1">
      <c r="A501" s="174" t="s">
        <v>589</v>
      </c>
      <c r="B501" s="169" t="s">
        <v>46</v>
      </c>
      <c r="C501" s="170"/>
      <c r="D501" s="170"/>
    </row>
    <row r="502" ht="15.75" customHeight="1">
      <c r="A502" s="174" t="s">
        <v>588</v>
      </c>
      <c r="B502" s="169" t="s">
        <v>46</v>
      </c>
      <c r="C502" s="170"/>
      <c r="D502" s="170"/>
    </row>
    <row r="503" ht="15.75" customHeight="1">
      <c r="A503" s="174" t="s">
        <v>602</v>
      </c>
      <c r="B503" s="171" t="s">
        <v>46</v>
      </c>
      <c r="C503" s="170"/>
      <c r="D503" s="170"/>
    </row>
    <row r="504" ht="15.75" customHeight="1">
      <c r="A504" s="168" t="s">
        <v>676</v>
      </c>
      <c r="B504" s="176" t="s">
        <v>46</v>
      </c>
      <c r="C504" s="167"/>
      <c r="D504" s="167"/>
    </row>
    <row r="505" ht="15.75" customHeight="1">
      <c r="A505" s="168" t="s">
        <v>696</v>
      </c>
      <c r="B505" s="175" t="s">
        <v>46</v>
      </c>
      <c r="C505" s="173"/>
      <c r="D505" s="173"/>
    </row>
    <row r="506" ht="15.75" customHeight="1">
      <c r="A506" s="174" t="s">
        <v>727</v>
      </c>
      <c r="B506" s="169" t="s">
        <v>46</v>
      </c>
      <c r="C506" s="170"/>
      <c r="D506" s="170"/>
    </row>
    <row r="507" ht="15.75" customHeight="1">
      <c r="A507" s="174" t="s">
        <v>732</v>
      </c>
      <c r="B507" s="169" t="s">
        <v>46</v>
      </c>
      <c r="C507" s="170"/>
      <c r="D507" s="170"/>
    </row>
    <row r="508" ht="15.75" customHeight="1">
      <c r="A508" s="168" t="s">
        <v>2082</v>
      </c>
      <c r="B508" s="176" t="s">
        <v>46</v>
      </c>
      <c r="C508" s="167"/>
      <c r="D508" s="167"/>
    </row>
    <row r="509" ht="15.75" customHeight="1">
      <c r="A509" s="168" t="s">
        <v>746</v>
      </c>
      <c r="B509" s="176" t="s">
        <v>46</v>
      </c>
      <c r="C509" s="167"/>
      <c r="D509" s="167"/>
    </row>
    <row r="510" ht="15.75" customHeight="1">
      <c r="A510" s="168" t="s">
        <v>758</v>
      </c>
      <c r="B510" s="175" t="s">
        <v>46</v>
      </c>
      <c r="C510" s="173"/>
      <c r="D510" s="173"/>
    </row>
    <row r="511" ht="15.75" customHeight="1">
      <c r="A511" s="174" t="s">
        <v>771</v>
      </c>
      <c r="B511" s="172" t="s">
        <v>46</v>
      </c>
      <c r="C511" s="180"/>
      <c r="D511" s="180"/>
    </row>
    <row r="512" ht="15.75" customHeight="1">
      <c r="A512" s="168" t="s">
        <v>815</v>
      </c>
      <c r="B512" s="175" t="s">
        <v>46</v>
      </c>
      <c r="C512" s="173"/>
      <c r="D512" s="173"/>
    </row>
    <row r="513" ht="15.75" customHeight="1">
      <c r="A513" s="174" t="s">
        <v>832</v>
      </c>
      <c r="B513" s="172" t="s">
        <v>46</v>
      </c>
      <c r="C513" s="180"/>
      <c r="D513" s="180"/>
    </row>
    <row r="514" ht="15.75" customHeight="1">
      <c r="A514" s="168" t="s">
        <v>876</v>
      </c>
      <c r="B514" s="175" t="s">
        <v>46</v>
      </c>
      <c r="C514" s="195"/>
      <c r="D514" s="195"/>
    </row>
    <row r="515" ht="15.75" customHeight="1">
      <c r="A515" s="174" t="s">
        <v>884</v>
      </c>
      <c r="B515" s="172" t="s">
        <v>46</v>
      </c>
      <c r="C515" s="180"/>
      <c r="D515" s="180"/>
    </row>
    <row r="516" ht="15.75" customHeight="1">
      <c r="A516" s="168" t="s">
        <v>915</v>
      </c>
      <c r="B516" s="175" t="s">
        <v>46</v>
      </c>
      <c r="C516" s="173"/>
      <c r="D516" s="173"/>
    </row>
    <row r="517" ht="15.75" customHeight="1">
      <c r="A517" s="168" t="s">
        <v>977</v>
      </c>
      <c r="B517" s="175" t="s">
        <v>46</v>
      </c>
      <c r="C517" s="173"/>
      <c r="D517" s="173"/>
    </row>
    <row r="518" ht="15.75" customHeight="1">
      <c r="A518" s="168" t="s">
        <v>1002</v>
      </c>
      <c r="B518" s="175" t="s">
        <v>46</v>
      </c>
      <c r="C518" s="173"/>
      <c r="D518" s="173"/>
    </row>
    <row r="519" ht="15.75" customHeight="1">
      <c r="A519" s="174" t="s">
        <v>1146</v>
      </c>
      <c r="B519" s="172" t="s">
        <v>46</v>
      </c>
      <c r="C519" s="180"/>
      <c r="D519" s="180"/>
    </row>
    <row r="520" ht="15.75" customHeight="1">
      <c r="A520" s="174" t="s">
        <v>1156</v>
      </c>
      <c r="B520" s="172" t="s">
        <v>46</v>
      </c>
      <c r="C520" s="180"/>
      <c r="D520" s="180"/>
    </row>
    <row r="521" ht="15.75" customHeight="1">
      <c r="A521" s="168" t="s">
        <v>2083</v>
      </c>
      <c r="B521" s="175" t="s">
        <v>46</v>
      </c>
      <c r="C521" s="173"/>
      <c r="D521" s="173"/>
    </row>
    <row r="522" ht="15.75" customHeight="1">
      <c r="A522" s="168" t="s">
        <v>1168</v>
      </c>
      <c r="B522" s="175" t="s">
        <v>46</v>
      </c>
      <c r="C522" s="173"/>
      <c r="D522" s="173"/>
    </row>
    <row r="523" ht="15.75" customHeight="1">
      <c r="A523" s="174" t="s">
        <v>1219</v>
      </c>
      <c r="B523" s="172" t="s">
        <v>46</v>
      </c>
      <c r="C523" s="180"/>
      <c r="D523" s="180"/>
    </row>
    <row r="524" ht="15.75" customHeight="1">
      <c r="A524" s="174" t="s">
        <v>1224</v>
      </c>
      <c r="B524" s="172" t="s">
        <v>46</v>
      </c>
      <c r="C524" s="180"/>
      <c r="D524" s="180"/>
    </row>
    <row r="525" ht="15.75" customHeight="1">
      <c r="A525" s="174" t="s">
        <v>1247</v>
      </c>
      <c r="B525" s="172" t="s">
        <v>46</v>
      </c>
      <c r="C525" s="180"/>
      <c r="D525" s="180"/>
    </row>
    <row r="526" ht="15.75" customHeight="1">
      <c r="A526" s="174" t="s">
        <v>2084</v>
      </c>
      <c r="B526" s="172" t="s">
        <v>46</v>
      </c>
      <c r="C526" s="180"/>
      <c r="D526" s="180"/>
    </row>
    <row r="527" ht="15.75" customHeight="1">
      <c r="A527" s="168" t="s">
        <v>1286</v>
      </c>
      <c r="B527" s="175" t="s">
        <v>46</v>
      </c>
      <c r="C527" s="173"/>
      <c r="D527" s="173"/>
    </row>
    <row r="528" ht="15.75" customHeight="1">
      <c r="A528" s="168" t="s">
        <v>1287</v>
      </c>
      <c r="B528" s="175" t="s">
        <v>46</v>
      </c>
      <c r="C528" s="173"/>
      <c r="D528" s="173"/>
    </row>
    <row r="529" ht="15.75" customHeight="1">
      <c r="A529" s="168" t="s">
        <v>1349</v>
      </c>
      <c r="B529" s="175" t="s">
        <v>46</v>
      </c>
      <c r="C529" s="173"/>
      <c r="D529" s="173"/>
    </row>
    <row r="530" ht="15.75" customHeight="1">
      <c r="A530" s="174" t="s">
        <v>1368</v>
      </c>
      <c r="B530" s="172" t="s">
        <v>46</v>
      </c>
      <c r="C530" s="180"/>
      <c r="D530" s="180"/>
    </row>
    <row r="531" ht="15.75" customHeight="1">
      <c r="A531" s="168" t="s">
        <v>1372</v>
      </c>
      <c r="B531" s="175" t="s">
        <v>46</v>
      </c>
      <c r="C531" s="173"/>
      <c r="D531" s="173"/>
    </row>
    <row r="532" ht="15.75" customHeight="1">
      <c r="A532" s="174" t="s">
        <v>1395</v>
      </c>
      <c r="B532" s="172" t="s">
        <v>46</v>
      </c>
      <c r="C532" s="180"/>
      <c r="D532" s="180"/>
    </row>
    <row r="533" ht="15.75" customHeight="1">
      <c r="A533" s="168" t="s">
        <v>1453</v>
      </c>
      <c r="B533" s="175" t="s">
        <v>46</v>
      </c>
      <c r="C533" s="173"/>
      <c r="D533" s="173"/>
    </row>
    <row r="534" ht="15.75" customHeight="1">
      <c r="A534" s="174" t="s">
        <v>1477</v>
      </c>
      <c r="B534" s="172" t="s">
        <v>46</v>
      </c>
      <c r="C534" s="180"/>
      <c r="D534" s="180"/>
    </row>
    <row r="535" ht="15.75" customHeight="1">
      <c r="A535" s="168" t="s">
        <v>1478</v>
      </c>
      <c r="B535" s="175" t="s">
        <v>46</v>
      </c>
      <c r="C535" s="173"/>
      <c r="D535" s="173"/>
    </row>
    <row r="536" ht="15.75" customHeight="1">
      <c r="A536" s="174" t="s">
        <v>2085</v>
      </c>
      <c r="B536" s="172" t="s">
        <v>46</v>
      </c>
      <c r="C536" s="180"/>
      <c r="D536" s="180"/>
    </row>
    <row r="537" ht="15.75" customHeight="1">
      <c r="A537" s="168" t="s">
        <v>1503</v>
      </c>
      <c r="B537" s="175" t="s">
        <v>46</v>
      </c>
      <c r="C537" s="173"/>
      <c r="D537" s="173"/>
    </row>
    <row r="538" ht="15.75" customHeight="1">
      <c r="A538" s="168" t="s">
        <v>1566</v>
      </c>
      <c r="B538" s="175" t="s">
        <v>46</v>
      </c>
      <c r="C538" s="173"/>
      <c r="D538" s="173"/>
    </row>
    <row r="539" ht="15.75" customHeight="1">
      <c r="A539" s="174" t="s">
        <v>1609</v>
      </c>
      <c r="B539" s="172" t="s">
        <v>46</v>
      </c>
      <c r="C539" s="180"/>
      <c r="D539" s="180"/>
    </row>
    <row r="540" ht="15.75" customHeight="1">
      <c r="A540" s="174" t="s">
        <v>2086</v>
      </c>
      <c r="B540" s="172" t="s">
        <v>46</v>
      </c>
      <c r="C540" s="180"/>
      <c r="D540" s="180"/>
    </row>
    <row r="541" ht="15.75" customHeight="1">
      <c r="A541" s="174" t="s">
        <v>2087</v>
      </c>
      <c r="B541" s="174" t="s">
        <v>46</v>
      </c>
      <c r="C541" s="180"/>
      <c r="D541" s="180"/>
    </row>
    <row r="542" ht="15.75" customHeight="1">
      <c r="A542" s="174" t="s">
        <v>1626</v>
      </c>
      <c r="B542" s="172" t="s">
        <v>46</v>
      </c>
      <c r="C542" s="180"/>
      <c r="D542" s="180"/>
    </row>
    <row r="543" ht="15.75" customHeight="1">
      <c r="A543" s="168" t="s">
        <v>1627</v>
      </c>
      <c r="B543" s="175" t="s">
        <v>46</v>
      </c>
      <c r="C543" s="173"/>
      <c r="D543" s="173"/>
    </row>
    <row r="544" ht="15.75" customHeight="1">
      <c r="A544" s="168" t="s">
        <v>1628</v>
      </c>
      <c r="B544" s="175" t="s">
        <v>46</v>
      </c>
      <c r="C544" s="173"/>
      <c r="D544" s="173"/>
    </row>
    <row r="545" ht="15.75" customHeight="1">
      <c r="A545" s="174" t="s">
        <v>1629</v>
      </c>
      <c r="B545" s="172" t="s">
        <v>46</v>
      </c>
      <c r="C545" s="180"/>
      <c r="D545" s="180"/>
    </row>
    <row r="546" ht="15.75" customHeight="1">
      <c r="A546" s="174" t="s">
        <v>1630</v>
      </c>
      <c r="B546" s="174" t="s">
        <v>46</v>
      </c>
      <c r="C546" s="180"/>
      <c r="D546" s="180"/>
    </row>
    <row r="547" ht="15.75" customHeight="1">
      <c r="A547" s="196" t="s">
        <v>1636</v>
      </c>
      <c r="B547" s="172" t="s">
        <v>46</v>
      </c>
      <c r="C547" s="180"/>
      <c r="D547" s="180"/>
    </row>
    <row r="548" ht="15.75" customHeight="1">
      <c r="A548" s="174" t="s">
        <v>2088</v>
      </c>
      <c r="B548" s="172" t="s">
        <v>46</v>
      </c>
      <c r="C548" s="180"/>
      <c r="D548" s="180"/>
    </row>
    <row r="549" ht="15.75" customHeight="1">
      <c r="A549" s="174" t="s">
        <v>1762</v>
      </c>
      <c r="B549" s="172" t="s">
        <v>46</v>
      </c>
      <c r="C549" s="180"/>
      <c r="D549" s="180"/>
    </row>
    <row r="550" ht="15.75" customHeight="1">
      <c r="A550" s="174" t="s">
        <v>1816</v>
      </c>
      <c r="B550" s="172" t="s">
        <v>46</v>
      </c>
      <c r="C550" s="170"/>
      <c r="D550" s="170"/>
    </row>
    <row r="551" ht="15.75" customHeight="1">
      <c r="A551" s="174" t="s">
        <v>1914</v>
      </c>
      <c r="B551" s="172" t="s">
        <v>46</v>
      </c>
      <c r="C551" s="180"/>
      <c r="D551" s="180"/>
    </row>
    <row r="552" ht="15.75" customHeight="1">
      <c r="A552" s="174" t="s">
        <v>1943</v>
      </c>
      <c r="B552" s="172" t="s">
        <v>46</v>
      </c>
      <c r="C552" s="180"/>
      <c r="D552" s="180"/>
    </row>
    <row r="553" ht="15.75" customHeight="1">
      <c r="A553" s="174" t="s">
        <v>1961</v>
      </c>
      <c r="B553" s="172" t="s">
        <v>46</v>
      </c>
      <c r="C553" s="180"/>
      <c r="D553" s="180"/>
    </row>
    <row r="554" ht="15.75" customHeight="1">
      <c r="A554" s="168" t="s">
        <v>2089</v>
      </c>
      <c r="B554" s="174" t="s">
        <v>2288</v>
      </c>
      <c r="C554" s="185" t="s">
        <v>2012</v>
      </c>
      <c r="D554" s="180"/>
    </row>
    <row r="555" ht="15.75" customHeight="1">
      <c r="A555" s="174" t="s">
        <v>130</v>
      </c>
      <c r="B555" s="174" t="s">
        <v>2288</v>
      </c>
      <c r="D555" s="180"/>
    </row>
    <row r="556" ht="15.75" customHeight="1">
      <c r="A556" s="168" t="s">
        <v>2091</v>
      </c>
      <c r="B556" s="174" t="s">
        <v>2288</v>
      </c>
      <c r="C556" s="180"/>
      <c r="D556" s="180"/>
    </row>
    <row r="557" ht="15.75" customHeight="1">
      <c r="A557" s="174" t="s">
        <v>692</v>
      </c>
      <c r="B557" s="174" t="s">
        <v>2288</v>
      </c>
      <c r="C557" s="180"/>
      <c r="D557" s="180"/>
    </row>
    <row r="558" ht="15.75" customHeight="1">
      <c r="A558" s="168" t="s">
        <v>2092</v>
      </c>
      <c r="B558" s="174" t="s">
        <v>2288</v>
      </c>
      <c r="C558" s="180"/>
      <c r="D558" s="180"/>
    </row>
    <row r="559" ht="15.75" customHeight="1">
      <c r="A559" s="168" t="s">
        <v>1078</v>
      </c>
      <c r="B559" s="174" t="s">
        <v>2288</v>
      </c>
      <c r="C559" s="180"/>
      <c r="D559" s="180"/>
    </row>
    <row r="560" ht="15.75" customHeight="1">
      <c r="A560" s="174" t="s">
        <v>1084</v>
      </c>
      <c r="B560" s="174" t="s">
        <v>2288</v>
      </c>
      <c r="C560" s="180"/>
      <c r="D560" s="180"/>
    </row>
    <row r="561" ht="15.75" customHeight="1">
      <c r="A561" s="168" t="s">
        <v>1199</v>
      </c>
      <c r="B561" s="174" t="s">
        <v>2288</v>
      </c>
      <c r="C561" s="180"/>
      <c r="D561" s="180"/>
    </row>
    <row r="562" ht="15.75" customHeight="1">
      <c r="A562" s="174" t="s">
        <v>1255</v>
      </c>
      <c r="B562" s="174" t="s">
        <v>2288</v>
      </c>
      <c r="C562" s="180"/>
      <c r="D562" s="180"/>
    </row>
    <row r="563" ht="15.75" customHeight="1">
      <c r="A563" s="174" t="s">
        <v>1274</v>
      </c>
      <c r="B563" s="174" t="s">
        <v>2288</v>
      </c>
      <c r="C563" s="180"/>
      <c r="D563" s="180"/>
    </row>
    <row r="564" ht="15.75" customHeight="1">
      <c r="A564" s="174" t="s">
        <v>845</v>
      </c>
      <c r="B564" s="174" t="s">
        <v>2289</v>
      </c>
      <c r="C564" s="185" t="s">
        <v>2012</v>
      </c>
      <c r="D564" s="180"/>
    </row>
    <row r="565" ht="15.75" customHeight="1">
      <c r="A565" s="174" t="s">
        <v>949</v>
      </c>
      <c r="B565" s="174" t="s">
        <v>2289</v>
      </c>
      <c r="C565" s="180"/>
      <c r="D565" s="180"/>
    </row>
    <row r="566" ht="15.75" customHeight="1">
      <c r="A566" s="168" t="s">
        <v>1230</v>
      </c>
      <c r="B566" s="174" t="s">
        <v>2289</v>
      </c>
      <c r="C566" s="180"/>
      <c r="D566" s="180"/>
    </row>
    <row r="567" ht="15.75" customHeight="1">
      <c r="A567" s="168" t="s">
        <v>1290</v>
      </c>
      <c r="B567" s="174" t="s">
        <v>2289</v>
      </c>
      <c r="C567" s="180"/>
      <c r="D567" s="180"/>
    </row>
    <row r="568" ht="15.75" customHeight="1">
      <c r="A568" s="174" t="s">
        <v>1607</v>
      </c>
      <c r="B568" s="174" t="s">
        <v>2289</v>
      </c>
      <c r="C568" s="180"/>
      <c r="D568" s="180"/>
    </row>
    <row r="569" ht="15.75" customHeight="1">
      <c r="A569" s="174" t="s">
        <v>1953</v>
      </c>
      <c r="B569" s="174" t="s">
        <v>2289</v>
      </c>
      <c r="C569" s="180"/>
      <c r="D569" s="180"/>
    </row>
    <row r="570" ht="15.75" customHeight="1">
      <c r="A570" s="168" t="s">
        <v>76</v>
      </c>
      <c r="B570" s="174" t="s">
        <v>2290</v>
      </c>
      <c r="C570" s="185" t="s">
        <v>2012</v>
      </c>
      <c r="D570" s="180"/>
    </row>
    <row r="571" ht="15.75" customHeight="1">
      <c r="A571" s="168" t="s">
        <v>324</v>
      </c>
      <c r="B571" s="174" t="s">
        <v>2290</v>
      </c>
      <c r="C571" s="180"/>
      <c r="D571" s="180"/>
    </row>
    <row r="572" ht="15.75" customHeight="1">
      <c r="A572" s="174" t="s">
        <v>2094</v>
      </c>
      <c r="B572" s="174" t="s">
        <v>2290</v>
      </c>
      <c r="C572" s="180"/>
      <c r="D572" s="180"/>
    </row>
    <row r="573" ht="15.75" customHeight="1">
      <c r="A573" s="174" t="s">
        <v>1289</v>
      </c>
      <c r="B573" s="174" t="s">
        <v>2290</v>
      </c>
      <c r="C573" s="180"/>
      <c r="D573" s="180"/>
    </row>
    <row r="574" ht="15.75" customHeight="1">
      <c r="A574" s="174" t="s">
        <v>1546</v>
      </c>
      <c r="B574" s="174" t="s">
        <v>2290</v>
      </c>
      <c r="C574" s="180"/>
      <c r="D574" s="180"/>
    </row>
    <row r="575" ht="15.75" customHeight="1">
      <c r="A575" s="174" t="s">
        <v>1718</v>
      </c>
      <c r="B575" s="174" t="s">
        <v>2290</v>
      </c>
      <c r="C575" s="180"/>
      <c r="D575" s="180"/>
    </row>
    <row r="576" ht="15.75" customHeight="1">
      <c r="A576" s="168" t="s">
        <v>183</v>
      </c>
      <c r="B576" s="174" t="s">
        <v>2291</v>
      </c>
      <c r="C576" s="185" t="s">
        <v>2012</v>
      </c>
      <c r="D576" s="180"/>
    </row>
    <row r="577" ht="15.75" customHeight="1">
      <c r="A577" s="174" t="s">
        <v>221</v>
      </c>
      <c r="B577" s="174" t="s">
        <v>2291</v>
      </c>
      <c r="C577" s="180"/>
      <c r="D577" s="180"/>
    </row>
    <row r="578" ht="15.75" customHeight="1">
      <c r="A578" s="174" t="s">
        <v>371</v>
      </c>
      <c r="B578" s="174" t="s">
        <v>2291</v>
      </c>
      <c r="C578" s="180"/>
      <c r="D578" s="180"/>
    </row>
    <row r="579" ht="15.75" customHeight="1">
      <c r="A579" s="174" t="s">
        <v>974</v>
      </c>
      <c r="B579" s="174" t="s">
        <v>2291</v>
      </c>
      <c r="C579" s="180"/>
      <c r="D579" s="180"/>
    </row>
    <row r="580" ht="15.75" customHeight="1">
      <c r="A580" s="174" t="s">
        <v>1160</v>
      </c>
      <c r="B580" s="174" t="s">
        <v>2291</v>
      </c>
      <c r="C580" s="180"/>
      <c r="D580" s="180"/>
    </row>
    <row r="581" ht="15.75" customHeight="1">
      <c r="A581" s="174" t="s">
        <v>1428</v>
      </c>
      <c r="B581" s="174" t="s">
        <v>2291</v>
      </c>
      <c r="C581" s="180"/>
      <c r="D581" s="180"/>
    </row>
    <row r="582" ht="15.75" customHeight="1">
      <c r="A582" s="174" t="s">
        <v>2095</v>
      </c>
      <c r="B582" s="174" t="s">
        <v>2291</v>
      </c>
      <c r="C582" s="180"/>
      <c r="D582" s="180"/>
    </row>
    <row r="583" ht="15.75" customHeight="1">
      <c r="A583" s="174" t="s">
        <v>1518</v>
      </c>
      <c r="B583" s="174" t="s">
        <v>2291</v>
      </c>
      <c r="C583" s="180"/>
      <c r="D583" s="180"/>
    </row>
    <row r="584" ht="15.75" customHeight="1">
      <c r="A584" s="174" t="s">
        <v>1779</v>
      </c>
      <c r="B584" s="174" t="s">
        <v>2291</v>
      </c>
      <c r="C584" s="180"/>
      <c r="D584" s="180"/>
    </row>
    <row r="585" ht="15.75" customHeight="1">
      <c r="A585" s="168" t="s">
        <v>1825</v>
      </c>
      <c r="B585" s="174" t="s">
        <v>2291</v>
      </c>
      <c r="C585" s="180"/>
      <c r="D585" s="180"/>
    </row>
    <row r="586" ht="15.75" customHeight="1">
      <c r="A586" s="166" t="s">
        <v>2098</v>
      </c>
      <c r="B586" s="174" t="s">
        <v>2291</v>
      </c>
      <c r="C586" s="180"/>
      <c r="D586" s="180"/>
    </row>
    <row r="587" ht="15.75" customHeight="1">
      <c r="A587" s="168" t="s">
        <v>522</v>
      </c>
      <c r="B587" s="174" t="s">
        <v>2292</v>
      </c>
      <c r="C587" s="185" t="s">
        <v>2012</v>
      </c>
      <c r="D587" s="180"/>
    </row>
    <row r="588" ht="15.75" customHeight="1">
      <c r="A588" s="174" t="s">
        <v>933</v>
      </c>
      <c r="B588" s="174" t="s">
        <v>2292</v>
      </c>
      <c r="D588" s="180"/>
    </row>
    <row r="589" ht="15.75" customHeight="1">
      <c r="A589" s="168" t="s">
        <v>2093</v>
      </c>
      <c r="B589" s="174" t="s">
        <v>2292</v>
      </c>
      <c r="C589" s="180"/>
      <c r="D589" s="180"/>
    </row>
    <row r="590" ht="15.75" customHeight="1">
      <c r="A590" s="168" t="s">
        <v>1420</v>
      </c>
      <c r="B590" s="174" t="s">
        <v>2292</v>
      </c>
      <c r="C590" s="180"/>
      <c r="D590" s="180"/>
    </row>
    <row r="591" ht="15.75" customHeight="1">
      <c r="A591" s="168" t="s">
        <v>1448</v>
      </c>
      <c r="B591" s="174" t="s">
        <v>2292</v>
      </c>
      <c r="C591" s="180"/>
      <c r="D591" s="180"/>
    </row>
    <row r="592" ht="15.75" customHeight="1">
      <c r="A592" s="174" t="s">
        <v>1679</v>
      </c>
      <c r="B592" s="174" t="s">
        <v>2292</v>
      </c>
      <c r="C592" s="180"/>
      <c r="D592" s="180"/>
    </row>
    <row r="593" ht="15.75" customHeight="1">
      <c r="A593" s="168" t="s">
        <v>77</v>
      </c>
      <c r="B593" s="174" t="s">
        <v>2293</v>
      </c>
      <c r="C593" s="185" t="s">
        <v>2294</v>
      </c>
      <c r="D593" s="180"/>
    </row>
    <row r="594" ht="15.75" customHeight="1">
      <c r="A594" s="168" t="s">
        <v>271</v>
      </c>
      <c r="B594" s="174" t="s">
        <v>2293</v>
      </c>
      <c r="C594" s="180"/>
      <c r="D594" s="180"/>
    </row>
    <row r="595" ht="15.75" customHeight="1">
      <c r="A595" s="168" t="s">
        <v>1475</v>
      </c>
      <c r="B595" s="174" t="s">
        <v>2293</v>
      </c>
      <c r="C595" s="180"/>
      <c r="D595" s="180"/>
    </row>
    <row r="596" ht="15.75" customHeight="1">
      <c r="A596" s="168" t="s">
        <v>1502</v>
      </c>
      <c r="B596" s="174" t="s">
        <v>2293</v>
      </c>
      <c r="C596" s="180"/>
      <c r="D596" s="180"/>
    </row>
    <row r="597" ht="15.75" customHeight="1">
      <c r="A597" s="168" t="s">
        <v>1739</v>
      </c>
      <c r="B597" s="174" t="s">
        <v>2293</v>
      </c>
      <c r="C597" s="180"/>
      <c r="D597" s="180"/>
    </row>
    <row r="598" ht="15.75" customHeight="1">
      <c r="A598" s="168" t="s">
        <v>1402</v>
      </c>
      <c r="B598" s="174" t="s">
        <v>2295</v>
      </c>
      <c r="C598" s="185" t="s">
        <v>2029</v>
      </c>
      <c r="D598" s="180"/>
    </row>
    <row r="599" ht="15.75" customHeight="1">
      <c r="A599" s="174" t="s">
        <v>1723</v>
      </c>
      <c r="B599" s="174" t="s">
        <v>2295</v>
      </c>
      <c r="C599" s="180"/>
      <c r="D599" s="180"/>
    </row>
    <row r="600" ht="15.75" customHeight="1">
      <c r="A600" s="168" t="s">
        <v>1729</v>
      </c>
      <c r="B600" s="174" t="s">
        <v>2295</v>
      </c>
      <c r="C600" s="180"/>
      <c r="D600" s="180"/>
    </row>
    <row r="601" ht="15.75" customHeight="1">
      <c r="A601" s="168" t="s">
        <v>216</v>
      </c>
      <c r="B601" s="174" t="s">
        <v>2296</v>
      </c>
      <c r="C601" s="185" t="s">
        <v>2127</v>
      </c>
      <c r="D601" s="180"/>
    </row>
    <row r="602" ht="15.75" customHeight="1">
      <c r="A602" s="174" t="s">
        <v>272</v>
      </c>
      <c r="B602" s="174" t="s">
        <v>2296</v>
      </c>
      <c r="C602" s="180"/>
      <c r="D602" s="180"/>
    </row>
    <row r="603" ht="15.75" customHeight="1">
      <c r="A603" s="174" t="s">
        <v>1187</v>
      </c>
      <c r="B603" s="174" t="s">
        <v>2296</v>
      </c>
      <c r="C603" s="180"/>
      <c r="D603" s="180"/>
    </row>
    <row r="604" ht="15.75" customHeight="1">
      <c r="A604" s="168" t="s">
        <v>1714</v>
      </c>
      <c r="B604" s="174" t="s">
        <v>2296</v>
      </c>
      <c r="C604" s="180"/>
      <c r="D604" s="180"/>
    </row>
    <row r="605" ht="15.75" customHeight="1">
      <c r="A605" s="174" t="s">
        <v>2096</v>
      </c>
      <c r="B605" s="174" t="s">
        <v>2296</v>
      </c>
      <c r="C605" s="180"/>
      <c r="D605" s="185" t="s">
        <v>2097</v>
      </c>
    </row>
    <row r="606" ht="15.75" customHeight="1">
      <c r="A606" s="174" t="s">
        <v>2099</v>
      </c>
      <c r="B606" s="168" t="s">
        <v>2297</v>
      </c>
      <c r="C606" s="185" t="s">
        <v>2012</v>
      </c>
      <c r="D606" s="180"/>
    </row>
    <row r="607" ht="15.75" customHeight="1">
      <c r="A607" s="168" t="s">
        <v>304</v>
      </c>
      <c r="B607" s="168" t="s">
        <v>2297</v>
      </c>
      <c r="C607" s="170"/>
      <c r="D607" s="170"/>
    </row>
    <row r="608" ht="15.75" customHeight="1">
      <c r="A608" s="168" t="s">
        <v>1137</v>
      </c>
      <c r="B608" s="168" t="s">
        <v>2297</v>
      </c>
      <c r="C608" s="167"/>
      <c r="D608" s="167"/>
    </row>
    <row r="609" ht="15.75" customHeight="1">
      <c r="A609" s="168" t="s">
        <v>1285</v>
      </c>
      <c r="B609" s="168" t="s">
        <v>2297</v>
      </c>
      <c r="C609" s="173"/>
      <c r="D609" s="173"/>
    </row>
    <row r="610" ht="15.75" customHeight="1">
      <c r="A610" s="168" t="s">
        <v>1555</v>
      </c>
      <c r="B610" s="168" t="s">
        <v>2297</v>
      </c>
      <c r="C610" s="180"/>
      <c r="D610" s="180"/>
    </row>
    <row r="611" ht="15.75" customHeight="1">
      <c r="A611" s="174" t="s">
        <v>1891</v>
      </c>
      <c r="B611" s="168" t="s">
        <v>2297</v>
      </c>
      <c r="C611" s="193"/>
      <c r="D611" s="193"/>
    </row>
    <row r="612" ht="15.75" customHeight="1">
      <c r="A612" s="174" t="s">
        <v>63</v>
      </c>
      <c r="B612" s="168" t="s">
        <v>2298</v>
      </c>
      <c r="C612" s="185" t="s">
        <v>2012</v>
      </c>
      <c r="D612" s="193"/>
    </row>
    <row r="613" ht="15.75" customHeight="1">
      <c r="A613" s="168" t="s">
        <v>345</v>
      </c>
      <c r="B613" s="168" t="s">
        <v>2298</v>
      </c>
      <c r="C613" s="195"/>
      <c r="D613" s="195"/>
    </row>
    <row r="614" ht="15.75" customHeight="1">
      <c r="A614" s="168" t="s">
        <v>558</v>
      </c>
      <c r="B614" s="168" t="s">
        <v>2298</v>
      </c>
      <c r="C614" s="195"/>
      <c r="D614" s="195"/>
    </row>
    <row r="615" ht="15.75" customHeight="1">
      <c r="A615" s="168" t="s">
        <v>745</v>
      </c>
      <c r="B615" s="168" t="s">
        <v>2298</v>
      </c>
      <c r="C615" s="195"/>
      <c r="D615" s="195"/>
    </row>
    <row r="616" ht="15.75" customHeight="1">
      <c r="A616" s="168" t="s">
        <v>768</v>
      </c>
      <c r="B616" s="168" t="s">
        <v>2298</v>
      </c>
      <c r="C616" s="195"/>
      <c r="D616" s="195"/>
    </row>
    <row r="617" ht="15.75" customHeight="1">
      <c r="A617" s="168" t="s">
        <v>1015</v>
      </c>
      <c r="B617" s="168" t="s">
        <v>2298</v>
      </c>
      <c r="C617" s="195"/>
      <c r="D617" s="195"/>
    </row>
    <row r="618" ht="15.75" customHeight="1">
      <c r="A618" s="174" t="s">
        <v>1293</v>
      </c>
      <c r="B618" s="168" t="s">
        <v>2298</v>
      </c>
      <c r="C618" s="195"/>
      <c r="D618" s="195"/>
    </row>
    <row r="619" ht="15.75" customHeight="1">
      <c r="A619" s="174" t="s">
        <v>1418</v>
      </c>
      <c r="B619" s="168" t="s">
        <v>2298</v>
      </c>
      <c r="C619" s="195"/>
      <c r="D619" s="195"/>
    </row>
    <row r="620" ht="15.75" customHeight="1">
      <c r="A620" s="174" t="s">
        <v>1419</v>
      </c>
      <c r="B620" s="168" t="s">
        <v>2298</v>
      </c>
      <c r="C620" s="195"/>
      <c r="D620" s="195"/>
    </row>
    <row r="621" ht="15.75" customHeight="1">
      <c r="A621" s="174" t="s">
        <v>1456</v>
      </c>
      <c r="B621" s="168" t="s">
        <v>2298</v>
      </c>
      <c r="C621" s="185"/>
      <c r="D621" s="180"/>
    </row>
    <row r="622" ht="15.75" customHeight="1">
      <c r="A622" s="168" t="s">
        <v>1957</v>
      </c>
      <c r="B622" s="168" t="s">
        <v>2298</v>
      </c>
      <c r="C622" s="185"/>
      <c r="D622" s="180"/>
    </row>
    <row r="623" ht="15.75" customHeight="1">
      <c r="A623" s="168" t="s">
        <v>699</v>
      </c>
      <c r="B623" s="168" t="s">
        <v>2299</v>
      </c>
      <c r="C623" s="185" t="s">
        <v>2012</v>
      </c>
      <c r="D623" s="180"/>
    </row>
    <row r="624" ht="15.75" customHeight="1">
      <c r="A624" s="168" t="s">
        <v>923</v>
      </c>
      <c r="B624" s="168" t="s">
        <v>2299</v>
      </c>
      <c r="C624" s="185"/>
      <c r="D624" s="180"/>
    </row>
    <row r="625" ht="15.75" customHeight="1">
      <c r="A625" s="168" t="s">
        <v>1369</v>
      </c>
      <c r="B625" s="168" t="s">
        <v>2299</v>
      </c>
      <c r="C625" s="185"/>
      <c r="D625" s="180"/>
    </row>
    <row r="626" ht="15.75" customHeight="1">
      <c r="A626" s="168" t="s">
        <v>2102</v>
      </c>
      <c r="B626" s="168" t="s">
        <v>2299</v>
      </c>
      <c r="C626" s="185"/>
      <c r="D626" s="180"/>
    </row>
    <row r="627" ht="15.75" customHeight="1">
      <c r="A627" s="168" t="s">
        <v>1532</v>
      </c>
      <c r="B627" s="168" t="s">
        <v>2299</v>
      </c>
      <c r="C627" s="185"/>
      <c r="D627" s="180"/>
    </row>
    <row r="628" ht="15.75" customHeight="1">
      <c r="A628" s="174" t="s">
        <v>1534</v>
      </c>
      <c r="B628" s="168" t="s">
        <v>2299</v>
      </c>
      <c r="C628" s="185"/>
      <c r="D628" s="180"/>
    </row>
    <row r="629" ht="15.75" customHeight="1">
      <c r="A629" s="168" t="s">
        <v>342</v>
      </c>
      <c r="B629" s="168" t="s">
        <v>2300</v>
      </c>
      <c r="C629" s="185" t="s">
        <v>2012</v>
      </c>
      <c r="D629" s="180"/>
    </row>
    <row r="630" ht="15.75" customHeight="1">
      <c r="A630" s="168" t="s">
        <v>826</v>
      </c>
      <c r="B630" s="168" t="s">
        <v>2300</v>
      </c>
      <c r="C630" s="185"/>
      <c r="D630" s="180"/>
    </row>
    <row r="631" ht="15.75" customHeight="1">
      <c r="A631" s="168" t="s">
        <v>826</v>
      </c>
      <c r="B631" s="168" t="s">
        <v>2300</v>
      </c>
      <c r="C631" s="173"/>
      <c r="D631" s="173"/>
    </row>
    <row r="632" ht="15.75" customHeight="1">
      <c r="A632" s="168" t="s">
        <v>827</v>
      </c>
      <c r="B632" s="168" t="s">
        <v>2300</v>
      </c>
      <c r="C632" s="193"/>
      <c r="D632" s="193"/>
    </row>
    <row r="633" ht="15.75" customHeight="1">
      <c r="A633" s="168" t="s">
        <v>509</v>
      </c>
      <c r="B633" s="168" t="s">
        <v>2301</v>
      </c>
      <c r="C633" s="194" t="s">
        <v>2012</v>
      </c>
      <c r="D633" s="173"/>
    </row>
    <row r="634" ht="15.75" customHeight="1">
      <c r="A634" s="168" t="s">
        <v>1094</v>
      </c>
      <c r="B634" s="168" t="s">
        <v>2301</v>
      </c>
      <c r="C634" s="173"/>
      <c r="D634" s="173"/>
    </row>
    <row r="635" ht="15.75" customHeight="1">
      <c r="A635" s="168" t="s">
        <v>1557</v>
      </c>
      <c r="B635" s="168" t="s">
        <v>2301</v>
      </c>
      <c r="C635" s="173"/>
      <c r="D635" s="173"/>
    </row>
    <row r="636" ht="15.75" customHeight="1">
      <c r="A636" s="168" t="s">
        <v>1568</v>
      </c>
      <c r="B636" s="168" t="s">
        <v>2301</v>
      </c>
      <c r="C636" s="173"/>
      <c r="D636" s="173"/>
    </row>
    <row r="637" ht="15.75" customHeight="1">
      <c r="A637" s="168" t="s">
        <v>1728</v>
      </c>
      <c r="B637" s="168" t="s">
        <v>2301</v>
      </c>
      <c r="C637" s="173"/>
      <c r="D637" s="173"/>
    </row>
    <row r="638" ht="15.75" customHeight="1">
      <c r="A638" s="166" t="s">
        <v>134</v>
      </c>
      <c r="B638" s="168" t="s">
        <v>2302</v>
      </c>
      <c r="C638" s="194" t="s">
        <v>2012</v>
      </c>
      <c r="D638" s="173"/>
    </row>
    <row r="639" ht="15.75" customHeight="1">
      <c r="A639" s="168" t="s">
        <v>928</v>
      </c>
      <c r="B639" s="168" t="s">
        <v>2302</v>
      </c>
      <c r="C639" s="173"/>
      <c r="D639" s="173"/>
    </row>
    <row r="640" ht="15.75" customHeight="1">
      <c r="A640" s="168" t="s">
        <v>1676</v>
      </c>
      <c r="B640" s="168" t="s">
        <v>2302</v>
      </c>
      <c r="C640" s="173"/>
      <c r="D640" s="173"/>
    </row>
    <row r="641" ht="15.75" customHeight="1">
      <c r="A641" s="168" t="s">
        <v>581</v>
      </c>
      <c r="B641" s="168" t="s">
        <v>2303</v>
      </c>
      <c r="C641" s="194" t="s">
        <v>2294</v>
      </c>
      <c r="D641" s="173"/>
    </row>
    <row r="642" ht="15.75" customHeight="1">
      <c r="A642" s="168" t="s">
        <v>1079</v>
      </c>
      <c r="B642" s="168" t="s">
        <v>2303</v>
      </c>
      <c r="C642" s="173"/>
      <c r="D642" s="173"/>
    </row>
    <row r="643" ht="15.75" customHeight="1">
      <c r="A643" s="168" t="s">
        <v>2100</v>
      </c>
      <c r="B643" s="168" t="s">
        <v>2303</v>
      </c>
      <c r="C643" s="173"/>
      <c r="D643" s="173"/>
    </row>
    <row r="644" ht="15.75" customHeight="1">
      <c r="A644" s="168" t="s">
        <v>2101</v>
      </c>
      <c r="B644" s="168" t="s">
        <v>2303</v>
      </c>
      <c r="C644" s="173"/>
      <c r="D644" s="173"/>
    </row>
    <row r="645" ht="15.75" customHeight="1">
      <c r="A645" s="168" t="s">
        <v>1783</v>
      </c>
      <c r="B645" s="168" t="s">
        <v>2303</v>
      </c>
      <c r="C645" s="173"/>
      <c r="D645" s="173"/>
    </row>
    <row r="646" ht="15.75" customHeight="1">
      <c r="A646" s="168" t="s">
        <v>591</v>
      </c>
      <c r="B646" s="168" t="s">
        <v>2304</v>
      </c>
      <c r="C646" s="194" t="s">
        <v>2305</v>
      </c>
      <c r="D646" s="173"/>
    </row>
    <row r="647" ht="15.75" customHeight="1">
      <c r="A647" s="168" t="s">
        <v>598</v>
      </c>
      <c r="B647" s="168" t="s">
        <v>2304</v>
      </c>
      <c r="C647" s="173"/>
      <c r="D647" s="173"/>
    </row>
    <row r="648" ht="15.75" customHeight="1">
      <c r="A648" s="168" t="s">
        <v>666</v>
      </c>
      <c r="B648" s="168" t="s">
        <v>2304</v>
      </c>
      <c r="C648" s="173"/>
      <c r="D648" s="173"/>
    </row>
    <row r="649" ht="15.75" customHeight="1">
      <c r="A649" s="168" t="s">
        <v>867</v>
      </c>
      <c r="B649" s="168" t="s">
        <v>2304</v>
      </c>
      <c r="C649" s="173"/>
      <c r="D649" s="173"/>
    </row>
    <row r="650" ht="15.75" customHeight="1">
      <c r="A650" s="168" t="s">
        <v>1408</v>
      </c>
      <c r="B650" s="168" t="s">
        <v>2304</v>
      </c>
      <c r="C650" s="173"/>
      <c r="D650" s="173"/>
    </row>
    <row r="651" ht="15.75" customHeight="1">
      <c r="A651" s="174" t="s">
        <v>1501</v>
      </c>
      <c r="B651" s="168" t="s">
        <v>2304</v>
      </c>
      <c r="C651" s="173"/>
      <c r="D651" s="173"/>
    </row>
    <row r="652" ht="15.75" customHeight="1">
      <c r="A652" s="174" t="s">
        <v>1552</v>
      </c>
      <c r="B652" s="168" t="s">
        <v>2304</v>
      </c>
      <c r="C652" s="173"/>
      <c r="D652" s="173"/>
    </row>
    <row r="653" ht="15.75" customHeight="1">
      <c r="A653" s="168" t="s">
        <v>723</v>
      </c>
      <c r="B653" s="168" t="s">
        <v>724</v>
      </c>
      <c r="C653" s="194"/>
      <c r="D653" s="173"/>
    </row>
    <row r="654" ht="15.75" customHeight="1">
      <c r="A654" s="168" t="s">
        <v>82</v>
      </c>
      <c r="B654" s="168" t="s">
        <v>83</v>
      </c>
      <c r="C654" s="194" t="s">
        <v>2012</v>
      </c>
      <c r="D654" s="173"/>
    </row>
    <row r="655" ht="15.75" customHeight="1">
      <c r="A655" s="168" t="s">
        <v>429</v>
      </c>
      <c r="B655" s="168" t="s">
        <v>83</v>
      </c>
      <c r="C655" s="173"/>
      <c r="D655" s="173"/>
    </row>
    <row r="656" ht="15.75" customHeight="1">
      <c r="A656" s="168" t="s">
        <v>489</v>
      </c>
      <c r="B656" s="168" t="s">
        <v>83</v>
      </c>
      <c r="C656" s="173"/>
      <c r="D656" s="173"/>
    </row>
    <row r="657" ht="15.75" customHeight="1">
      <c r="A657" s="168" t="s">
        <v>674</v>
      </c>
      <c r="B657" s="168" t="s">
        <v>83</v>
      </c>
      <c r="C657" s="173"/>
      <c r="D657" s="173"/>
    </row>
    <row r="658" ht="15.75" customHeight="1">
      <c r="A658" s="168" t="s">
        <v>873</v>
      </c>
      <c r="B658" s="168" t="s">
        <v>83</v>
      </c>
      <c r="C658" s="173"/>
      <c r="D658" s="173"/>
    </row>
    <row r="659" ht="15.75" customHeight="1">
      <c r="A659" s="168" t="s">
        <v>921</v>
      </c>
      <c r="B659" s="168" t="s">
        <v>83</v>
      </c>
      <c r="C659" s="173"/>
      <c r="D659" s="173"/>
    </row>
    <row r="660" ht="15.75" customHeight="1">
      <c r="A660" s="168" t="s">
        <v>1003</v>
      </c>
      <c r="B660" s="168" t="s">
        <v>83</v>
      </c>
      <c r="C660" s="173"/>
      <c r="D660" s="173"/>
    </row>
    <row r="661" ht="15.75" customHeight="1">
      <c r="A661" s="168" t="s">
        <v>1121</v>
      </c>
      <c r="B661" s="168" t="s">
        <v>83</v>
      </c>
      <c r="C661" s="173"/>
      <c r="D661" s="173"/>
    </row>
    <row r="662" ht="15.75" customHeight="1">
      <c r="A662" s="168" t="s">
        <v>1272</v>
      </c>
      <c r="B662" s="168" t="s">
        <v>83</v>
      </c>
      <c r="C662" s="173"/>
      <c r="D662" s="173"/>
    </row>
    <row r="663" ht="15.75" customHeight="1">
      <c r="A663" s="168" t="s">
        <v>1710</v>
      </c>
      <c r="B663" s="168" t="s">
        <v>83</v>
      </c>
      <c r="C663" s="173"/>
      <c r="D663" s="173"/>
    </row>
    <row r="664" ht="15.75" customHeight="1">
      <c r="A664" s="168" t="s">
        <v>1902</v>
      </c>
      <c r="B664" s="168" t="s">
        <v>83</v>
      </c>
      <c r="C664" s="173"/>
      <c r="D664" s="173"/>
    </row>
    <row r="665" ht="15.75" customHeight="1">
      <c r="A665" s="174" t="s">
        <v>151</v>
      </c>
      <c r="B665" s="184" t="s">
        <v>152</v>
      </c>
      <c r="C665" s="185" t="s">
        <v>2063</v>
      </c>
      <c r="D665" s="180"/>
    </row>
    <row r="666" ht="15.75" customHeight="1">
      <c r="A666" s="174" t="s">
        <v>432</v>
      </c>
      <c r="B666" s="186" t="s">
        <v>152</v>
      </c>
      <c r="C666" s="185"/>
      <c r="D666" s="180"/>
    </row>
    <row r="667" ht="15.75" customHeight="1">
      <c r="A667" s="168" t="s">
        <v>444</v>
      </c>
      <c r="B667" s="186" t="s">
        <v>152</v>
      </c>
      <c r="C667" s="173"/>
      <c r="D667" s="173"/>
    </row>
    <row r="668" ht="15.75" customHeight="1">
      <c r="A668" s="174" t="s">
        <v>2103</v>
      </c>
      <c r="B668" s="186" t="s">
        <v>152</v>
      </c>
      <c r="C668" s="180"/>
      <c r="D668" s="180"/>
    </row>
    <row r="669" ht="15.75" customHeight="1">
      <c r="A669" s="174" t="s">
        <v>1041</v>
      </c>
      <c r="B669" s="186" t="s">
        <v>152</v>
      </c>
      <c r="C669" s="180"/>
      <c r="D669" s="180"/>
    </row>
    <row r="670" ht="15.75" customHeight="1">
      <c r="A670" s="174" t="s">
        <v>1062</v>
      </c>
      <c r="B670" s="186" t="s">
        <v>152</v>
      </c>
      <c r="C670" s="180"/>
      <c r="D670" s="180"/>
    </row>
    <row r="671" ht="15.75" customHeight="1">
      <c r="A671" s="174" t="s">
        <v>1262</v>
      </c>
      <c r="B671" s="186" t="s">
        <v>152</v>
      </c>
      <c r="C671" s="180"/>
      <c r="D671" s="180"/>
    </row>
    <row r="672" ht="15.75" customHeight="1">
      <c r="A672" s="174" t="s">
        <v>1359</v>
      </c>
      <c r="B672" s="186" t="s">
        <v>152</v>
      </c>
      <c r="C672" s="180"/>
      <c r="D672" s="180"/>
    </row>
    <row r="673" ht="15.75" customHeight="1">
      <c r="A673" s="174" t="s">
        <v>1387</v>
      </c>
      <c r="B673" s="184" t="s">
        <v>152</v>
      </c>
      <c r="C673" s="180"/>
      <c r="D673" s="180"/>
    </row>
    <row r="674" ht="15.75" customHeight="1">
      <c r="A674" s="174" t="s">
        <v>1511</v>
      </c>
      <c r="B674" s="186" t="s">
        <v>152</v>
      </c>
      <c r="C674" s="180"/>
      <c r="D674" s="180"/>
    </row>
    <row r="675" ht="15.75" customHeight="1">
      <c r="A675" s="174" t="s">
        <v>1751</v>
      </c>
      <c r="B675" s="186" t="s">
        <v>152</v>
      </c>
      <c r="C675" s="180"/>
      <c r="D675" s="180"/>
    </row>
    <row r="676" ht="15.75" customHeight="1">
      <c r="A676" s="171" t="s">
        <v>1821</v>
      </c>
      <c r="B676" s="186" t="s">
        <v>152</v>
      </c>
      <c r="C676" s="170"/>
      <c r="D676" s="170"/>
    </row>
    <row r="677" ht="15.75" customHeight="1">
      <c r="A677" s="174" t="s">
        <v>1904</v>
      </c>
      <c r="B677" s="186" t="s">
        <v>152</v>
      </c>
      <c r="C677" s="180"/>
      <c r="D677" s="180"/>
    </row>
    <row r="678" ht="15.75" customHeight="1">
      <c r="A678" s="168" t="s">
        <v>360</v>
      </c>
      <c r="B678" s="186" t="s">
        <v>361</v>
      </c>
      <c r="C678" s="194" t="s">
        <v>2012</v>
      </c>
      <c r="D678" s="173"/>
    </row>
    <row r="679" ht="15.75" customHeight="1">
      <c r="A679" s="174" t="s">
        <v>366</v>
      </c>
      <c r="B679" s="186" t="s">
        <v>361</v>
      </c>
      <c r="C679" s="180"/>
      <c r="D679" s="180"/>
    </row>
    <row r="680" ht="15.75" customHeight="1">
      <c r="A680" s="171" t="s">
        <v>493</v>
      </c>
      <c r="B680" s="186" t="s">
        <v>361</v>
      </c>
      <c r="C680" s="180"/>
      <c r="D680" s="180"/>
    </row>
    <row r="681" ht="15.75" customHeight="1">
      <c r="A681" s="168" t="s">
        <v>2104</v>
      </c>
      <c r="B681" s="186" t="s">
        <v>361</v>
      </c>
      <c r="C681" s="173"/>
      <c r="D681" s="173"/>
    </row>
    <row r="682" ht="15.75" customHeight="1">
      <c r="A682" s="174" t="s">
        <v>905</v>
      </c>
      <c r="B682" s="186" t="s">
        <v>361</v>
      </c>
      <c r="C682" s="180"/>
      <c r="D682" s="180"/>
    </row>
    <row r="683" ht="15.75" customHeight="1">
      <c r="A683" s="174" t="s">
        <v>1055</v>
      </c>
      <c r="B683" s="184" t="s">
        <v>361</v>
      </c>
      <c r="C683" s="180"/>
      <c r="D683" s="180"/>
    </row>
    <row r="684" ht="15.75" customHeight="1">
      <c r="A684" s="174" t="s">
        <v>1423</v>
      </c>
      <c r="B684" s="186" t="s">
        <v>361</v>
      </c>
      <c r="C684" s="180"/>
      <c r="D684" s="180"/>
    </row>
    <row r="685" ht="15.75" customHeight="1">
      <c r="A685" s="174" t="s">
        <v>1538</v>
      </c>
      <c r="B685" s="186" t="s">
        <v>361</v>
      </c>
      <c r="C685" s="180"/>
      <c r="D685" s="180"/>
    </row>
    <row r="686" ht="15.75" customHeight="1">
      <c r="A686" s="174" t="s">
        <v>1670</v>
      </c>
      <c r="B686" s="184" t="s">
        <v>361</v>
      </c>
      <c r="C686" s="180"/>
      <c r="D686" s="180"/>
    </row>
    <row r="687" ht="15.75" customHeight="1">
      <c r="A687" s="174" t="s">
        <v>1759</v>
      </c>
      <c r="B687" s="186" t="s">
        <v>361</v>
      </c>
      <c r="C687" s="180"/>
      <c r="D687" s="180"/>
    </row>
    <row r="688" ht="15.75" customHeight="1">
      <c r="A688" s="174" t="s">
        <v>1850</v>
      </c>
      <c r="B688" s="186" t="s">
        <v>361</v>
      </c>
      <c r="C688" s="180"/>
      <c r="D688" s="180"/>
    </row>
    <row r="689" ht="15.75" customHeight="1">
      <c r="A689" s="168" t="s">
        <v>385</v>
      </c>
      <c r="B689" s="186" t="s">
        <v>386</v>
      </c>
      <c r="C689" s="194" t="s">
        <v>2012</v>
      </c>
      <c r="D689" s="173"/>
    </row>
    <row r="690" ht="15.75" customHeight="1">
      <c r="A690" s="168" t="s">
        <v>397</v>
      </c>
      <c r="B690" s="186" t="s">
        <v>386</v>
      </c>
      <c r="C690" s="173"/>
      <c r="D690" s="173"/>
    </row>
    <row r="691" ht="15.75" customHeight="1">
      <c r="A691" s="168" t="s">
        <v>2105</v>
      </c>
      <c r="B691" s="186" t="s">
        <v>386</v>
      </c>
      <c r="C691" s="173"/>
      <c r="D691" s="173"/>
    </row>
    <row r="692" ht="15.75" customHeight="1">
      <c r="A692" s="168" t="s">
        <v>2105</v>
      </c>
      <c r="B692" s="186" t="s">
        <v>386</v>
      </c>
      <c r="C692" s="173"/>
      <c r="D692" s="173"/>
    </row>
    <row r="693" ht="15.75" customHeight="1">
      <c r="A693" s="168" t="s">
        <v>2106</v>
      </c>
      <c r="B693" s="186" t="s">
        <v>386</v>
      </c>
      <c r="C693" s="173"/>
      <c r="D693" s="173"/>
    </row>
    <row r="694" ht="15.75" customHeight="1">
      <c r="A694" s="168" t="s">
        <v>2107</v>
      </c>
      <c r="B694" s="186" t="s">
        <v>386</v>
      </c>
      <c r="C694" s="173"/>
      <c r="D694" s="173"/>
    </row>
    <row r="695" ht="15.75" customHeight="1">
      <c r="A695" s="174" t="s">
        <v>520</v>
      </c>
      <c r="B695" s="186" t="s">
        <v>386</v>
      </c>
      <c r="C695" s="195"/>
      <c r="D695" s="195"/>
    </row>
    <row r="696" ht="15.75" customHeight="1">
      <c r="A696" s="174" t="s">
        <v>1117</v>
      </c>
      <c r="B696" s="186" t="s">
        <v>386</v>
      </c>
      <c r="C696" s="180"/>
      <c r="D696" s="180"/>
    </row>
    <row r="697" ht="15.75" customHeight="1">
      <c r="A697" s="168" t="s">
        <v>1193</v>
      </c>
      <c r="B697" s="186" t="s">
        <v>386</v>
      </c>
      <c r="C697" s="173"/>
      <c r="D697" s="173"/>
    </row>
    <row r="698" ht="15.75" customHeight="1">
      <c r="A698" s="168" t="s">
        <v>1370</v>
      </c>
      <c r="B698" s="186" t="s">
        <v>386</v>
      </c>
      <c r="C698" s="173"/>
      <c r="D698" s="173"/>
    </row>
    <row r="699" ht="15.75" customHeight="1">
      <c r="A699" s="168" t="s">
        <v>1409</v>
      </c>
      <c r="B699" s="186" t="s">
        <v>386</v>
      </c>
      <c r="C699" s="173"/>
      <c r="D699" s="173"/>
    </row>
    <row r="700" ht="15.75" customHeight="1">
      <c r="A700" s="168" t="s">
        <v>2108</v>
      </c>
      <c r="B700" s="186" t="s">
        <v>386</v>
      </c>
      <c r="C700" s="173"/>
      <c r="D700" s="173"/>
    </row>
    <row r="701" ht="15.75" customHeight="1">
      <c r="A701" s="168" t="s">
        <v>1605</v>
      </c>
      <c r="B701" s="186" t="s">
        <v>386</v>
      </c>
      <c r="C701" s="173"/>
      <c r="D701" s="173"/>
    </row>
    <row r="702" ht="15.75" customHeight="1">
      <c r="A702" s="168" t="s">
        <v>1660</v>
      </c>
      <c r="B702" s="184" t="s">
        <v>386</v>
      </c>
      <c r="C702" s="173"/>
      <c r="D702" s="173"/>
    </row>
    <row r="703" ht="15.75" customHeight="1">
      <c r="A703" s="168" t="s">
        <v>1689</v>
      </c>
      <c r="B703" s="184" t="s">
        <v>386</v>
      </c>
      <c r="C703" s="173"/>
      <c r="D703" s="173"/>
    </row>
    <row r="704" ht="15.75" customHeight="1">
      <c r="A704" s="168" t="s">
        <v>1834</v>
      </c>
      <c r="B704" s="186" t="s">
        <v>386</v>
      </c>
      <c r="C704" s="173"/>
      <c r="D704" s="173"/>
    </row>
    <row r="705" ht="15.75" customHeight="1">
      <c r="A705" s="168" t="s">
        <v>249</v>
      </c>
      <c r="B705" s="189" t="s">
        <v>250</v>
      </c>
      <c r="C705" s="192" t="s">
        <v>2109</v>
      </c>
      <c r="D705" s="167"/>
    </row>
    <row r="706" ht="15.75" customHeight="1">
      <c r="A706" s="174" t="s">
        <v>492</v>
      </c>
      <c r="B706" s="186" t="s">
        <v>250</v>
      </c>
      <c r="C706" s="180"/>
      <c r="D706" s="180"/>
    </row>
    <row r="707" ht="15.75" customHeight="1">
      <c r="A707" s="174" t="s">
        <v>517</v>
      </c>
      <c r="B707" s="184" t="s">
        <v>250</v>
      </c>
      <c r="C707" s="180"/>
      <c r="D707" s="180"/>
    </row>
    <row r="708" ht="15.75" customHeight="1">
      <c r="A708" s="168" t="s">
        <v>518</v>
      </c>
      <c r="B708" s="186" t="s">
        <v>250</v>
      </c>
      <c r="C708" s="173"/>
      <c r="D708" s="173"/>
    </row>
    <row r="709" ht="15.75" customHeight="1">
      <c r="A709" s="174" t="s">
        <v>590</v>
      </c>
      <c r="B709" s="189" t="s">
        <v>250</v>
      </c>
      <c r="C709" s="170"/>
      <c r="D709" s="170"/>
    </row>
    <row r="710" ht="15.75" customHeight="1">
      <c r="A710" s="174" t="s">
        <v>2110</v>
      </c>
      <c r="B710" s="189" t="s">
        <v>250</v>
      </c>
      <c r="C710" s="170"/>
      <c r="D710" s="170"/>
    </row>
    <row r="711" ht="15.75" customHeight="1">
      <c r="A711" s="174" t="s">
        <v>2111</v>
      </c>
      <c r="B711" s="186" t="s">
        <v>250</v>
      </c>
      <c r="C711" s="180"/>
      <c r="D711" s="180"/>
    </row>
    <row r="712" ht="15.75" customHeight="1">
      <c r="A712" s="168" t="s">
        <v>836</v>
      </c>
      <c r="B712" s="186" t="s">
        <v>250</v>
      </c>
      <c r="C712" s="173"/>
      <c r="D712" s="173"/>
    </row>
    <row r="713" ht="15.75" customHeight="1">
      <c r="A713" s="174" t="s">
        <v>1011</v>
      </c>
      <c r="B713" s="186" t="s">
        <v>250</v>
      </c>
      <c r="C713" s="180"/>
      <c r="D713" s="180"/>
    </row>
    <row r="714" ht="15.75" customHeight="1">
      <c r="A714" s="174" t="s">
        <v>1017</v>
      </c>
      <c r="B714" s="186" t="s">
        <v>250</v>
      </c>
      <c r="C714" s="180"/>
      <c r="D714" s="180"/>
    </row>
    <row r="715" ht="15.75" customHeight="1">
      <c r="A715" s="168" t="s">
        <v>1085</v>
      </c>
      <c r="B715" s="186" t="s">
        <v>250</v>
      </c>
      <c r="C715" s="173"/>
      <c r="D715" s="173"/>
    </row>
    <row r="716" ht="15.75" customHeight="1">
      <c r="A716" s="168" t="s">
        <v>1136</v>
      </c>
      <c r="B716" s="186" t="s">
        <v>250</v>
      </c>
      <c r="C716" s="173"/>
      <c r="D716" s="173"/>
    </row>
    <row r="717" ht="15.75" customHeight="1">
      <c r="A717" s="168" t="s">
        <v>1288</v>
      </c>
      <c r="B717" s="184" t="s">
        <v>250</v>
      </c>
      <c r="C717" s="173"/>
      <c r="D717" s="173"/>
    </row>
    <row r="718" ht="15.75" customHeight="1">
      <c r="A718" s="168" t="s">
        <v>1308</v>
      </c>
      <c r="B718" s="186" t="s">
        <v>250</v>
      </c>
      <c r="C718" s="173"/>
      <c r="D718" s="173"/>
    </row>
    <row r="719" ht="15.75" customHeight="1">
      <c r="A719" s="168" t="s">
        <v>2112</v>
      </c>
      <c r="B719" s="186" t="s">
        <v>250</v>
      </c>
      <c r="C719" s="173"/>
      <c r="D719" s="173"/>
    </row>
    <row r="720" ht="15.75" customHeight="1">
      <c r="A720" s="168" t="s">
        <v>2113</v>
      </c>
      <c r="B720" s="186" t="s">
        <v>250</v>
      </c>
      <c r="C720" s="173"/>
      <c r="D720" s="173"/>
    </row>
    <row r="721" ht="15.75" customHeight="1">
      <c r="A721" s="168" t="s">
        <v>1860</v>
      </c>
      <c r="B721" s="186" t="s">
        <v>250</v>
      </c>
      <c r="C721" s="173"/>
      <c r="D721" s="173"/>
    </row>
    <row r="722" ht="15.75" customHeight="1">
      <c r="A722" s="168" t="s">
        <v>1862</v>
      </c>
      <c r="B722" s="186" t="s">
        <v>250</v>
      </c>
      <c r="C722" s="173"/>
      <c r="D722" s="173"/>
    </row>
    <row r="723" ht="15.75" customHeight="1">
      <c r="A723" s="168" t="s">
        <v>278</v>
      </c>
      <c r="B723" s="190" t="s">
        <v>279</v>
      </c>
      <c r="C723" s="191" t="s">
        <v>2114</v>
      </c>
      <c r="D723" s="170"/>
    </row>
    <row r="724" ht="15.75" customHeight="1">
      <c r="A724" s="198" t="s">
        <v>283</v>
      </c>
      <c r="B724" s="190" t="s">
        <v>279</v>
      </c>
      <c r="C724" s="191"/>
      <c r="D724" s="170"/>
    </row>
    <row r="725" ht="15.75" customHeight="1">
      <c r="A725" s="168" t="s">
        <v>983</v>
      </c>
      <c r="B725" s="189" t="s">
        <v>279</v>
      </c>
      <c r="C725" s="167"/>
      <c r="D725" s="167"/>
    </row>
    <row r="726" ht="15.75" customHeight="1">
      <c r="A726" s="168" t="s">
        <v>1006</v>
      </c>
      <c r="B726" s="186" t="s">
        <v>279</v>
      </c>
      <c r="C726" s="173"/>
      <c r="D726" s="173"/>
    </row>
    <row r="727" ht="15.75" customHeight="1">
      <c r="A727" s="174" t="s">
        <v>1171</v>
      </c>
      <c r="B727" s="186" t="s">
        <v>279</v>
      </c>
      <c r="C727" s="180"/>
      <c r="D727" s="180"/>
    </row>
    <row r="728" ht="15.75" customHeight="1">
      <c r="A728" s="174" t="s">
        <v>1275</v>
      </c>
      <c r="B728" s="186" t="s">
        <v>279</v>
      </c>
      <c r="C728" s="180"/>
      <c r="D728" s="180"/>
    </row>
    <row r="729" ht="15.75" customHeight="1">
      <c r="A729" s="168" t="s">
        <v>1415</v>
      </c>
      <c r="B729" s="186" t="s">
        <v>279</v>
      </c>
      <c r="C729" s="173"/>
      <c r="D729" s="173"/>
    </row>
    <row r="730" ht="15.75" customHeight="1">
      <c r="A730" s="168" t="s">
        <v>2306</v>
      </c>
      <c r="B730" s="184" t="s">
        <v>279</v>
      </c>
      <c r="C730" s="173"/>
      <c r="D730" s="173"/>
    </row>
    <row r="731" ht="15.75" customHeight="1">
      <c r="A731" s="174" t="s">
        <v>2115</v>
      </c>
      <c r="B731" s="186" t="s">
        <v>279</v>
      </c>
      <c r="C731" s="180"/>
      <c r="D731" s="180"/>
    </row>
    <row r="732" ht="15.75" customHeight="1">
      <c r="A732" s="174" t="s">
        <v>1577</v>
      </c>
      <c r="B732" s="184" t="s">
        <v>279</v>
      </c>
      <c r="C732" s="180"/>
      <c r="D732" s="180"/>
    </row>
    <row r="733" ht="15.75" customHeight="1">
      <c r="A733" s="174" t="s">
        <v>1808</v>
      </c>
      <c r="B733" s="186" t="s">
        <v>279</v>
      </c>
      <c r="C733" s="180"/>
      <c r="D733" s="180"/>
    </row>
    <row r="734" ht="15.75" customHeight="1">
      <c r="A734" s="174" t="s">
        <v>1809</v>
      </c>
      <c r="B734" s="186" t="s">
        <v>279</v>
      </c>
      <c r="C734" s="180"/>
      <c r="D734" s="180"/>
    </row>
    <row r="735" ht="15.75" customHeight="1">
      <c r="A735" s="174" t="s">
        <v>2116</v>
      </c>
      <c r="B735" s="186" t="s">
        <v>279</v>
      </c>
      <c r="C735" s="170"/>
      <c r="D735" s="170"/>
    </row>
    <row r="736" ht="15.75" customHeight="1">
      <c r="A736" s="174" t="s">
        <v>1811</v>
      </c>
      <c r="B736" s="186" t="s">
        <v>279</v>
      </c>
      <c r="C736" s="170"/>
      <c r="D736" s="170"/>
    </row>
    <row r="737" ht="15.75" customHeight="1">
      <c r="A737" s="174" t="s">
        <v>1812</v>
      </c>
      <c r="B737" s="186" t="s">
        <v>279</v>
      </c>
      <c r="C737" s="170"/>
      <c r="D737" s="170"/>
    </row>
    <row r="738" ht="15.75" customHeight="1">
      <c r="A738" s="168" t="s">
        <v>1814</v>
      </c>
      <c r="B738" s="186" t="s">
        <v>279</v>
      </c>
      <c r="C738" s="173"/>
      <c r="D738" s="173"/>
    </row>
    <row r="739" ht="15.75" customHeight="1">
      <c r="A739" s="174" t="s">
        <v>563</v>
      </c>
      <c r="B739" s="184" t="s">
        <v>564</v>
      </c>
      <c r="C739" s="185"/>
      <c r="D739" s="180"/>
    </row>
    <row r="740" ht="15.75" customHeight="1">
      <c r="A740" s="174" t="s">
        <v>626</v>
      </c>
      <c r="B740" s="184" t="s">
        <v>564</v>
      </c>
      <c r="C740" s="185"/>
      <c r="D740" s="180"/>
    </row>
    <row r="741" ht="15.75" customHeight="1">
      <c r="A741" s="174" t="s">
        <v>255</v>
      </c>
      <c r="B741" s="186" t="s">
        <v>256</v>
      </c>
      <c r="C741" s="185" t="s">
        <v>2117</v>
      </c>
      <c r="D741" s="180"/>
    </row>
    <row r="742" ht="15.75" customHeight="1">
      <c r="A742" s="174" t="s">
        <v>2118</v>
      </c>
      <c r="B742" s="186" t="s">
        <v>256</v>
      </c>
      <c r="C742" s="180"/>
      <c r="D742" s="180"/>
    </row>
    <row r="743" ht="15.75" customHeight="1">
      <c r="A743" s="174" t="s">
        <v>922</v>
      </c>
      <c r="B743" s="186" t="s">
        <v>256</v>
      </c>
      <c r="C743" s="180"/>
      <c r="D743" s="180"/>
    </row>
    <row r="744" ht="15.75" customHeight="1">
      <c r="A744" s="168" t="s">
        <v>980</v>
      </c>
      <c r="B744" s="186" t="s">
        <v>256</v>
      </c>
      <c r="C744" s="173"/>
      <c r="D744" s="173"/>
    </row>
    <row r="745" ht="15.75" customHeight="1">
      <c r="A745" s="174" t="s">
        <v>1101</v>
      </c>
      <c r="B745" s="186" t="s">
        <v>256</v>
      </c>
      <c r="C745" s="180"/>
      <c r="D745" s="180"/>
    </row>
    <row r="746" ht="15.75" customHeight="1">
      <c r="A746" s="168" t="s">
        <v>1145</v>
      </c>
      <c r="B746" s="186" t="s">
        <v>256</v>
      </c>
      <c r="C746" s="173"/>
      <c r="D746" s="173"/>
    </row>
    <row r="747" ht="15.75" customHeight="1">
      <c r="A747" s="174" t="s">
        <v>1246</v>
      </c>
      <c r="B747" s="186" t="s">
        <v>256</v>
      </c>
      <c r="C747" s="180"/>
      <c r="D747" s="180"/>
    </row>
    <row r="748" ht="15.75" customHeight="1">
      <c r="A748" s="174" t="s">
        <v>1385</v>
      </c>
      <c r="B748" s="186" t="s">
        <v>256</v>
      </c>
      <c r="C748" s="180"/>
      <c r="D748" s="180"/>
    </row>
    <row r="749" ht="15.75" customHeight="1">
      <c r="A749" s="174" t="s">
        <v>1472</v>
      </c>
      <c r="B749" s="186" t="s">
        <v>256</v>
      </c>
      <c r="C749" s="180"/>
      <c r="D749" s="180"/>
    </row>
    <row r="750" ht="15.75" customHeight="1">
      <c r="A750" s="174" t="s">
        <v>1725</v>
      </c>
      <c r="B750" s="186" t="s">
        <v>256</v>
      </c>
      <c r="C750" s="180"/>
      <c r="D750" s="180"/>
    </row>
    <row r="751" ht="15.75" customHeight="1">
      <c r="A751" s="174" t="s">
        <v>337</v>
      </c>
      <c r="B751" s="186" t="s">
        <v>338</v>
      </c>
      <c r="C751" s="180" t="s">
        <v>2012</v>
      </c>
      <c r="D751" s="180"/>
    </row>
    <row r="752" ht="15.75" customHeight="1">
      <c r="A752" s="174" t="s">
        <v>863</v>
      </c>
      <c r="B752" s="186" t="s">
        <v>338</v>
      </c>
      <c r="C752" s="180"/>
      <c r="D752" s="180"/>
    </row>
    <row r="753" ht="15.75" customHeight="1">
      <c r="A753" s="174" t="s">
        <v>947</v>
      </c>
      <c r="B753" s="186" t="s">
        <v>338</v>
      </c>
      <c r="C753" s="180"/>
      <c r="D753" s="180"/>
    </row>
    <row r="754" ht="15.75" customHeight="1">
      <c r="A754" s="174" t="s">
        <v>1020</v>
      </c>
      <c r="B754" s="186" t="s">
        <v>338</v>
      </c>
      <c r="C754" s="180"/>
      <c r="D754" s="180"/>
    </row>
    <row r="755" ht="15.75" customHeight="1">
      <c r="A755" s="174" t="s">
        <v>1064</v>
      </c>
      <c r="B755" s="186" t="s">
        <v>338</v>
      </c>
      <c r="C755" s="180"/>
      <c r="D755" s="180"/>
    </row>
    <row r="756" ht="15.75" customHeight="1">
      <c r="A756" s="168" t="s">
        <v>1180</v>
      </c>
      <c r="B756" s="186" t="s">
        <v>338</v>
      </c>
      <c r="C756" s="173"/>
      <c r="D756" s="173"/>
    </row>
    <row r="757" ht="15.75" customHeight="1">
      <c r="A757" s="168" t="s">
        <v>1327</v>
      </c>
      <c r="B757" s="186" t="s">
        <v>338</v>
      </c>
      <c r="C757" s="173"/>
      <c r="D757" s="173"/>
    </row>
    <row r="758" ht="15.75" customHeight="1">
      <c r="A758" s="168" t="s">
        <v>1641</v>
      </c>
      <c r="B758" s="186" t="s">
        <v>338</v>
      </c>
      <c r="C758" s="193"/>
      <c r="D758" s="193"/>
    </row>
    <row r="759" ht="15.75" customHeight="1">
      <c r="A759" s="174" t="s">
        <v>1889</v>
      </c>
      <c r="B759" s="186" t="s">
        <v>338</v>
      </c>
      <c r="C759" s="180"/>
      <c r="D759" s="180"/>
    </row>
    <row r="760" ht="15.75" customHeight="1">
      <c r="A760" s="174" t="s">
        <v>1955</v>
      </c>
      <c r="B760" s="184" t="s">
        <v>338</v>
      </c>
      <c r="C760" s="180"/>
      <c r="D760" s="180"/>
    </row>
    <row r="761" ht="15.75" customHeight="1">
      <c r="A761" s="174" t="s">
        <v>2119</v>
      </c>
      <c r="B761" s="189" t="s">
        <v>173</v>
      </c>
      <c r="C761" s="170" t="s">
        <v>2012</v>
      </c>
      <c r="D761" s="170"/>
    </row>
    <row r="762" ht="15.75" customHeight="1">
      <c r="A762" s="174" t="s">
        <v>367</v>
      </c>
      <c r="B762" s="190" t="s">
        <v>173</v>
      </c>
      <c r="C762" s="170"/>
      <c r="D762" s="170"/>
    </row>
    <row r="763" ht="15.75" customHeight="1">
      <c r="A763" s="188" t="s">
        <v>406</v>
      </c>
      <c r="B763" s="189" t="s">
        <v>173</v>
      </c>
      <c r="C763" s="167"/>
      <c r="D763" s="167"/>
    </row>
    <row r="764" ht="15.75" customHeight="1">
      <c r="A764" s="188" t="s">
        <v>411</v>
      </c>
      <c r="B764" s="190" t="s">
        <v>173</v>
      </c>
      <c r="C764" s="167"/>
      <c r="D764" s="167"/>
    </row>
    <row r="765" ht="15.75" customHeight="1">
      <c r="A765" s="168" t="s">
        <v>694</v>
      </c>
      <c r="B765" s="186" t="s">
        <v>173</v>
      </c>
      <c r="C765" s="173"/>
      <c r="D765" s="173"/>
    </row>
    <row r="766" ht="15.75" customHeight="1">
      <c r="A766" s="174" t="s">
        <v>1122</v>
      </c>
      <c r="B766" s="189" t="s">
        <v>173</v>
      </c>
      <c r="C766" s="170"/>
      <c r="D766" s="170"/>
    </row>
    <row r="767" ht="15.75" customHeight="1">
      <c r="A767" s="174" t="s">
        <v>1356</v>
      </c>
      <c r="B767" s="186" t="s">
        <v>173</v>
      </c>
      <c r="C767" s="180"/>
      <c r="D767" s="180"/>
    </row>
    <row r="768" ht="15.75" customHeight="1">
      <c r="A768" s="168" t="s">
        <v>1473</v>
      </c>
      <c r="B768" s="186" t="s">
        <v>173</v>
      </c>
      <c r="C768" s="173"/>
      <c r="D768" s="173"/>
    </row>
    <row r="769" ht="15.75" customHeight="1">
      <c r="A769" s="168" t="s">
        <v>197</v>
      </c>
      <c r="B769" s="166" t="s">
        <v>198</v>
      </c>
      <c r="C769" s="192" t="s">
        <v>2012</v>
      </c>
      <c r="D769" s="167"/>
    </row>
    <row r="770" ht="15.75" customHeight="1">
      <c r="A770" s="168" t="s">
        <v>341</v>
      </c>
      <c r="B770" s="176" t="s">
        <v>198</v>
      </c>
      <c r="C770" s="192"/>
      <c r="D770" s="167"/>
    </row>
    <row r="771" ht="15.75" customHeight="1">
      <c r="A771" s="168" t="s">
        <v>388</v>
      </c>
      <c r="B771" s="176" t="s">
        <v>198</v>
      </c>
      <c r="C771" s="167"/>
      <c r="D771" s="167"/>
    </row>
    <row r="772" ht="15.75" customHeight="1">
      <c r="A772" s="174" t="s">
        <v>1362</v>
      </c>
      <c r="B772" s="171" t="s">
        <v>198</v>
      </c>
      <c r="C772" s="170"/>
      <c r="D772" s="170"/>
    </row>
    <row r="773" ht="15.75" customHeight="1">
      <c r="A773" s="174" t="s">
        <v>1467</v>
      </c>
      <c r="B773" s="172" t="s">
        <v>198</v>
      </c>
      <c r="C773" s="180"/>
      <c r="D773" s="180"/>
    </row>
    <row r="774" ht="15.75" customHeight="1">
      <c r="A774" s="174" t="s">
        <v>1564</v>
      </c>
      <c r="B774" s="169" t="s">
        <v>198</v>
      </c>
      <c r="C774" s="170"/>
      <c r="D774" s="170"/>
    </row>
    <row r="775" ht="15.75" customHeight="1">
      <c r="A775" s="168" t="s">
        <v>1750</v>
      </c>
      <c r="B775" s="176" t="s">
        <v>198</v>
      </c>
      <c r="C775" s="167"/>
      <c r="D775" s="167"/>
    </row>
    <row r="776" ht="15.75" customHeight="1">
      <c r="A776" s="168" t="s">
        <v>1841</v>
      </c>
      <c r="B776" s="176" t="s">
        <v>198</v>
      </c>
      <c r="C776" s="167"/>
      <c r="D776" s="167"/>
    </row>
    <row r="777" ht="15.75" customHeight="1">
      <c r="A777" s="174" t="s">
        <v>346</v>
      </c>
      <c r="B777" s="166" t="s">
        <v>347</v>
      </c>
      <c r="C777" s="192" t="s">
        <v>2012</v>
      </c>
      <c r="D777" s="167"/>
    </row>
    <row r="778" ht="15.75" customHeight="1">
      <c r="A778" s="174" t="s">
        <v>2120</v>
      </c>
      <c r="B778" s="171" t="s">
        <v>347</v>
      </c>
      <c r="C778" s="170"/>
      <c r="D778" s="170"/>
    </row>
    <row r="779" ht="15.75" customHeight="1">
      <c r="A779" s="174" t="s">
        <v>442</v>
      </c>
      <c r="B779" s="166" t="s">
        <v>347</v>
      </c>
      <c r="C779" s="170"/>
      <c r="D779" s="170"/>
    </row>
    <row r="780" ht="15.75" customHeight="1">
      <c r="A780" s="168" t="s">
        <v>2121</v>
      </c>
      <c r="B780" s="171" t="s">
        <v>347</v>
      </c>
      <c r="C780" s="170"/>
      <c r="D780" s="170"/>
    </row>
    <row r="781" ht="15.75" customHeight="1">
      <c r="A781" s="168" t="s">
        <v>650</v>
      </c>
      <c r="B781" s="166" t="s">
        <v>347</v>
      </c>
      <c r="C781" s="167"/>
      <c r="D781" s="167"/>
    </row>
    <row r="782" ht="15.75" customHeight="1">
      <c r="A782" s="168" t="s">
        <v>2122</v>
      </c>
      <c r="B782" s="171" t="s">
        <v>347</v>
      </c>
      <c r="C782" s="173"/>
      <c r="D782" s="173"/>
    </row>
    <row r="783" ht="15.75" customHeight="1">
      <c r="A783" s="174" t="s">
        <v>673</v>
      </c>
      <c r="B783" s="166" t="s">
        <v>347</v>
      </c>
      <c r="C783" s="180"/>
      <c r="D783" s="180"/>
    </row>
    <row r="784" ht="15.75" customHeight="1">
      <c r="A784" s="174" t="s">
        <v>690</v>
      </c>
      <c r="B784" s="171" t="s">
        <v>347</v>
      </c>
      <c r="C784" s="180"/>
      <c r="D784" s="180"/>
    </row>
    <row r="785" ht="15.75" customHeight="1">
      <c r="A785" s="174" t="s">
        <v>2123</v>
      </c>
      <c r="B785" s="174" t="s">
        <v>68</v>
      </c>
      <c r="C785" s="185" t="s">
        <v>2124</v>
      </c>
      <c r="D785" s="180"/>
    </row>
    <row r="786" ht="15.75" customHeight="1">
      <c r="A786" s="174" t="s">
        <v>103</v>
      </c>
      <c r="B786" s="174" t="s">
        <v>68</v>
      </c>
      <c r="C786" s="180"/>
      <c r="D786" s="180"/>
    </row>
    <row r="787" ht="15.75" customHeight="1">
      <c r="A787" s="174" t="s">
        <v>131</v>
      </c>
      <c r="B787" s="174" t="s">
        <v>68</v>
      </c>
      <c r="C787" s="180"/>
      <c r="D787" s="180"/>
    </row>
    <row r="788" ht="15.75" customHeight="1">
      <c r="A788" s="168" t="s">
        <v>325</v>
      </c>
      <c r="B788" s="174" t="s">
        <v>68</v>
      </c>
      <c r="C788" s="193"/>
      <c r="D788" s="193"/>
    </row>
    <row r="789" ht="15.75" customHeight="1">
      <c r="A789" s="174" t="s">
        <v>503</v>
      </c>
      <c r="B789" s="174" t="s">
        <v>68</v>
      </c>
      <c r="C789" s="180"/>
      <c r="D789" s="180"/>
    </row>
    <row r="790" ht="15.75" customHeight="1">
      <c r="A790" s="168" t="s">
        <v>2125</v>
      </c>
      <c r="B790" s="174" t="s">
        <v>68</v>
      </c>
      <c r="C790" s="173"/>
      <c r="D790" s="173"/>
    </row>
    <row r="791" ht="15.75" customHeight="1">
      <c r="A791" s="168" t="s">
        <v>637</v>
      </c>
      <c r="B791" s="174" t="s">
        <v>68</v>
      </c>
      <c r="C791" s="173"/>
      <c r="D791" s="173"/>
    </row>
    <row r="792" ht="15.75" customHeight="1">
      <c r="A792" s="174" t="s">
        <v>702</v>
      </c>
      <c r="B792" s="174" t="s">
        <v>68</v>
      </c>
      <c r="C792" s="180"/>
      <c r="D792" s="180"/>
    </row>
    <row r="793" ht="15.75" customHeight="1">
      <c r="A793" s="174" t="s">
        <v>776</v>
      </c>
      <c r="B793" s="174" t="s">
        <v>68</v>
      </c>
      <c r="C793" s="180"/>
      <c r="D793" s="180"/>
    </row>
    <row r="794" ht="15.75" customHeight="1">
      <c r="A794" s="168" t="s">
        <v>1083</v>
      </c>
      <c r="B794" s="174" t="s">
        <v>68</v>
      </c>
      <c r="C794" s="173"/>
      <c r="D794" s="173"/>
    </row>
    <row r="795" ht="15.75" customHeight="1">
      <c r="A795" s="168" t="s">
        <v>1138</v>
      </c>
      <c r="B795" s="174" t="s">
        <v>68</v>
      </c>
      <c r="C795" s="195"/>
      <c r="D795" s="195"/>
    </row>
    <row r="796" ht="15.75" customHeight="1">
      <c r="A796" s="174" t="s">
        <v>1157</v>
      </c>
      <c r="B796" s="174" t="s">
        <v>68</v>
      </c>
      <c r="C796" s="195"/>
      <c r="D796" s="195"/>
    </row>
    <row r="797" ht="15.75" customHeight="1">
      <c r="A797" s="168" t="s">
        <v>2126</v>
      </c>
      <c r="B797" s="174" t="s">
        <v>68</v>
      </c>
      <c r="C797" s="180"/>
      <c r="D797" s="180"/>
    </row>
    <row r="798" ht="15.75" customHeight="1">
      <c r="A798" s="168" t="s">
        <v>1567</v>
      </c>
      <c r="B798" s="174" t="s">
        <v>68</v>
      </c>
      <c r="C798" s="199"/>
      <c r="D798" s="199"/>
    </row>
    <row r="799" ht="15.75" customHeight="1">
      <c r="A799" s="174" t="s">
        <v>1586</v>
      </c>
      <c r="B799" s="174" t="s">
        <v>68</v>
      </c>
      <c r="C799" s="195"/>
      <c r="D799" s="195"/>
    </row>
    <row r="800" ht="15.75" customHeight="1">
      <c r="A800" s="168" t="s">
        <v>1631</v>
      </c>
      <c r="B800" s="174" t="s">
        <v>68</v>
      </c>
      <c r="C800" s="170"/>
      <c r="D800" s="170"/>
    </row>
    <row r="801" ht="15.75" customHeight="1">
      <c r="A801" s="168" t="s">
        <v>1652</v>
      </c>
      <c r="B801" s="174" t="s">
        <v>68</v>
      </c>
      <c r="C801" s="195"/>
      <c r="D801" s="195"/>
    </row>
    <row r="802" ht="15.75" customHeight="1">
      <c r="A802" s="168" t="s">
        <v>1733</v>
      </c>
      <c r="B802" s="174" t="s">
        <v>68</v>
      </c>
      <c r="C802" s="173"/>
      <c r="D802" s="173"/>
    </row>
    <row r="803" ht="15.75" customHeight="1">
      <c r="A803" s="174" t="s">
        <v>1776</v>
      </c>
      <c r="B803" s="174" t="s">
        <v>68</v>
      </c>
      <c r="C803" s="193"/>
      <c r="D803" s="193"/>
    </row>
    <row r="804" ht="15.75" customHeight="1">
      <c r="A804" s="174" t="s">
        <v>1918</v>
      </c>
      <c r="B804" s="174" t="s">
        <v>68</v>
      </c>
      <c r="C804" s="180"/>
      <c r="D804" s="180"/>
    </row>
    <row r="805" ht="15.75" customHeight="1">
      <c r="A805" s="174" t="s">
        <v>450</v>
      </c>
      <c r="B805" s="184" t="s">
        <v>451</v>
      </c>
      <c r="C805" s="191" t="s">
        <v>2127</v>
      </c>
      <c r="D805" s="180"/>
    </row>
    <row r="806" ht="15.75" customHeight="1">
      <c r="A806" s="174" t="s">
        <v>706</v>
      </c>
      <c r="B806" s="186" t="s">
        <v>451</v>
      </c>
      <c r="C806" s="191"/>
      <c r="D806" s="180"/>
    </row>
    <row r="807" ht="15.75" customHeight="1">
      <c r="A807" s="188" t="s">
        <v>962</v>
      </c>
      <c r="B807" s="186" t="s">
        <v>451</v>
      </c>
      <c r="C807" s="173"/>
      <c r="D807" s="173"/>
    </row>
    <row r="808" ht="15.75" customHeight="1">
      <c r="A808" s="188" t="s">
        <v>975</v>
      </c>
      <c r="B808" s="184" t="s">
        <v>451</v>
      </c>
      <c r="C808" s="173"/>
      <c r="D808" s="173"/>
    </row>
    <row r="809" ht="15.75" customHeight="1">
      <c r="A809" s="188" t="s">
        <v>1042</v>
      </c>
      <c r="B809" s="189" t="s">
        <v>451</v>
      </c>
      <c r="C809" s="167"/>
      <c r="D809" s="167"/>
    </row>
    <row r="810" ht="15.75" customHeight="1">
      <c r="A810" s="168" t="s">
        <v>1195</v>
      </c>
      <c r="B810" s="189" t="s">
        <v>451</v>
      </c>
      <c r="C810" s="167"/>
      <c r="D810" s="167"/>
    </row>
    <row r="811" ht="15.75" customHeight="1">
      <c r="A811" s="168" t="s">
        <v>1306</v>
      </c>
      <c r="B811" s="186" t="s">
        <v>451</v>
      </c>
      <c r="C811" s="173"/>
      <c r="D811" s="173"/>
    </row>
    <row r="812" ht="15.75" customHeight="1">
      <c r="A812" s="168" t="s">
        <v>1319</v>
      </c>
      <c r="B812" s="186" t="s">
        <v>451</v>
      </c>
      <c r="C812" s="173"/>
      <c r="D812" s="173"/>
    </row>
    <row r="813" ht="15.75" customHeight="1">
      <c r="A813" s="174" t="s">
        <v>1404</v>
      </c>
      <c r="B813" s="186" t="s">
        <v>451</v>
      </c>
      <c r="C813" s="180"/>
      <c r="D813" s="180"/>
    </row>
    <row r="814" ht="15.75" customHeight="1">
      <c r="A814" s="168" t="s">
        <v>310</v>
      </c>
      <c r="B814" s="189" t="s">
        <v>311</v>
      </c>
      <c r="C814" s="192" t="s">
        <v>2128</v>
      </c>
      <c r="D814" s="167"/>
    </row>
    <row r="815" ht="15.75" customHeight="1">
      <c r="A815" s="174" t="s">
        <v>910</v>
      </c>
      <c r="B815" s="189" t="s">
        <v>311</v>
      </c>
      <c r="C815" s="170"/>
      <c r="D815" s="170"/>
    </row>
    <row r="816" ht="15.75" customHeight="1">
      <c r="A816" s="168" t="s">
        <v>1200</v>
      </c>
      <c r="B816" s="186" t="s">
        <v>311</v>
      </c>
      <c r="C816" s="173"/>
      <c r="D816" s="173"/>
    </row>
    <row r="817" ht="15.75" customHeight="1">
      <c r="A817" s="168" t="s">
        <v>1235</v>
      </c>
      <c r="B817" s="184" t="s">
        <v>311</v>
      </c>
      <c r="C817" s="173"/>
      <c r="D817" s="173"/>
    </row>
    <row r="818" ht="15.75" customHeight="1">
      <c r="A818" s="168" t="s">
        <v>1282</v>
      </c>
      <c r="B818" s="186" t="s">
        <v>311</v>
      </c>
      <c r="C818" s="173"/>
      <c r="D818" s="173"/>
    </row>
    <row r="819" ht="15.75" customHeight="1">
      <c r="A819" s="174" t="s">
        <v>1465</v>
      </c>
      <c r="B819" s="186" t="s">
        <v>311</v>
      </c>
      <c r="C819" s="180"/>
      <c r="D819" s="180"/>
    </row>
    <row r="820" ht="15.75" customHeight="1">
      <c r="A820" s="174" t="s">
        <v>1565</v>
      </c>
      <c r="B820" s="186" t="s">
        <v>311</v>
      </c>
      <c r="C820" s="180"/>
      <c r="D820" s="180"/>
    </row>
    <row r="821" ht="15.75" customHeight="1">
      <c r="A821" s="174" t="s">
        <v>2129</v>
      </c>
      <c r="B821" s="189" t="s">
        <v>225</v>
      </c>
      <c r="C821" s="170" t="s">
        <v>2012</v>
      </c>
      <c r="D821" s="170"/>
    </row>
    <row r="822" ht="15.75" customHeight="1">
      <c r="A822" s="168" t="s">
        <v>540</v>
      </c>
      <c r="B822" s="186" t="s">
        <v>225</v>
      </c>
      <c r="C822" s="173"/>
      <c r="D822" s="173"/>
    </row>
    <row r="823" ht="15.75" customHeight="1">
      <c r="A823" s="168" t="s">
        <v>2130</v>
      </c>
      <c r="B823" s="186" t="s">
        <v>225</v>
      </c>
      <c r="C823" s="173"/>
      <c r="D823" s="173"/>
    </row>
    <row r="824" ht="15.75" customHeight="1">
      <c r="A824" s="168" t="s">
        <v>620</v>
      </c>
      <c r="B824" s="186" t="s">
        <v>225</v>
      </c>
      <c r="C824" s="173"/>
      <c r="D824" s="173"/>
    </row>
    <row r="825" ht="15.75" customHeight="1">
      <c r="A825" s="168" t="s">
        <v>729</v>
      </c>
      <c r="B825" s="186" t="s">
        <v>225</v>
      </c>
      <c r="C825" s="173"/>
      <c r="D825" s="173"/>
    </row>
    <row r="826" ht="15.75" customHeight="1">
      <c r="A826" s="168" t="s">
        <v>2131</v>
      </c>
      <c r="B826" s="186" t="s">
        <v>225</v>
      </c>
      <c r="C826" s="170"/>
      <c r="D826" s="170"/>
    </row>
    <row r="827" ht="15.75" customHeight="1">
      <c r="A827" s="174" t="s">
        <v>936</v>
      </c>
      <c r="B827" s="186" t="s">
        <v>225</v>
      </c>
      <c r="C827" s="180"/>
      <c r="D827" s="180"/>
    </row>
    <row r="828" ht="15.75" customHeight="1">
      <c r="A828" s="174" t="s">
        <v>1179</v>
      </c>
      <c r="B828" s="184" t="s">
        <v>225</v>
      </c>
      <c r="C828" s="180"/>
      <c r="D828" s="180"/>
    </row>
    <row r="829" ht="15.75" customHeight="1">
      <c r="A829" s="168" t="s">
        <v>1341</v>
      </c>
      <c r="B829" s="186" t="s">
        <v>225</v>
      </c>
      <c r="C829" s="173"/>
      <c r="D829" s="173"/>
    </row>
    <row r="830" ht="15.75" customHeight="1">
      <c r="A830" s="174" t="s">
        <v>1536</v>
      </c>
      <c r="B830" s="186" t="s">
        <v>225</v>
      </c>
      <c r="C830" s="180"/>
      <c r="D830" s="180"/>
    </row>
    <row r="831" ht="15.75" customHeight="1">
      <c r="A831" s="174" t="s">
        <v>1833</v>
      </c>
      <c r="B831" s="186" t="s">
        <v>225</v>
      </c>
      <c r="C831" s="180"/>
      <c r="D831" s="180"/>
    </row>
    <row r="832" ht="15.75" customHeight="1">
      <c r="A832" s="168" t="s">
        <v>99</v>
      </c>
      <c r="B832" s="172" t="s">
        <v>100</v>
      </c>
      <c r="C832" s="185" t="s">
        <v>2012</v>
      </c>
      <c r="D832" s="180"/>
    </row>
    <row r="833" ht="15.75" customHeight="1">
      <c r="A833" s="168" t="s">
        <v>423</v>
      </c>
      <c r="B833" s="175" t="s">
        <v>100</v>
      </c>
      <c r="C833" s="173"/>
      <c r="D833" s="173"/>
    </row>
    <row r="834" ht="15.75" customHeight="1">
      <c r="A834" s="168" t="s">
        <v>544</v>
      </c>
      <c r="B834" s="176" t="s">
        <v>100</v>
      </c>
      <c r="C834" s="167"/>
      <c r="D834" s="167"/>
    </row>
    <row r="835" ht="15.75" customHeight="1">
      <c r="A835" s="174" t="s">
        <v>2132</v>
      </c>
      <c r="B835" s="169" t="s">
        <v>100</v>
      </c>
      <c r="C835" s="170"/>
      <c r="D835" s="170"/>
    </row>
    <row r="836" ht="15.75" customHeight="1">
      <c r="A836" s="168" t="s">
        <v>622</v>
      </c>
      <c r="B836" s="169" t="s">
        <v>100</v>
      </c>
      <c r="C836" s="193"/>
      <c r="D836" s="193"/>
    </row>
    <row r="837" ht="15.75" customHeight="1">
      <c r="A837" s="174" t="s">
        <v>649</v>
      </c>
      <c r="B837" s="172" t="s">
        <v>100</v>
      </c>
      <c r="C837" s="180"/>
      <c r="D837" s="180"/>
    </row>
    <row r="838" ht="15.75" customHeight="1">
      <c r="A838" s="168" t="s">
        <v>1603</v>
      </c>
      <c r="B838" s="175" t="s">
        <v>100</v>
      </c>
      <c r="C838" s="173"/>
      <c r="D838" s="173"/>
    </row>
    <row r="839" ht="15.75" customHeight="1">
      <c r="A839" s="174" t="s">
        <v>2133</v>
      </c>
      <c r="B839" s="169" t="s">
        <v>100</v>
      </c>
      <c r="C839" s="170"/>
      <c r="D839" s="170"/>
    </row>
    <row r="840" ht="15.75" customHeight="1">
      <c r="A840" s="174" t="s">
        <v>1802</v>
      </c>
      <c r="B840" s="169" t="s">
        <v>100</v>
      </c>
      <c r="C840" s="170"/>
      <c r="D840" s="170"/>
    </row>
    <row r="841" ht="15.75" customHeight="1">
      <c r="A841" s="174" t="s">
        <v>2134</v>
      </c>
      <c r="B841" s="169" t="s">
        <v>100</v>
      </c>
      <c r="C841" s="170"/>
      <c r="D841" s="170"/>
    </row>
    <row r="842" ht="15.75" customHeight="1">
      <c r="A842" s="168" t="s">
        <v>217</v>
      </c>
      <c r="B842" s="186" t="s">
        <v>218</v>
      </c>
      <c r="C842" s="200" t="s">
        <v>2012</v>
      </c>
      <c r="D842" s="201"/>
    </row>
    <row r="843" ht="15.75" customHeight="1">
      <c r="A843" s="174" t="s">
        <v>260</v>
      </c>
      <c r="B843" s="186" t="s">
        <v>218</v>
      </c>
      <c r="C843" s="170"/>
      <c r="D843" s="170"/>
    </row>
    <row r="844" ht="15.75" customHeight="1">
      <c r="A844" s="174" t="s">
        <v>628</v>
      </c>
      <c r="B844" s="184" t="s">
        <v>218</v>
      </c>
      <c r="C844" s="170"/>
      <c r="D844" s="170"/>
    </row>
    <row r="845" ht="15.75" customHeight="1">
      <c r="A845" s="174" t="s">
        <v>1093</v>
      </c>
      <c r="B845" s="186" t="s">
        <v>218</v>
      </c>
      <c r="C845" s="180"/>
      <c r="D845" s="180"/>
    </row>
    <row r="846" ht="15.75" customHeight="1">
      <c r="A846" s="168" t="s">
        <v>1610</v>
      </c>
      <c r="B846" s="186" t="s">
        <v>218</v>
      </c>
      <c r="C846" s="173"/>
      <c r="D846" s="173"/>
    </row>
    <row r="847" ht="15.75" customHeight="1">
      <c r="A847" s="174" t="s">
        <v>1736</v>
      </c>
      <c r="B847" s="186" t="s">
        <v>218</v>
      </c>
      <c r="C847" s="180"/>
      <c r="D847" s="180"/>
    </row>
    <row r="848" ht="15.75" customHeight="1">
      <c r="A848" s="168" t="s">
        <v>1737</v>
      </c>
      <c r="B848" s="186" t="s">
        <v>218</v>
      </c>
      <c r="C848" s="173"/>
      <c r="D848" s="173"/>
    </row>
    <row r="849" ht="15.75" customHeight="1">
      <c r="A849" s="168" t="s">
        <v>1752</v>
      </c>
      <c r="B849" s="186" t="s">
        <v>218</v>
      </c>
      <c r="C849" s="173"/>
      <c r="D849" s="173"/>
    </row>
    <row r="850" ht="15.75" customHeight="1">
      <c r="A850" s="174" t="s">
        <v>777</v>
      </c>
      <c r="B850" s="189" t="s">
        <v>778</v>
      </c>
      <c r="C850" s="170" t="s">
        <v>2012</v>
      </c>
      <c r="D850" s="170"/>
    </row>
    <row r="851" ht="15.75" customHeight="1">
      <c r="A851" s="168" t="s">
        <v>783</v>
      </c>
      <c r="B851" s="189" t="s">
        <v>778</v>
      </c>
      <c r="C851" s="167"/>
      <c r="D851" s="167"/>
    </row>
    <row r="852" ht="15.75" customHeight="1">
      <c r="A852" s="168" t="s">
        <v>2135</v>
      </c>
      <c r="B852" s="186" t="s">
        <v>778</v>
      </c>
      <c r="C852" s="195"/>
      <c r="D852" s="195"/>
    </row>
    <row r="853" ht="15.75" customHeight="1">
      <c r="A853" s="168" t="s">
        <v>1258</v>
      </c>
      <c r="B853" s="186" t="s">
        <v>778</v>
      </c>
      <c r="C853" s="173"/>
      <c r="D853" s="173"/>
    </row>
    <row r="854" ht="15.75" customHeight="1">
      <c r="A854" s="168" t="s">
        <v>1632</v>
      </c>
      <c r="B854" s="186" t="s">
        <v>778</v>
      </c>
      <c r="C854" s="173"/>
      <c r="D854" s="173"/>
    </row>
    <row r="855" ht="15.75" customHeight="1">
      <c r="A855" s="168" t="s">
        <v>1633</v>
      </c>
      <c r="B855" s="186" t="s">
        <v>778</v>
      </c>
      <c r="C855" s="173"/>
      <c r="D855" s="173"/>
    </row>
    <row r="856" ht="15.75" customHeight="1">
      <c r="A856" s="174" t="s">
        <v>1634</v>
      </c>
      <c r="B856" s="186" t="s">
        <v>778</v>
      </c>
      <c r="C856" s="180"/>
      <c r="D856" s="180"/>
    </row>
    <row r="857" ht="15.75" customHeight="1">
      <c r="A857" s="168" t="s">
        <v>2136</v>
      </c>
      <c r="B857" s="186" t="s">
        <v>778</v>
      </c>
      <c r="C857" s="173"/>
      <c r="D857" s="173"/>
    </row>
    <row r="858" ht="15.75" customHeight="1">
      <c r="A858" s="174" t="s">
        <v>1789</v>
      </c>
      <c r="B858" s="186" t="s">
        <v>778</v>
      </c>
      <c r="C858" s="180"/>
      <c r="D858" s="180"/>
    </row>
    <row r="859" ht="15.75" customHeight="1">
      <c r="A859" s="174" t="s">
        <v>1792</v>
      </c>
      <c r="B859" s="186" t="s">
        <v>778</v>
      </c>
      <c r="C859" s="180"/>
      <c r="D859" s="180"/>
    </row>
    <row r="860" ht="15.75" customHeight="1">
      <c r="A860" s="168" t="s">
        <v>1793</v>
      </c>
      <c r="B860" s="186" t="s">
        <v>778</v>
      </c>
      <c r="C860" s="167"/>
      <c r="D860" s="167"/>
    </row>
    <row r="861" ht="15.75" customHeight="1">
      <c r="A861" s="174" t="s">
        <v>1794</v>
      </c>
      <c r="B861" s="186" t="s">
        <v>778</v>
      </c>
      <c r="C861" s="180"/>
      <c r="D861" s="180"/>
    </row>
    <row r="862" ht="15.75" customHeight="1">
      <c r="A862" s="174" t="s">
        <v>1795</v>
      </c>
      <c r="B862" s="186" t="s">
        <v>778</v>
      </c>
      <c r="C862" s="180"/>
      <c r="D862" s="180"/>
    </row>
    <row r="863" ht="15.75" customHeight="1">
      <c r="A863" s="168" t="s">
        <v>1796</v>
      </c>
      <c r="B863" s="186" t="s">
        <v>778</v>
      </c>
      <c r="C863" s="173"/>
      <c r="D863" s="173"/>
    </row>
    <row r="864" ht="15.75" customHeight="1">
      <c r="A864" s="168" t="s">
        <v>1797</v>
      </c>
      <c r="B864" s="186" t="s">
        <v>778</v>
      </c>
      <c r="C864" s="173"/>
      <c r="D864" s="173"/>
    </row>
    <row r="865" ht="15.75" customHeight="1">
      <c r="A865" s="174" t="s">
        <v>1798</v>
      </c>
      <c r="B865" s="186" t="s">
        <v>778</v>
      </c>
      <c r="C865" s="180"/>
      <c r="D865" s="180"/>
    </row>
    <row r="866" ht="15.75" customHeight="1">
      <c r="A866" s="174" t="s">
        <v>262</v>
      </c>
      <c r="B866" s="186" t="s">
        <v>263</v>
      </c>
      <c r="C866" s="185" t="s">
        <v>2128</v>
      </c>
      <c r="D866" s="180"/>
    </row>
    <row r="867" ht="15.75" customHeight="1">
      <c r="A867" s="174" t="s">
        <v>582</v>
      </c>
      <c r="B867" s="186" t="s">
        <v>263</v>
      </c>
      <c r="C867" s="180"/>
      <c r="D867" s="180"/>
    </row>
    <row r="868" ht="15.75" customHeight="1">
      <c r="A868" s="174" t="s">
        <v>1097</v>
      </c>
      <c r="B868" s="186" t="s">
        <v>263</v>
      </c>
      <c r="C868" s="170"/>
      <c r="D868" s="170"/>
    </row>
    <row r="869" ht="15.75" customHeight="1">
      <c r="A869" s="168" t="s">
        <v>1348</v>
      </c>
      <c r="B869" s="186" t="s">
        <v>263</v>
      </c>
      <c r="C869" s="167"/>
      <c r="D869" s="167"/>
    </row>
    <row r="870" ht="15.75" customHeight="1">
      <c r="A870" s="174" t="s">
        <v>1440</v>
      </c>
      <c r="B870" s="186" t="s">
        <v>263</v>
      </c>
      <c r="C870" s="170"/>
      <c r="D870" s="170"/>
    </row>
    <row r="871" ht="15.75" customHeight="1">
      <c r="A871" s="168" t="s">
        <v>1639</v>
      </c>
      <c r="B871" s="186" t="s">
        <v>263</v>
      </c>
      <c r="C871" s="167"/>
      <c r="D871" s="167"/>
    </row>
    <row r="872" ht="15.75" customHeight="1">
      <c r="A872" s="174" t="s">
        <v>1649</v>
      </c>
      <c r="B872" s="186" t="s">
        <v>263</v>
      </c>
      <c r="C872" s="180"/>
      <c r="D872" s="180"/>
    </row>
    <row r="873" ht="15.75" customHeight="1">
      <c r="A873" s="168" t="s">
        <v>1939</v>
      </c>
      <c r="B873" s="186" t="s">
        <v>263</v>
      </c>
      <c r="C873" s="173"/>
      <c r="D873" s="173"/>
    </row>
    <row r="874" ht="15.75" customHeight="1">
      <c r="A874" s="168" t="s">
        <v>1942</v>
      </c>
      <c r="B874" s="186" t="s">
        <v>263</v>
      </c>
      <c r="C874" s="173"/>
      <c r="D874" s="173"/>
    </row>
    <row r="875" ht="15.75" customHeight="1">
      <c r="A875" s="174" t="s">
        <v>188</v>
      </c>
      <c r="B875" s="186" t="s">
        <v>189</v>
      </c>
      <c r="C875" s="185" t="s">
        <v>2012</v>
      </c>
      <c r="D875" s="180"/>
    </row>
    <row r="876" ht="15.75" customHeight="1">
      <c r="A876" s="168" t="s">
        <v>466</v>
      </c>
      <c r="B876" s="186" t="s">
        <v>189</v>
      </c>
      <c r="C876" s="173"/>
      <c r="D876" s="173"/>
    </row>
    <row r="877" ht="15.75" customHeight="1">
      <c r="A877" s="174" t="s">
        <v>885</v>
      </c>
      <c r="B877" s="186" t="s">
        <v>189</v>
      </c>
      <c r="C877" s="180"/>
      <c r="D877" s="180"/>
    </row>
    <row r="878" ht="15.75" customHeight="1">
      <c r="A878" s="174" t="s">
        <v>1088</v>
      </c>
      <c r="B878" s="186" t="s">
        <v>189</v>
      </c>
      <c r="C878" s="180"/>
      <c r="D878" s="180"/>
    </row>
    <row r="879" ht="15.75" customHeight="1">
      <c r="A879" s="174" t="s">
        <v>1238</v>
      </c>
      <c r="B879" s="186" t="s">
        <v>189</v>
      </c>
      <c r="C879" s="180"/>
      <c r="D879" s="180"/>
    </row>
    <row r="880" ht="15.75" customHeight="1">
      <c r="A880" s="168" t="s">
        <v>1529</v>
      </c>
      <c r="B880" s="186" t="s">
        <v>189</v>
      </c>
      <c r="C880" s="167"/>
      <c r="D880" s="167"/>
    </row>
    <row r="881" ht="15.75" customHeight="1">
      <c r="A881" s="168" t="s">
        <v>1581</v>
      </c>
      <c r="B881" s="186" t="s">
        <v>189</v>
      </c>
      <c r="C881" s="173"/>
      <c r="D881" s="173"/>
    </row>
    <row r="882" ht="15.75" customHeight="1">
      <c r="A882" s="174" t="s">
        <v>1719</v>
      </c>
      <c r="B882" s="186" t="s">
        <v>189</v>
      </c>
      <c r="C882" s="170"/>
      <c r="D882" s="170"/>
    </row>
    <row r="883" ht="15.75" customHeight="1">
      <c r="A883" s="174" t="s">
        <v>1726</v>
      </c>
      <c r="B883" s="186" t="s">
        <v>189</v>
      </c>
      <c r="C883" s="170"/>
      <c r="D883" s="170"/>
    </row>
    <row r="884" ht="15.75" customHeight="1">
      <c r="A884" s="174" t="s">
        <v>1744</v>
      </c>
      <c r="B884" s="186" t="s">
        <v>189</v>
      </c>
      <c r="C884" s="170"/>
      <c r="D884" s="170"/>
    </row>
    <row r="885" ht="15.75" customHeight="1">
      <c r="A885" s="168" t="s">
        <v>2137</v>
      </c>
      <c r="B885" s="186" t="s">
        <v>189</v>
      </c>
      <c r="C885" s="173"/>
      <c r="D885" s="173"/>
    </row>
    <row r="886" ht="15.75" customHeight="1">
      <c r="A886" s="174" t="s">
        <v>165</v>
      </c>
      <c r="B886" s="186" t="s">
        <v>166</v>
      </c>
      <c r="C886" s="185" t="s">
        <v>2012</v>
      </c>
      <c r="D886" s="180"/>
    </row>
    <row r="887" ht="15.75" customHeight="1">
      <c r="A887" s="174" t="s">
        <v>358</v>
      </c>
      <c r="B887" s="186" t="s">
        <v>166</v>
      </c>
      <c r="C887" s="180"/>
      <c r="D887" s="180"/>
    </row>
    <row r="888" ht="15.75" customHeight="1">
      <c r="A888" s="174" t="s">
        <v>851</v>
      </c>
      <c r="B888" s="186" t="s">
        <v>166</v>
      </c>
      <c r="C888" s="180"/>
      <c r="D888" s="180"/>
    </row>
    <row r="889" ht="15.75" customHeight="1">
      <c r="A889" s="168" t="s">
        <v>907</v>
      </c>
      <c r="B889" s="186" t="s">
        <v>166</v>
      </c>
      <c r="C889" s="173"/>
      <c r="D889" s="173"/>
    </row>
    <row r="890" ht="15.75" customHeight="1">
      <c r="A890" s="168" t="s">
        <v>1071</v>
      </c>
      <c r="B890" s="186" t="s">
        <v>166</v>
      </c>
      <c r="C890" s="173"/>
      <c r="D890" s="173"/>
    </row>
    <row r="891" ht="15.75" customHeight="1">
      <c r="A891" s="168" t="s">
        <v>1154</v>
      </c>
      <c r="B891" s="186" t="s">
        <v>166</v>
      </c>
      <c r="C891" s="173"/>
      <c r="D891" s="173"/>
    </row>
    <row r="892" ht="15.75" customHeight="1">
      <c r="A892" s="174" t="s">
        <v>1167</v>
      </c>
      <c r="B892" s="186" t="s">
        <v>166</v>
      </c>
      <c r="C892" s="170"/>
      <c r="D892" s="170"/>
    </row>
    <row r="893" ht="15.75" customHeight="1">
      <c r="A893" s="168" t="s">
        <v>1197</v>
      </c>
      <c r="B893" s="186" t="s">
        <v>166</v>
      </c>
      <c r="C893" s="173"/>
      <c r="D893" s="173"/>
    </row>
    <row r="894" ht="15.75" customHeight="1">
      <c r="A894" s="168" t="s">
        <v>1322</v>
      </c>
      <c r="B894" s="186" t="s">
        <v>166</v>
      </c>
      <c r="C894" s="167"/>
      <c r="D894" s="167"/>
    </row>
    <row r="895" ht="15.75" customHeight="1">
      <c r="A895" s="174" t="s">
        <v>899</v>
      </c>
      <c r="B895" s="169" t="s">
        <v>900</v>
      </c>
      <c r="C895" s="191" t="s">
        <v>2012</v>
      </c>
      <c r="D895" s="170"/>
    </row>
    <row r="896" ht="15.75" customHeight="1">
      <c r="A896" s="168" t="s">
        <v>926</v>
      </c>
      <c r="B896" s="176" t="s">
        <v>900</v>
      </c>
      <c r="C896" s="167"/>
      <c r="D896" s="167"/>
    </row>
    <row r="897" ht="15.75" customHeight="1">
      <c r="A897" s="168" t="s">
        <v>1029</v>
      </c>
      <c r="B897" s="175" t="s">
        <v>900</v>
      </c>
      <c r="C897" s="173"/>
      <c r="D897" s="173"/>
    </row>
    <row r="898" ht="15.75" customHeight="1">
      <c r="A898" s="174" t="s">
        <v>2138</v>
      </c>
      <c r="B898" s="172" t="s">
        <v>900</v>
      </c>
      <c r="C898" s="180"/>
      <c r="D898" s="180"/>
    </row>
    <row r="899" ht="15.75" customHeight="1">
      <c r="A899" s="168" t="s">
        <v>1553</v>
      </c>
      <c r="B899" s="176" t="s">
        <v>900</v>
      </c>
      <c r="C899" s="167"/>
      <c r="D899" s="167"/>
    </row>
    <row r="900" ht="15.75" customHeight="1">
      <c r="A900" s="168" t="s">
        <v>1712</v>
      </c>
      <c r="B900" s="176" t="s">
        <v>900</v>
      </c>
      <c r="C900" s="167"/>
      <c r="D900" s="167"/>
    </row>
    <row r="901" ht="15.75" customHeight="1">
      <c r="A901" s="168" t="s">
        <v>2139</v>
      </c>
      <c r="B901" s="175" t="s">
        <v>900</v>
      </c>
      <c r="C901" s="173"/>
      <c r="D901" s="173"/>
    </row>
    <row r="902" ht="15.75" customHeight="1">
      <c r="A902" s="174" t="s">
        <v>1788</v>
      </c>
      <c r="B902" s="169" t="s">
        <v>900</v>
      </c>
      <c r="C902" s="170"/>
      <c r="D902" s="170"/>
    </row>
    <row r="903" ht="15.75" customHeight="1">
      <c r="A903" s="168" t="s">
        <v>1815</v>
      </c>
      <c r="B903" s="175" t="s">
        <v>900</v>
      </c>
      <c r="C903" s="173"/>
      <c r="D903" s="173"/>
    </row>
    <row r="904" ht="15.75" customHeight="1">
      <c r="A904" s="168" t="s">
        <v>2140</v>
      </c>
      <c r="B904" s="168" t="s">
        <v>535</v>
      </c>
      <c r="C904" s="194" t="s">
        <v>2012</v>
      </c>
      <c r="D904" s="173"/>
    </row>
    <row r="905" ht="15.75" customHeight="1">
      <c r="A905" s="168" t="s">
        <v>539</v>
      </c>
      <c r="B905" s="168" t="s">
        <v>535</v>
      </c>
      <c r="C905" s="194"/>
      <c r="D905" s="173"/>
    </row>
    <row r="906" ht="15.75" customHeight="1">
      <c r="A906" s="168" t="s">
        <v>537</v>
      </c>
      <c r="B906" s="168" t="s">
        <v>535</v>
      </c>
      <c r="C906" s="194"/>
      <c r="D906" s="173"/>
    </row>
    <row r="907" ht="15.75" customHeight="1">
      <c r="A907" s="174" t="s">
        <v>543</v>
      </c>
      <c r="B907" s="174" t="s">
        <v>535</v>
      </c>
      <c r="C907" s="180"/>
      <c r="D907" s="180"/>
    </row>
    <row r="908" ht="15.75" customHeight="1">
      <c r="A908" s="168" t="s">
        <v>2141</v>
      </c>
      <c r="B908" s="168" t="s">
        <v>535</v>
      </c>
      <c r="C908" s="173"/>
      <c r="D908" s="173"/>
    </row>
    <row r="909" ht="15.75" customHeight="1">
      <c r="A909" s="174" t="s">
        <v>2142</v>
      </c>
      <c r="B909" s="174" t="s">
        <v>535</v>
      </c>
      <c r="C909" s="180"/>
      <c r="D909" s="180"/>
    </row>
    <row r="910" ht="15.75" customHeight="1">
      <c r="A910" s="168" t="s">
        <v>605</v>
      </c>
      <c r="B910" s="168" t="s">
        <v>535</v>
      </c>
      <c r="C910" s="173"/>
      <c r="D910" s="173"/>
    </row>
    <row r="911" ht="15.75" customHeight="1">
      <c r="A911" s="174" t="s">
        <v>606</v>
      </c>
      <c r="B911" s="174" t="s">
        <v>535</v>
      </c>
      <c r="C911" s="180"/>
      <c r="D911" s="180"/>
    </row>
    <row r="912" ht="15.75" customHeight="1">
      <c r="A912" s="174" t="s">
        <v>2143</v>
      </c>
      <c r="B912" s="168" t="s">
        <v>535</v>
      </c>
      <c r="C912" s="180"/>
      <c r="D912" s="180"/>
    </row>
    <row r="913" ht="15.75" customHeight="1">
      <c r="A913" s="174" t="s">
        <v>1769</v>
      </c>
      <c r="B913" s="174" t="s">
        <v>535</v>
      </c>
      <c r="C913" s="180"/>
      <c r="D913" s="180"/>
    </row>
    <row r="914" ht="15.75" customHeight="1">
      <c r="A914" s="168" t="s">
        <v>2144</v>
      </c>
      <c r="B914" s="168" t="s">
        <v>535</v>
      </c>
      <c r="C914" s="173"/>
      <c r="D914" s="173"/>
    </row>
    <row r="915" ht="15.75" customHeight="1">
      <c r="A915" s="174" t="s">
        <v>1829</v>
      </c>
      <c r="B915" s="174" t="s">
        <v>535</v>
      </c>
      <c r="C915" s="173"/>
      <c r="D915" s="173"/>
    </row>
    <row r="916" ht="15.75" customHeight="1">
      <c r="A916" s="174" t="s">
        <v>1838</v>
      </c>
      <c r="B916" s="168" t="s">
        <v>535</v>
      </c>
      <c r="C916" s="180"/>
      <c r="D916" s="180"/>
    </row>
    <row r="917" ht="15.75" customHeight="1">
      <c r="A917" s="174" t="s">
        <v>1928</v>
      </c>
      <c r="B917" s="168" t="s">
        <v>535</v>
      </c>
      <c r="C917" s="180"/>
      <c r="D917" s="180"/>
    </row>
    <row r="918" ht="15.75" customHeight="1">
      <c r="A918" s="168" t="s">
        <v>780</v>
      </c>
      <c r="B918" s="174" t="s">
        <v>781</v>
      </c>
      <c r="C918" s="192" t="s">
        <v>2145</v>
      </c>
      <c r="D918" s="167"/>
    </row>
    <row r="919" ht="15.75" customHeight="1">
      <c r="A919" s="174" t="s">
        <v>782</v>
      </c>
      <c r="B919" s="174" t="s">
        <v>781</v>
      </c>
      <c r="C919" s="180"/>
      <c r="D919" s="180"/>
    </row>
    <row r="920" ht="15.75" customHeight="1">
      <c r="A920" s="174" t="s">
        <v>1414</v>
      </c>
      <c r="B920" s="174" t="s">
        <v>781</v>
      </c>
      <c r="C920" s="180"/>
      <c r="D920" s="180"/>
    </row>
    <row r="921" ht="15.75" customHeight="1">
      <c r="A921" s="166" t="s">
        <v>2146</v>
      </c>
      <c r="B921" s="174" t="s">
        <v>781</v>
      </c>
      <c r="C921" s="173"/>
      <c r="D921" s="173"/>
    </row>
    <row r="922" ht="15.75" customHeight="1">
      <c r="A922" s="171" t="s">
        <v>2147</v>
      </c>
      <c r="B922" s="174" t="s">
        <v>781</v>
      </c>
      <c r="C922" s="180"/>
      <c r="D922" s="180"/>
    </row>
    <row r="923" ht="15.75" customHeight="1">
      <c r="A923" s="166" t="s">
        <v>2148</v>
      </c>
      <c r="B923" s="174" t="s">
        <v>781</v>
      </c>
      <c r="C923" s="173"/>
      <c r="D923" s="173"/>
    </row>
    <row r="924" ht="15.75" customHeight="1">
      <c r="A924" s="171" t="s">
        <v>2149</v>
      </c>
      <c r="B924" s="174" t="s">
        <v>781</v>
      </c>
      <c r="C924" s="180"/>
      <c r="D924" s="180"/>
    </row>
    <row r="925" ht="15.75" customHeight="1">
      <c r="A925" s="166" t="s">
        <v>2150</v>
      </c>
      <c r="B925" s="174" t="s">
        <v>781</v>
      </c>
      <c r="C925" s="173"/>
      <c r="D925" s="173"/>
    </row>
    <row r="926" ht="15.75" customHeight="1">
      <c r="A926" s="171" t="s">
        <v>2151</v>
      </c>
      <c r="B926" s="174" t="s">
        <v>781</v>
      </c>
      <c r="C926" s="180"/>
      <c r="D926" s="180"/>
    </row>
    <row r="927" ht="15.75" customHeight="1">
      <c r="A927" s="168" t="s">
        <v>2152</v>
      </c>
      <c r="B927" s="174" t="s">
        <v>781</v>
      </c>
      <c r="C927" s="173"/>
      <c r="D927" s="173"/>
    </row>
    <row r="928" ht="15.75" customHeight="1">
      <c r="A928" s="168" t="s">
        <v>1879</v>
      </c>
      <c r="B928" s="175" t="s">
        <v>781</v>
      </c>
      <c r="C928" s="173"/>
      <c r="D928" s="173"/>
    </row>
    <row r="929" ht="15.75" customHeight="1">
      <c r="A929" s="168" t="s">
        <v>1873</v>
      </c>
      <c r="B929" s="168" t="s">
        <v>781</v>
      </c>
      <c r="C929" s="173"/>
      <c r="D929" s="173"/>
    </row>
    <row r="930" ht="15.75" customHeight="1">
      <c r="A930" s="202" t="s">
        <v>1874</v>
      </c>
      <c r="B930" s="203" t="s">
        <v>781</v>
      </c>
      <c r="C930" s="195"/>
      <c r="D930" s="195"/>
    </row>
    <row r="931" ht="15.75" customHeight="1">
      <c r="A931" s="174" t="s">
        <v>257</v>
      </c>
      <c r="B931" s="189" t="s">
        <v>258</v>
      </c>
      <c r="C931" s="191" t="s">
        <v>2063</v>
      </c>
      <c r="D931" s="170"/>
    </row>
    <row r="932" ht="15.75" customHeight="1">
      <c r="A932" s="168" t="s">
        <v>2153</v>
      </c>
      <c r="B932" s="186" t="s">
        <v>258</v>
      </c>
      <c r="C932" s="173"/>
      <c r="D932" s="173"/>
    </row>
    <row r="933" ht="15.75" customHeight="1">
      <c r="A933" s="174" t="s">
        <v>1027</v>
      </c>
      <c r="B933" s="186" t="s">
        <v>258</v>
      </c>
      <c r="C933" s="180"/>
      <c r="D933" s="180"/>
    </row>
    <row r="934" ht="15.75" customHeight="1">
      <c r="A934" s="174" t="s">
        <v>1031</v>
      </c>
      <c r="B934" s="184" t="s">
        <v>258</v>
      </c>
      <c r="C934" s="180"/>
      <c r="D934" s="180"/>
    </row>
    <row r="935" ht="15.75" customHeight="1">
      <c r="A935" s="168" t="s">
        <v>1390</v>
      </c>
      <c r="B935" s="189" t="s">
        <v>258</v>
      </c>
      <c r="C935" s="167"/>
      <c r="D935" s="167"/>
    </row>
    <row r="936" ht="15.75" customHeight="1">
      <c r="A936" s="174" t="s">
        <v>1886</v>
      </c>
      <c r="B936" s="186" t="s">
        <v>258</v>
      </c>
      <c r="C936" s="180"/>
      <c r="D936" s="180"/>
    </row>
    <row r="937" ht="15.75" customHeight="1">
      <c r="A937" s="174" t="s">
        <v>1818</v>
      </c>
      <c r="B937" s="184" t="s">
        <v>258</v>
      </c>
      <c r="C937" s="180"/>
      <c r="D937" s="180"/>
    </row>
    <row r="938" ht="15.75" customHeight="1">
      <c r="A938" s="174" t="s">
        <v>402</v>
      </c>
      <c r="B938" s="186" t="s">
        <v>403</v>
      </c>
      <c r="C938" s="180" t="s">
        <v>2012</v>
      </c>
      <c r="D938" s="180"/>
    </row>
    <row r="939" ht="15.75" customHeight="1">
      <c r="A939" s="168" t="s">
        <v>707</v>
      </c>
      <c r="B939" s="186" t="s">
        <v>403</v>
      </c>
      <c r="C939" s="173"/>
      <c r="D939" s="173"/>
    </row>
    <row r="940" ht="15.75" customHeight="1">
      <c r="A940" s="168" t="s">
        <v>770</v>
      </c>
      <c r="B940" s="186" t="s">
        <v>403</v>
      </c>
      <c r="C940" s="173"/>
      <c r="D940" s="173"/>
    </row>
    <row r="941" ht="15.75" customHeight="1">
      <c r="A941" s="168" t="s">
        <v>796</v>
      </c>
      <c r="B941" s="186" t="s">
        <v>403</v>
      </c>
      <c r="C941" s="173"/>
      <c r="D941" s="173"/>
    </row>
    <row r="942" ht="15.75" customHeight="1">
      <c r="A942" s="168" t="s">
        <v>920</v>
      </c>
      <c r="B942" s="186" t="s">
        <v>403</v>
      </c>
      <c r="C942" s="180"/>
      <c r="D942" s="180"/>
    </row>
    <row r="943" ht="15.75" customHeight="1">
      <c r="A943" s="174" t="s">
        <v>990</v>
      </c>
      <c r="B943" s="186" t="s">
        <v>403</v>
      </c>
      <c r="C943" s="180"/>
      <c r="D943" s="180"/>
    </row>
    <row r="944" ht="15.75" customHeight="1">
      <c r="A944" s="168" t="s">
        <v>2154</v>
      </c>
      <c r="B944" s="186" t="s">
        <v>403</v>
      </c>
      <c r="C944" s="173"/>
      <c r="D944" s="173"/>
    </row>
    <row r="945" ht="15.75" customHeight="1">
      <c r="A945" s="168" t="s">
        <v>1203</v>
      </c>
      <c r="B945" s="186" t="s">
        <v>403</v>
      </c>
      <c r="C945" s="173"/>
      <c r="D945" s="173"/>
    </row>
    <row r="946" ht="15.75" customHeight="1">
      <c r="A946" s="168" t="s">
        <v>1237</v>
      </c>
      <c r="B946" s="184" t="s">
        <v>403</v>
      </c>
      <c r="C946" s="173"/>
      <c r="D946" s="173"/>
    </row>
    <row r="947" ht="15.75" customHeight="1">
      <c r="A947" s="168" t="s">
        <v>1773</v>
      </c>
      <c r="B947" s="190" t="s">
        <v>403</v>
      </c>
      <c r="C947" s="167"/>
      <c r="D947" s="167"/>
    </row>
    <row r="948" ht="15.75" customHeight="1">
      <c r="A948" s="168" t="s">
        <v>1777</v>
      </c>
      <c r="B948" s="190" t="s">
        <v>403</v>
      </c>
      <c r="C948" s="167"/>
      <c r="D948" s="167"/>
    </row>
    <row r="949" ht="15.75" customHeight="1">
      <c r="A949" s="168" t="s">
        <v>191</v>
      </c>
      <c r="B949" s="189" t="s">
        <v>192</v>
      </c>
      <c r="C949" s="192" t="s">
        <v>2012</v>
      </c>
      <c r="D949" s="167"/>
    </row>
    <row r="950" ht="15.75" customHeight="1">
      <c r="A950" s="168" t="s">
        <v>427</v>
      </c>
      <c r="B950" s="186" t="s">
        <v>192</v>
      </c>
      <c r="C950" s="173"/>
      <c r="D950" s="173"/>
    </row>
    <row r="951" ht="15.75" customHeight="1">
      <c r="A951" s="174" t="s">
        <v>2155</v>
      </c>
      <c r="B951" s="189" t="s">
        <v>192</v>
      </c>
      <c r="C951" s="170"/>
      <c r="D951" s="170"/>
    </row>
    <row r="952" ht="15.75" customHeight="1">
      <c r="A952" s="174" t="s">
        <v>795</v>
      </c>
      <c r="B952" s="186" t="s">
        <v>192</v>
      </c>
      <c r="C952" s="180"/>
      <c r="D952" s="180"/>
    </row>
    <row r="953" ht="15.75" customHeight="1">
      <c r="A953" s="174" t="s">
        <v>1129</v>
      </c>
      <c r="B953" s="186" t="s">
        <v>192</v>
      </c>
      <c r="C953" s="180"/>
      <c r="D953" s="180"/>
    </row>
    <row r="954" ht="15.75" customHeight="1">
      <c r="A954" s="168" t="s">
        <v>1313</v>
      </c>
      <c r="B954" s="186" t="s">
        <v>192</v>
      </c>
      <c r="C954" s="173"/>
      <c r="D954" s="173"/>
    </row>
    <row r="955" ht="15.75" customHeight="1">
      <c r="A955" s="174" t="s">
        <v>1374</v>
      </c>
      <c r="B955" s="186" t="s">
        <v>192</v>
      </c>
      <c r="C955" s="180"/>
      <c r="D955" s="180"/>
    </row>
    <row r="956" ht="15.75" customHeight="1">
      <c r="A956" s="168" t="s">
        <v>2156</v>
      </c>
      <c r="B956" s="189" t="s">
        <v>192</v>
      </c>
      <c r="C956" s="173"/>
      <c r="D956" s="173"/>
    </row>
    <row r="957" ht="15.75" customHeight="1">
      <c r="A957" s="168" t="s">
        <v>1602</v>
      </c>
      <c r="B957" s="186" t="s">
        <v>192</v>
      </c>
      <c r="C957" s="167"/>
      <c r="D957" s="167"/>
    </row>
    <row r="958" ht="15.75" customHeight="1">
      <c r="A958" s="168" t="s">
        <v>1882</v>
      </c>
      <c r="B958" s="189" t="s">
        <v>192</v>
      </c>
      <c r="C958" s="173"/>
      <c r="D958" s="173"/>
    </row>
    <row r="959" ht="15.75" customHeight="1">
      <c r="A959" s="174" t="s">
        <v>1883</v>
      </c>
      <c r="B959" s="186" t="s">
        <v>192</v>
      </c>
      <c r="C959" s="170"/>
      <c r="D959" s="170"/>
    </row>
    <row r="960" ht="15.75" customHeight="1">
      <c r="A960" s="168" t="s">
        <v>1938</v>
      </c>
      <c r="B960" s="189" t="s">
        <v>192</v>
      </c>
      <c r="C960" s="167"/>
      <c r="D960" s="167"/>
    </row>
    <row r="961" ht="15.75" customHeight="1">
      <c r="A961" s="168" t="s">
        <v>118</v>
      </c>
      <c r="B961" s="186" t="s">
        <v>119</v>
      </c>
      <c r="C961" s="192" t="s">
        <v>2012</v>
      </c>
      <c r="D961" s="167"/>
    </row>
    <row r="962" ht="15.75" customHeight="1">
      <c r="A962" s="168" t="s">
        <v>419</v>
      </c>
      <c r="B962" s="186" t="s">
        <v>119</v>
      </c>
      <c r="C962" s="173"/>
      <c r="D962" s="173"/>
    </row>
    <row r="963" ht="15.75" customHeight="1">
      <c r="A963" s="168" t="s">
        <v>484</v>
      </c>
      <c r="B963" s="186" t="s">
        <v>119</v>
      </c>
      <c r="C963" s="204"/>
      <c r="D963" s="204"/>
    </row>
    <row r="964" ht="15.75" customHeight="1">
      <c r="A964" s="174" t="s">
        <v>550</v>
      </c>
      <c r="B964" s="186" t="s">
        <v>119</v>
      </c>
      <c r="C964" s="180"/>
      <c r="D964" s="180"/>
    </row>
    <row r="965" ht="15.75" customHeight="1">
      <c r="A965" s="168" t="s">
        <v>567</v>
      </c>
      <c r="B965" s="186" t="s">
        <v>119</v>
      </c>
      <c r="C965" s="173"/>
      <c r="D965" s="173"/>
    </row>
    <row r="966" ht="15.75" customHeight="1">
      <c r="A966" s="168" t="s">
        <v>613</v>
      </c>
      <c r="B966" s="186" t="s">
        <v>119</v>
      </c>
      <c r="C966" s="173"/>
      <c r="D966" s="173"/>
    </row>
    <row r="967" ht="15.75" customHeight="1">
      <c r="A967" s="168" t="s">
        <v>756</v>
      </c>
      <c r="B967" s="186" t="s">
        <v>119</v>
      </c>
      <c r="C967" s="167"/>
      <c r="D967" s="167"/>
    </row>
    <row r="968" ht="15.75" customHeight="1">
      <c r="A968" s="174" t="s">
        <v>883</v>
      </c>
      <c r="B968" s="186" t="s">
        <v>119</v>
      </c>
      <c r="C968" s="170"/>
      <c r="D968" s="170"/>
    </row>
    <row r="969" ht="15.75" customHeight="1">
      <c r="A969" s="168" t="s">
        <v>2157</v>
      </c>
      <c r="B969" s="186" t="s">
        <v>119</v>
      </c>
      <c r="C969" s="173"/>
      <c r="D969" s="173"/>
    </row>
    <row r="970" ht="15.75" customHeight="1">
      <c r="A970" s="168" t="s">
        <v>2158</v>
      </c>
      <c r="B970" s="186" t="s">
        <v>119</v>
      </c>
      <c r="C970" s="173"/>
      <c r="D970" s="173"/>
    </row>
    <row r="971" ht="15.75" customHeight="1">
      <c r="A971" s="174" t="s">
        <v>1305</v>
      </c>
      <c r="B971" s="186" t="s">
        <v>119</v>
      </c>
      <c r="C971" s="180"/>
      <c r="D971" s="180"/>
    </row>
    <row r="972" ht="15.75" customHeight="1">
      <c r="A972" s="174" t="s">
        <v>2159</v>
      </c>
      <c r="B972" s="186" t="s">
        <v>157</v>
      </c>
      <c r="C972" s="185"/>
      <c r="D972" s="180"/>
    </row>
    <row r="973" ht="15.75" customHeight="1">
      <c r="A973" s="174" t="s">
        <v>560</v>
      </c>
      <c r="B973" s="186" t="s">
        <v>157</v>
      </c>
      <c r="C973" s="180"/>
      <c r="D973" s="180"/>
    </row>
    <row r="974" ht="15.75" customHeight="1">
      <c r="A974" s="174" t="s">
        <v>875</v>
      </c>
      <c r="B974" s="186" t="s">
        <v>157</v>
      </c>
      <c r="C974" s="180"/>
      <c r="D974" s="180"/>
    </row>
    <row r="975" ht="15.75" customHeight="1">
      <c r="A975" s="174" t="s">
        <v>1026</v>
      </c>
      <c r="B975" s="186" t="s">
        <v>157</v>
      </c>
      <c r="C975" s="173"/>
      <c r="D975" s="173"/>
    </row>
    <row r="976" ht="15.75" customHeight="1">
      <c r="A976" s="168" t="s">
        <v>1115</v>
      </c>
      <c r="B976" s="186" t="s">
        <v>157</v>
      </c>
      <c r="C976" s="205"/>
      <c r="D976" s="206"/>
    </row>
    <row r="977" ht="15.75" customHeight="1">
      <c r="A977" s="166" t="s">
        <v>1164</v>
      </c>
      <c r="B977" s="186" t="s">
        <v>157</v>
      </c>
      <c r="C977" s="173"/>
      <c r="D977" s="173"/>
    </row>
    <row r="978" ht="15.75" customHeight="1">
      <c r="A978" s="166" t="s">
        <v>1268</v>
      </c>
      <c r="B978" s="184" t="s">
        <v>157</v>
      </c>
      <c r="C978" s="173"/>
      <c r="D978" s="173"/>
    </row>
    <row r="979" ht="15.75" customHeight="1">
      <c r="A979" s="168" t="s">
        <v>1572</v>
      </c>
      <c r="B979" s="186" t="s">
        <v>157</v>
      </c>
      <c r="C979" s="173"/>
      <c r="D979" s="173"/>
    </row>
    <row r="980" ht="15.75" customHeight="1">
      <c r="A980" s="174" t="s">
        <v>1731</v>
      </c>
      <c r="B980" s="186" t="s">
        <v>157</v>
      </c>
      <c r="C980" s="180"/>
      <c r="D980" s="180"/>
    </row>
    <row r="981" ht="15.75" customHeight="1">
      <c r="A981" s="174" t="s">
        <v>1845</v>
      </c>
      <c r="B981" s="184" t="s">
        <v>157</v>
      </c>
      <c r="C981" s="180"/>
      <c r="D981" s="180"/>
    </row>
    <row r="982" ht="15.75" customHeight="1">
      <c r="A982" s="168" t="s">
        <v>1881</v>
      </c>
      <c r="B982" s="186" t="s">
        <v>157</v>
      </c>
      <c r="C982" s="173"/>
      <c r="D982" s="173"/>
    </row>
    <row r="983" ht="15.75" customHeight="1">
      <c r="A983" s="188" t="s">
        <v>64</v>
      </c>
      <c r="B983" s="174" t="s">
        <v>65</v>
      </c>
      <c r="C983" s="185" t="s">
        <v>2160</v>
      </c>
      <c r="D983" s="180"/>
    </row>
    <row r="984" ht="15.75" customHeight="1">
      <c r="A984" s="188" t="s">
        <v>2161</v>
      </c>
      <c r="B984" s="174" t="s">
        <v>65</v>
      </c>
      <c r="C984" s="180"/>
      <c r="D984" s="180"/>
    </row>
    <row r="985" ht="15.75" customHeight="1">
      <c r="A985" s="188" t="s">
        <v>254</v>
      </c>
      <c r="B985" s="174" t="s">
        <v>65</v>
      </c>
      <c r="C985" s="180"/>
      <c r="D985" s="180"/>
    </row>
    <row r="986" ht="15.75" customHeight="1">
      <c r="A986" s="188" t="s">
        <v>284</v>
      </c>
      <c r="B986" s="174" t="s">
        <v>65</v>
      </c>
      <c r="C986" s="180"/>
      <c r="D986" s="180"/>
    </row>
    <row r="987" ht="15.75" customHeight="1">
     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</v>
      </c>
      <c r="B988" s="174" t="s">
        <v>65</v>
      </c>
      <c r="C988" s="180"/>
      <c r="D988" s="180"/>
    </row>
    <row r="989" ht="15.75" customHeight="1">
      <c r="A989" s="188" t="s">
        <v>413</v>
      </c>
      <c r="B989" s="174" t="s">
        <v>65</v>
      </c>
      <c r="C989" s="180"/>
      <c r="D989" s="180"/>
    </row>
    <row r="990" ht="15.75" customHeight="1">
      <c r="A990" s="188" t="s">
        <v>424</v>
      </c>
      <c r="B990" s="174" t="s">
        <v>65</v>
      </c>
      <c r="C990" s="180"/>
      <c r="D990" s="180"/>
    </row>
    <row r="991" ht="15.75" customHeight="1">
      <c r="A991" s="188" t="s">
        <v>660</v>
      </c>
      <c r="B991" s="174" t="s">
        <v>65</v>
      </c>
      <c r="C991" s="180"/>
      <c r="D991" s="180"/>
    </row>
    <row r="992" ht="15.75" customHeight="1">
      <c r="A992" s="188" t="s">
        <v>822</v>
      </c>
      <c r="B992" s="174" t="s">
        <v>65</v>
      </c>
      <c r="C992" s="180"/>
      <c r="D992" s="180"/>
    </row>
    <row r="993" ht="15.75" customHeight="1">
      <c r="A993" s="188" t="s">
        <v>901</v>
      </c>
      <c r="B993" s="174" t="s">
        <v>65</v>
      </c>
      <c r="C993" s="180"/>
      <c r="D993" s="180"/>
    </row>
    <row r="994" ht="15.75" customHeight="1">
      <c r="A994" s="188" t="s">
        <v>1076</v>
      </c>
      <c r="B994" s="174" t="s">
        <v>65</v>
      </c>
      <c r="C994" s="180"/>
      <c r="D994" s="180"/>
    </row>
    <row r="995" ht="15.75" customHeight="1">
      <c r="A995" s="188" t="s">
        <v>1325</v>
      </c>
      <c r="B995" s="174" t="s">
        <v>65</v>
      </c>
      <c r="C995" s="180"/>
      <c r="D995" s="180"/>
    </row>
    <row r="996" ht="15.75" customHeight="1">
      <c r="A996" s="188" t="s">
        <v>2162</v>
      </c>
      <c r="B996" s="174" t="s">
        <v>65</v>
      </c>
      <c r="C996" s="180"/>
      <c r="D996" s="180"/>
    </row>
    <row r="997" ht="15.75" customHeight="1">
      <c r="A997" s="188" t="s">
        <v>1617</v>
      </c>
      <c r="B997" s="174" t="s">
        <v>65</v>
      </c>
      <c r="C997" s="180"/>
      <c r="D997" s="180"/>
    </row>
    <row r="998" ht="15.75" customHeight="1">
      <c r="A998" s="188" t="s">
        <v>1672</v>
      </c>
      <c r="B998" s="174" t="s">
        <v>65</v>
      </c>
      <c r="C998" s="180"/>
      <c r="D998" s="180"/>
    </row>
    <row r="999" ht="15.75" customHeight="1">
      <c r="A999" s="188" t="s">
        <v>1817</v>
      </c>
      <c r="B999" s="174" t="s">
        <v>65</v>
      </c>
      <c r="C999" s="180"/>
      <c r="D999" s="180"/>
    </row>
    <row r="1000" ht="15.75" customHeight="1">
      <c r="A1000" s="188" t="s">
        <v>1840</v>
      </c>
      <c r="B1000" s="174" t="s">
        <v>65</v>
      </c>
      <c r="C1000" s="180"/>
      <c r="D1000" s="180"/>
    </row>
    <row r="1001" ht="15.75" customHeight="1">
      <c r="A1001" s="188" t="s">
        <v>1854</v>
      </c>
      <c r="B1001" s="174" t="s">
        <v>65</v>
      </c>
      <c r="C1001" s="180"/>
      <c r="D1001" s="180"/>
    </row>
    <row r="1002" ht="15.75" customHeight="1">
      <c r="A1002" s="188" t="s">
        <v>1857</v>
      </c>
      <c r="B1002" s="174" t="s">
        <v>65</v>
      </c>
      <c r="C1002" s="180"/>
      <c r="D1002" s="180"/>
    </row>
    <row r="1003" ht="15.75" customHeight="1">
      <c r="A1003" s="188" t="s">
        <v>1920</v>
      </c>
      <c r="B1003" s="174" t="s">
        <v>65</v>
      </c>
      <c r="C1003" s="180"/>
      <c r="D1003" s="180"/>
    </row>
    <row r="1004" ht="15.75" customHeight="1">
      <c r="A1004" s="174" t="s">
        <v>470</v>
      </c>
      <c r="B1004" s="172" t="s">
        <v>471</v>
      </c>
      <c r="C1004" s="185" t="s">
        <v>2163</v>
      </c>
      <c r="D1004" s="180"/>
    </row>
    <row r="1005" ht="15.75" customHeight="1">
      <c r="A1005" s="168" t="s">
        <v>2164</v>
      </c>
      <c r="B1005" s="175" t="s">
        <v>471</v>
      </c>
      <c r="C1005" s="173"/>
      <c r="D1005" s="173"/>
    </row>
    <row r="1006" ht="15.75" customHeight="1">
      <c r="A1006" s="174" t="s">
        <v>473</v>
      </c>
      <c r="B1006" s="172" t="s">
        <v>471</v>
      </c>
      <c r="C1006" s="180"/>
      <c r="D1006" s="180"/>
    </row>
    <row r="1007" ht="15.75" customHeight="1">
      <c r="A1007" s="174" t="s">
        <v>474</v>
      </c>
      <c r="B1007" s="172" t="s">
        <v>471</v>
      </c>
      <c r="C1007" s="180"/>
      <c r="D1007" s="180"/>
    </row>
    <row r="1008" ht="15.75" customHeight="1">
      <c r="A1008" s="168" t="s">
        <v>2165</v>
      </c>
      <c r="B1008" s="175" t="s">
        <v>471</v>
      </c>
      <c r="C1008" s="173"/>
      <c r="D1008" s="173"/>
    </row>
    <row r="1009" ht="15.75" customHeight="1">
      <c r="A1009" s="168" t="s">
        <v>476</v>
      </c>
      <c r="B1009" s="175" t="s">
        <v>471</v>
      </c>
      <c r="C1009" s="173"/>
      <c r="D1009" s="173"/>
    </row>
    <row r="1010" ht="15.75" customHeight="1">
      <c r="A1010" s="174" t="s">
        <v>477</v>
      </c>
      <c r="B1010" s="172" t="s">
        <v>471</v>
      </c>
      <c r="C1010" s="180"/>
      <c r="D1010" s="180"/>
    </row>
    <row r="1011" ht="15.75" customHeight="1">
      <c r="A1011" s="168" t="s">
        <v>483</v>
      </c>
      <c r="B1011" s="175" t="s">
        <v>471</v>
      </c>
      <c r="C1011" s="173"/>
      <c r="D1011" s="173"/>
    </row>
    <row r="1012" ht="15.75" customHeight="1">
      <c r="A1012" s="174" t="s">
        <v>887</v>
      </c>
      <c r="B1012" s="172" t="s">
        <v>471</v>
      </c>
      <c r="C1012" s="180"/>
      <c r="D1012" s="180"/>
    </row>
    <row r="1013" ht="15.75" customHeight="1">
      <c r="A1013" s="174" t="s">
        <v>1018</v>
      </c>
      <c r="B1013" s="169" t="s">
        <v>471</v>
      </c>
      <c r="C1013" s="170"/>
      <c r="D1013" s="170"/>
    </row>
    <row r="1014" ht="15.75" customHeight="1">
      <c r="A1014" s="174" t="s">
        <v>1490</v>
      </c>
      <c r="B1014" s="172" t="s">
        <v>471</v>
      </c>
      <c r="C1014" s="170"/>
      <c r="D1014" s="170"/>
    </row>
    <row r="1015" ht="15.75" customHeight="1">
      <c r="A1015" s="166" t="s">
        <v>2166</v>
      </c>
      <c r="B1015" s="169" t="s">
        <v>471</v>
      </c>
      <c r="C1015" s="193"/>
      <c r="D1015" s="193"/>
    </row>
    <row r="1016" ht="15.75" customHeight="1">
      <c r="A1016" s="174" t="s">
        <v>561</v>
      </c>
      <c r="B1016" s="174" t="s">
        <v>562</v>
      </c>
      <c r="C1016" s="185" t="s">
        <v>2012</v>
      </c>
      <c r="D1016" s="180"/>
    </row>
    <row r="1017" ht="15.75" customHeight="1">
      <c r="A1017" s="174" t="s">
        <v>2167</v>
      </c>
      <c r="B1017" s="186" t="s">
        <v>562</v>
      </c>
      <c r="C1017" s="170"/>
      <c r="D1017" s="170"/>
    </row>
    <row r="1018" ht="15.75" customHeight="1">
      <c r="A1018" s="174" t="s">
        <v>779</v>
      </c>
      <c r="B1018" s="186" t="s">
        <v>562</v>
      </c>
      <c r="C1018" s="193"/>
      <c r="D1018" s="193"/>
    </row>
    <row r="1019" ht="15.75" customHeight="1">
      <c r="A1019" s="168" t="s">
        <v>976</v>
      </c>
      <c r="B1019" s="186" t="s">
        <v>562</v>
      </c>
      <c r="C1019" s="173"/>
      <c r="D1019" s="173"/>
    </row>
    <row r="1020" ht="15.75" customHeight="1">
      <c r="A1020" s="174" t="s">
        <v>1178</v>
      </c>
      <c r="B1020" s="186" t="s">
        <v>562</v>
      </c>
      <c r="C1020" s="173"/>
      <c r="D1020" s="173"/>
    </row>
    <row r="1021" ht="15.75" customHeight="1">
      <c r="A1021" s="168" t="s">
        <v>1249</v>
      </c>
      <c r="B1021" s="186" t="s">
        <v>562</v>
      </c>
      <c r="C1021" s="173"/>
      <c r="D1021" s="173"/>
    </row>
    <row r="1022" ht="15.75" customHeight="1">
      <c r="A1022" s="174" t="s">
        <v>1804</v>
      </c>
      <c r="B1022" s="186" t="s">
        <v>562</v>
      </c>
      <c r="C1022" s="180"/>
      <c r="D1022" s="180"/>
    </row>
    <row r="1023" ht="15.75" customHeight="1">
      <c r="A1023" s="168" t="s">
        <v>1824</v>
      </c>
      <c r="B1023" s="186" t="s">
        <v>562</v>
      </c>
      <c r="C1023" s="173"/>
      <c r="D1023" s="173"/>
    </row>
    <row r="1024" ht="15.75" customHeight="1">
      <c r="A1024" s="168" t="s">
        <v>186</v>
      </c>
      <c r="B1024" s="184" t="s">
        <v>187</v>
      </c>
      <c r="C1024" s="194" t="s">
        <v>2012</v>
      </c>
      <c r="D1024" s="173"/>
    </row>
    <row r="1025" ht="15.75" customHeight="1">
      <c r="A1025" s="174" t="s">
        <v>840</v>
      </c>
      <c r="B1025" s="184" t="s">
        <v>187</v>
      </c>
      <c r="C1025" s="180"/>
      <c r="D1025" s="180"/>
    </row>
    <row r="1026" ht="15.75" customHeight="1">
      <c r="A1026" s="168" t="s">
        <v>2168</v>
      </c>
      <c r="B1026" s="184" t="s">
        <v>187</v>
      </c>
      <c r="C1026" s="193"/>
      <c r="D1026" s="193"/>
    </row>
    <row r="1027" ht="15.75" customHeight="1">
      <c r="A1027" s="174" t="s">
        <v>870</v>
      </c>
      <c r="B1027" s="186" t="s">
        <v>187</v>
      </c>
      <c r="C1027" s="180"/>
      <c r="D1027" s="180"/>
    </row>
    <row r="1028" ht="15.75" customHeight="1">
      <c r="A1028" s="168" t="s">
        <v>2169</v>
      </c>
      <c r="B1028" s="186" t="s">
        <v>187</v>
      </c>
      <c r="C1028" s="173"/>
      <c r="D1028" s="173"/>
    </row>
    <row r="1029" ht="15.75" customHeight="1">
      <c r="A1029" s="168" t="s">
        <v>965</v>
      </c>
      <c r="B1029" s="184" t="s">
        <v>187</v>
      </c>
      <c r="C1029" s="173"/>
      <c r="D1029" s="173"/>
    </row>
    <row r="1030" ht="15.75" customHeight="1">
      <c r="A1030" s="174" t="s">
        <v>1360</v>
      </c>
      <c r="B1030" s="186" t="s">
        <v>187</v>
      </c>
      <c r="C1030" s="180"/>
      <c r="D1030" s="180"/>
    </row>
    <row r="1031" ht="15.75" customHeight="1">
      <c r="A1031" s="174" t="s">
        <v>1449</v>
      </c>
      <c r="B1031" s="186" t="s">
        <v>187</v>
      </c>
      <c r="C1031" s="180"/>
      <c r="D1031" s="180"/>
    </row>
    <row r="1032" ht="15.75" customHeight="1">
      <c r="A1032" s="174" t="s">
        <v>1461</v>
      </c>
      <c r="B1032" s="186" t="s">
        <v>187</v>
      </c>
      <c r="C1032" s="180"/>
      <c r="D1032" s="180"/>
    </row>
    <row r="1033" ht="15.75" customHeight="1">
      <c r="A1033" s="174" t="s">
        <v>1464</v>
      </c>
      <c r="B1033" s="186" t="s">
        <v>187</v>
      </c>
      <c r="C1033" s="180"/>
      <c r="D1033" s="180"/>
    </row>
    <row r="1034" ht="15.75" customHeight="1">
      <c r="A1034" s="168" t="s">
        <v>1481</v>
      </c>
      <c r="B1034" s="186" t="s">
        <v>187</v>
      </c>
      <c r="C1034" s="173"/>
      <c r="D1034" s="173"/>
    </row>
    <row r="1035" ht="15.75" customHeight="1">
      <c r="A1035" s="174" t="s">
        <v>2170</v>
      </c>
      <c r="B1035" s="184" t="s">
        <v>421</v>
      </c>
      <c r="C1035" s="185" t="s">
        <v>2012</v>
      </c>
      <c r="D1035" s="180"/>
    </row>
    <row r="1036" ht="15.75" customHeight="1">
      <c r="A1036" s="168" t="s">
        <v>2171</v>
      </c>
      <c r="B1036" s="184" t="s">
        <v>421</v>
      </c>
      <c r="C1036" s="173"/>
      <c r="D1036" s="173"/>
    </row>
    <row r="1037" ht="15.75" customHeight="1">
      <c r="A1037" s="174" t="s">
        <v>510</v>
      </c>
      <c r="B1037" s="186" t="s">
        <v>421</v>
      </c>
      <c r="C1037" s="180"/>
      <c r="D1037" s="180"/>
    </row>
    <row r="1038" ht="15.75" customHeight="1">
      <c r="A1038" s="168" t="s">
        <v>557</v>
      </c>
      <c r="B1038" s="186" t="s">
        <v>421</v>
      </c>
      <c r="C1038" s="173"/>
      <c r="D1038" s="173"/>
    </row>
    <row r="1039" ht="15.75" customHeight="1">
      <c r="A1039" s="168" t="s">
        <v>654</v>
      </c>
      <c r="B1039" s="189" t="s">
        <v>421</v>
      </c>
      <c r="C1039" s="167"/>
      <c r="D1039" s="167"/>
    </row>
    <row r="1040" ht="15.75" customHeight="1">
      <c r="A1040" s="168" t="s">
        <v>853</v>
      </c>
      <c r="B1040" s="189" t="s">
        <v>421</v>
      </c>
      <c r="C1040" s="173"/>
      <c r="D1040" s="173"/>
    </row>
    <row r="1041" ht="15.75" customHeight="1">
      <c r="A1041" s="174" t="s">
        <v>865</v>
      </c>
      <c r="B1041" s="186" t="s">
        <v>421</v>
      </c>
      <c r="C1041" s="180"/>
      <c r="D1041" s="180"/>
    </row>
    <row r="1042" ht="15.75" customHeight="1">
      <c r="A1042" s="174" t="s">
        <v>925</v>
      </c>
      <c r="B1042" s="184" t="s">
        <v>421</v>
      </c>
      <c r="C1042" s="180"/>
      <c r="D1042" s="180"/>
    </row>
    <row r="1043" ht="15.75" customHeight="1">
      <c r="A1043" s="174" t="s">
        <v>945</v>
      </c>
      <c r="B1043" s="184" t="s">
        <v>421</v>
      </c>
      <c r="C1043" s="180"/>
      <c r="D1043" s="180"/>
    </row>
    <row r="1044" ht="15.75" customHeight="1">
      <c r="A1044" s="168" t="s">
        <v>1059</v>
      </c>
      <c r="B1044" s="186" t="s">
        <v>421</v>
      </c>
      <c r="C1044" s="173"/>
      <c r="D1044" s="173"/>
    </row>
    <row r="1045" ht="15.75" customHeight="1">
      <c r="A1045" s="174" t="s">
        <v>124</v>
      </c>
      <c r="B1045" s="184" t="s">
        <v>125</v>
      </c>
      <c r="C1045" s="185" t="s">
        <v>2012</v>
      </c>
      <c r="D1045" s="180"/>
    </row>
    <row r="1046" ht="15.75" customHeight="1">
      <c r="A1046" s="174" t="s">
        <v>200</v>
      </c>
      <c r="B1046" s="184" t="s">
        <v>125</v>
      </c>
      <c r="C1046" s="180"/>
      <c r="D1046" s="180"/>
    </row>
    <row r="1047" ht="15.75" customHeight="1">
      <c r="A1047" s="168" t="s">
        <v>292</v>
      </c>
      <c r="B1047" s="184" t="s">
        <v>125</v>
      </c>
      <c r="C1047" s="173"/>
      <c r="D1047" s="173"/>
    </row>
    <row r="1048" ht="15.75" customHeight="1">
      <c r="A1048" s="174" t="s">
        <v>607</v>
      </c>
      <c r="B1048" s="184" t="s">
        <v>125</v>
      </c>
      <c r="C1048" s="180"/>
      <c r="D1048" s="180"/>
    </row>
    <row r="1049" ht="15.75" customHeight="1">
      <c r="A1049" s="168" t="s">
        <v>658</v>
      </c>
      <c r="B1049" s="176" t="s">
        <v>125</v>
      </c>
      <c r="C1049" s="167"/>
      <c r="D1049" s="167"/>
    </row>
    <row r="1050" ht="15.75" customHeight="1">
      <c r="A1050" s="174" t="s">
        <v>813</v>
      </c>
      <c r="B1050" s="169" t="s">
        <v>125</v>
      </c>
      <c r="C1050" s="170"/>
      <c r="D1050" s="170"/>
    </row>
    <row r="1051" ht="15.75" customHeight="1">
      <c r="A1051" s="171" t="s">
        <v>2172</v>
      </c>
      <c r="B1051" s="172" t="s">
        <v>125</v>
      </c>
      <c r="C1051" s="180"/>
      <c r="D1051" s="180"/>
    </row>
    <row r="1052" ht="15.75" customHeight="1">
      <c r="A1052" s="168" t="s">
        <v>943</v>
      </c>
      <c r="B1052" s="175" t="s">
        <v>125</v>
      </c>
      <c r="C1052" s="173"/>
      <c r="D1052" s="173"/>
    </row>
    <row r="1053" ht="15.75" customHeight="1">
      <c r="A1053" s="168" t="s">
        <v>1040</v>
      </c>
      <c r="B1053" s="175" t="s">
        <v>125</v>
      </c>
      <c r="C1053" s="173"/>
      <c r="D1053" s="173"/>
    </row>
    <row r="1054" ht="15.75" customHeight="1">
      <c r="A1054" s="168" t="s">
        <v>1058</v>
      </c>
      <c r="B1054" s="168" t="s">
        <v>125</v>
      </c>
      <c r="C1054" s="173"/>
      <c r="D1054" s="173"/>
    </row>
    <row r="1055" ht="15.75" customHeight="1">
      <c r="A1055" s="174" t="s">
        <v>1141</v>
      </c>
      <c r="B1055" s="175" t="s">
        <v>125</v>
      </c>
      <c r="C1055" s="170"/>
      <c r="D1055" s="170"/>
    </row>
    <row r="1056" ht="15.75" customHeight="1">
      <c r="A1056" s="168" t="s">
        <v>1353</v>
      </c>
      <c r="B1056" s="175" t="s">
        <v>125</v>
      </c>
      <c r="C1056" s="180"/>
      <c r="D1056" s="180"/>
    </row>
    <row r="1057" ht="15.75" customHeight="1">
      <c r="A1057" s="168" t="s">
        <v>1353</v>
      </c>
      <c r="B1057" s="175" t="s">
        <v>125</v>
      </c>
      <c r="C1057" s="167"/>
      <c r="D1057" s="167"/>
    </row>
    <row r="1058" ht="15.75" customHeight="1">
      <c r="A1058" s="168" t="s">
        <v>2173</v>
      </c>
      <c r="B1058" s="175" t="s">
        <v>125</v>
      </c>
      <c r="C1058" s="173"/>
      <c r="D1058" s="173"/>
    </row>
    <row r="1059" ht="15.75" customHeight="1">
      <c r="A1059" s="174" t="s">
        <v>1397</v>
      </c>
      <c r="B1059" s="175" t="s">
        <v>125</v>
      </c>
      <c r="C1059" s="180"/>
      <c r="D1059" s="180"/>
    </row>
    <row r="1060" ht="15.75" customHeight="1">
      <c r="A1060" s="168" t="s">
        <v>1400</v>
      </c>
      <c r="B1060" s="175" t="s">
        <v>125</v>
      </c>
      <c r="C1060" s="173"/>
      <c r="D1060" s="173"/>
    </row>
    <row r="1061" ht="15.75" customHeight="1">
      <c r="A1061" s="168" t="s">
        <v>1499</v>
      </c>
      <c r="B1061" s="175" t="s">
        <v>125</v>
      </c>
      <c r="C1061" s="173"/>
      <c r="D1061" s="173"/>
    </row>
    <row r="1062" ht="15.75" customHeight="1">
      <c r="A1062" s="174" t="s">
        <v>1539</v>
      </c>
      <c r="B1062" s="175" t="s">
        <v>125</v>
      </c>
      <c r="C1062" s="180"/>
      <c r="D1062" s="180"/>
    </row>
    <row r="1063" ht="15.75" customHeight="1">
      <c r="A1063" s="168" t="s">
        <v>2174</v>
      </c>
      <c r="B1063" s="175" t="s">
        <v>125</v>
      </c>
      <c r="C1063" s="173"/>
      <c r="D1063" s="173"/>
    </row>
    <row r="1064" ht="15.75" customHeight="1">
      <c r="A1064" s="174" t="s">
        <v>2175</v>
      </c>
      <c r="B1064" s="175" t="s">
        <v>125</v>
      </c>
      <c r="C1064" s="180"/>
      <c r="D1064" s="180"/>
    </row>
    <row r="1065" ht="15.75" customHeight="1">
      <c r="A1065" s="168" t="s">
        <v>1782</v>
      </c>
      <c r="B1065" s="175" t="s">
        <v>125</v>
      </c>
      <c r="C1065" s="173"/>
      <c r="D1065" s="173"/>
    </row>
    <row r="1066" ht="15.75" customHeight="1">
      <c r="A1066" s="168" t="s">
        <v>1843</v>
      </c>
      <c r="B1066" s="175" t="s">
        <v>125</v>
      </c>
      <c r="C1066" s="173"/>
      <c r="D1066" s="173"/>
    </row>
    <row r="1067" ht="15.75" customHeight="1">
      <c r="A1067" s="168" t="s">
        <v>1931</v>
      </c>
      <c r="B1067" s="175" t="s">
        <v>125</v>
      </c>
      <c r="C1067" s="173"/>
      <c r="D1067" s="173"/>
    </row>
    <row r="1068" ht="15.75" customHeight="1">
      <c r="A1068" s="168" t="s">
        <v>233</v>
      </c>
      <c r="B1068" s="175" t="s">
        <v>234</v>
      </c>
      <c r="C1068" s="194" t="s">
        <v>2109</v>
      </c>
      <c r="D1068" s="173"/>
    </row>
    <row r="1069" ht="15.75" customHeight="1">
      <c r="A1069" s="168" t="s">
        <v>261</v>
      </c>
      <c r="B1069" s="168" t="s">
        <v>234</v>
      </c>
      <c r="C1069" s="173"/>
      <c r="D1069" s="173"/>
    </row>
    <row r="1070" ht="15.75" customHeight="1">
      <c r="A1070" s="174" t="s">
        <v>2176</v>
      </c>
      <c r="B1070" s="168" t="s">
        <v>234</v>
      </c>
      <c r="C1070" s="170"/>
      <c r="D1070" s="170"/>
    </row>
    <row r="1071" ht="15.75" customHeight="1">
      <c r="A1071" s="174" t="s">
        <v>500</v>
      </c>
      <c r="B1071" s="175" t="s">
        <v>234</v>
      </c>
      <c r="C1071" s="180"/>
      <c r="D1071" s="180"/>
    </row>
    <row r="1072" ht="15.75" customHeight="1">
      <c r="A1072" s="168" t="s">
        <v>647</v>
      </c>
      <c r="B1072" s="168" t="s">
        <v>234</v>
      </c>
      <c r="C1072" s="173"/>
      <c r="D1072" s="173"/>
    </row>
    <row r="1073" ht="15.75" customHeight="1">
      <c r="A1073" s="168" t="s">
        <v>2177</v>
      </c>
      <c r="B1073" s="168" t="s">
        <v>234</v>
      </c>
      <c r="C1073" s="173"/>
      <c r="D1073" s="173"/>
    </row>
    <row r="1074" ht="15.75" customHeight="1">
      <c r="A1074" s="168" t="s">
        <v>968</v>
      </c>
      <c r="B1074" s="175" t="s">
        <v>234</v>
      </c>
      <c r="C1074" s="173"/>
      <c r="D1074" s="173"/>
    </row>
    <row r="1075" ht="15.75" customHeight="1">
      <c r="A1075" s="168" t="s">
        <v>1023</v>
      </c>
      <c r="B1075" s="168" t="s">
        <v>234</v>
      </c>
      <c r="C1075" s="173"/>
      <c r="D1075" s="173"/>
    </row>
    <row r="1076" ht="15.75" customHeight="1">
      <c r="A1076" s="168" t="s">
        <v>1128</v>
      </c>
      <c r="B1076" s="175" t="s">
        <v>234</v>
      </c>
      <c r="C1076" s="173"/>
      <c r="D1076" s="173"/>
    </row>
    <row r="1077" ht="15.75" customHeight="1">
      <c r="A1077" s="174" t="s">
        <v>1513</v>
      </c>
      <c r="B1077" s="168" t="s">
        <v>234</v>
      </c>
      <c r="C1077" s="180"/>
      <c r="D1077" s="180"/>
    </row>
    <row r="1078" ht="15.75" customHeight="1">
      <c r="A1078" s="168" t="s">
        <v>1578</v>
      </c>
      <c r="B1078" s="175" t="s">
        <v>234</v>
      </c>
      <c r="C1078" s="173"/>
      <c r="D1078" s="173"/>
    </row>
    <row r="1079" ht="15.75" customHeight="1">
      <c r="A1079" s="168" t="s">
        <v>1618</v>
      </c>
      <c r="B1079" s="168" t="s">
        <v>234</v>
      </c>
      <c r="C1079" s="173"/>
      <c r="D1079" s="173"/>
    </row>
    <row r="1080" ht="15.75" customHeight="1">
      <c r="A1080" s="174" t="s">
        <v>1643</v>
      </c>
      <c r="B1080" s="175" t="s">
        <v>234</v>
      </c>
      <c r="C1080" s="170"/>
      <c r="D1080" s="170"/>
    </row>
    <row r="1081" ht="15.75" customHeight="1">
      <c r="A1081" s="174" t="s">
        <v>1778</v>
      </c>
      <c r="B1081" s="175" t="s">
        <v>234</v>
      </c>
      <c r="C1081" s="170"/>
      <c r="D1081" s="170"/>
    </row>
    <row r="1082" ht="15.75" customHeight="1">
      <c r="A1082" s="174" t="s">
        <v>1853</v>
      </c>
      <c r="B1082" s="175" t="s">
        <v>234</v>
      </c>
      <c r="C1082" s="180"/>
      <c r="D1082" s="180"/>
    </row>
    <row r="1083" ht="15.75" customHeight="1">
      <c r="A1083" s="168" t="s">
        <v>1893</v>
      </c>
      <c r="B1083" s="168" t="s">
        <v>234</v>
      </c>
      <c r="C1083" s="173"/>
      <c r="D1083" s="173"/>
    </row>
    <row r="1084" ht="15.75" customHeight="1">
      <c r="A1084" s="174" t="s">
        <v>154</v>
      </c>
      <c r="B1084" s="174" t="s">
        <v>155</v>
      </c>
      <c r="C1084" s="185" t="s">
        <v>2163</v>
      </c>
      <c r="D1084" s="180"/>
    </row>
    <row r="1085" ht="15.75" customHeight="1">
      <c r="A1085" s="168" t="s">
        <v>330</v>
      </c>
      <c r="B1085" s="174" t="s">
        <v>155</v>
      </c>
      <c r="C1085" s="180"/>
      <c r="D1085" s="180"/>
    </row>
    <row r="1086" ht="15.75" customHeight="1">
      <c r="A1086" s="174" t="s">
        <v>835</v>
      </c>
      <c r="B1086" s="174" t="s">
        <v>155</v>
      </c>
      <c r="C1086" s="180"/>
      <c r="D1086" s="180"/>
    </row>
    <row r="1087" ht="15.75" customHeight="1">
      <c r="A1087" s="174" t="s">
        <v>886</v>
      </c>
      <c r="B1087" s="174" t="s">
        <v>155</v>
      </c>
      <c r="C1087" s="180"/>
      <c r="D1087" s="180"/>
    </row>
    <row r="1088" ht="15.75" customHeight="1">
      <c r="A1088" s="174" t="s">
        <v>979</v>
      </c>
      <c r="B1088" s="174" t="s">
        <v>155</v>
      </c>
      <c r="C1088" s="180"/>
      <c r="D1088" s="180"/>
    </row>
    <row r="1089" ht="15.75" customHeight="1">
      <c r="A1089" s="174" t="s">
        <v>1196</v>
      </c>
      <c r="B1089" s="174" t="s">
        <v>155</v>
      </c>
      <c r="C1089" s="180"/>
      <c r="D1089" s="180"/>
    </row>
    <row r="1090" ht="15.75" customHeight="1">
      <c r="A1090" s="168" t="s">
        <v>1343</v>
      </c>
      <c r="B1090" s="174" t="s">
        <v>155</v>
      </c>
      <c r="C1090" s="167"/>
      <c r="D1090" s="167"/>
    </row>
    <row r="1091" ht="15.75" customHeight="1">
      <c r="A1091" s="174" t="s">
        <v>1748</v>
      </c>
      <c r="B1091" s="174" t="s">
        <v>155</v>
      </c>
      <c r="C1091" s="170"/>
      <c r="D1091" s="170"/>
    </row>
    <row r="1092" ht="15.75" customHeight="1">
      <c r="A1092" s="168" t="s">
        <v>1836</v>
      </c>
      <c r="B1092" s="174" t="s">
        <v>155</v>
      </c>
      <c r="C1092" s="167"/>
      <c r="D1092" s="167"/>
    </row>
    <row r="1093" ht="15.75" customHeight="1">
      <c r="A1093" s="174" t="s">
        <v>246</v>
      </c>
      <c r="B1093" s="171" t="s">
        <v>247</v>
      </c>
      <c r="C1093" s="191" t="s">
        <v>2114</v>
      </c>
      <c r="D1093" s="170"/>
    </row>
    <row r="1094" ht="15.75" customHeight="1">
      <c r="A1094" s="174" t="s">
        <v>512</v>
      </c>
      <c r="B1094" s="174" t="s">
        <v>247</v>
      </c>
      <c r="C1094" s="180"/>
      <c r="D1094" s="180"/>
    </row>
    <row r="1095" ht="15.75" customHeight="1">
      <c r="A1095" s="174" t="s">
        <v>636</v>
      </c>
      <c r="B1095" s="171" t="s">
        <v>247</v>
      </c>
      <c r="C1095" s="170"/>
      <c r="D1095" s="170"/>
    </row>
    <row r="1096" ht="15.75" customHeight="1">
      <c r="A1096" s="168" t="s">
        <v>989</v>
      </c>
      <c r="B1096" s="174" t="s">
        <v>247</v>
      </c>
      <c r="C1096" s="173"/>
      <c r="D1096" s="173"/>
    </row>
    <row r="1097" ht="15.75" customHeight="1">
      <c r="A1097" s="168" t="s">
        <v>1034</v>
      </c>
      <c r="B1097" s="171" t="s">
        <v>247</v>
      </c>
      <c r="C1097" s="167"/>
      <c r="D1097" s="167"/>
    </row>
    <row r="1098" ht="15.75" customHeight="1">
      <c r="A1098" s="174" t="s">
        <v>1035</v>
      </c>
      <c r="B1098" s="174" t="s">
        <v>247</v>
      </c>
      <c r="C1098" s="170"/>
      <c r="D1098" s="170"/>
    </row>
    <row r="1099" ht="15.75" customHeight="1">
      <c r="A1099" s="168" t="s">
        <v>1315</v>
      </c>
      <c r="B1099" s="171" t="s">
        <v>247</v>
      </c>
      <c r="C1099" s="193"/>
      <c r="D1099" s="193"/>
    </row>
    <row r="1100" ht="15.75" customHeight="1">
      <c r="A1100" s="168" t="s">
        <v>1389</v>
      </c>
      <c r="B1100" s="174" t="s">
        <v>247</v>
      </c>
      <c r="C1100" s="173"/>
      <c r="D1100" s="173"/>
    </row>
    <row r="1101" ht="15.75" customHeight="1">
      <c r="A1101" s="174" t="s">
        <v>1393</v>
      </c>
      <c r="B1101" s="171" t="s">
        <v>247</v>
      </c>
      <c r="C1101" s="180"/>
      <c r="D1101" s="180"/>
    </row>
    <row r="1102" ht="15.75" customHeight="1">
      <c r="A1102" s="174" t="s">
        <v>2178</v>
      </c>
      <c r="B1102" s="174" t="s">
        <v>247</v>
      </c>
      <c r="C1102" s="180"/>
      <c r="D1102" s="180"/>
    </row>
    <row r="1103" ht="15.75" customHeight="1">
      <c r="A1103" s="168" t="s">
        <v>28</v>
      </c>
      <c r="B1103" s="175" t="s">
        <v>29</v>
      </c>
      <c r="C1103" s="194" t="s">
        <v>2179</v>
      </c>
      <c r="D1103" s="173"/>
    </row>
    <row r="1104" ht="15.75" customHeight="1">
      <c r="A1104" s="188" t="s">
        <v>30</v>
      </c>
      <c r="B1104" s="172" t="s">
        <v>29</v>
      </c>
      <c r="C1104" s="180"/>
      <c r="D1104" s="180"/>
    </row>
    <row r="1105" ht="15.75" customHeight="1">
      <c r="A1105" s="188" t="s">
        <v>31</v>
      </c>
      <c r="B1105" s="174" t="s">
        <v>29</v>
      </c>
      <c r="C1105" s="180"/>
      <c r="D1105" s="180"/>
    </row>
    <row r="1106" ht="15.75" customHeight="1">
      <c r="A1106" s="174" t="s">
        <v>35</v>
      </c>
      <c r="B1106" s="172" t="s">
        <v>29</v>
      </c>
      <c r="C1106" s="180"/>
      <c r="D1106" s="180"/>
    </row>
    <row r="1107" ht="15.75" customHeight="1">
      <c r="A1107" s="202" t="s">
        <v>36</v>
      </c>
      <c r="B1107" s="203" t="s">
        <v>29</v>
      </c>
      <c r="C1107" s="195"/>
      <c r="D1107" s="195"/>
    </row>
    <row r="1108" ht="15.75" customHeight="1">
      <c r="A1108" s="174" t="s">
        <v>303</v>
      </c>
      <c r="B1108" s="172" t="s">
        <v>29</v>
      </c>
      <c r="C1108" s="167"/>
      <c r="D1108" s="167"/>
    </row>
    <row r="1109" ht="15.75" customHeight="1">
      <c r="A1109" s="174" t="s">
        <v>499</v>
      </c>
      <c r="B1109" s="172" t="s">
        <v>29</v>
      </c>
      <c r="C1109" s="180"/>
      <c r="D1109" s="180"/>
    </row>
    <row r="1110" ht="15.75" customHeight="1">
      <c r="A1110" s="168" t="s">
        <v>2180</v>
      </c>
      <c r="B1110" s="172" t="s">
        <v>29</v>
      </c>
      <c r="C1110" s="173"/>
      <c r="D1110" s="173"/>
    </row>
    <row r="1111" ht="15.75" customHeight="1">
      <c r="A1111" s="174" t="s">
        <v>1375</v>
      </c>
      <c r="B1111" s="172" t="s">
        <v>29</v>
      </c>
      <c r="C1111" s="180"/>
      <c r="D1111" s="180"/>
    </row>
    <row r="1112" ht="15.75" customHeight="1">
      <c r="A1112" s="168" t="s">
        <v>1801</v>
      </c>
      <c r="B1112" s="172" t="s">
        <v>29</v>
      </c>
      <c r="C1112" s="173"/>
      <c r="D1112" s="173"/>
    </row>
    <row r="1113" ht="15.75" customHeight="1">
      <c r="A1113" s="168" t="s">
        <v>264</v>
      </c>
      <c r="B1113" s="175" t="s">
        <v>265</v>
      </c>
      <c r="C1113" s="194" t="s">
        <v>2012</v>
      </c>
      <c r="D1113" s="173"/>
    </row>
    <row r="1114" ht="15.75" customHeight="1">
      <c r="A1114" s="168" t="s">
        <v>2181</v>
      </c>
      <c r="B1114" s="175" t="s">
        <v>265</v>
      </c>
      <c r="C1114" s="173"/>
      <c r="D1114" s="173"/>
    </row>
    <row r="1115" ht="15.75" customHeight="1">
      <c r="A1115" s="168" t="s">
        <v>268</v>
      </c>
      <c r="B1115" s="168" t="s">
        <v>265</v>
      </c>
      <c r="C1115" s="173"/>
      <c r="D1115" s="173"/>
    </row>
    <row r="1116" ht="15.75" customHeight="1">
      <c r="A1116" s="168" t="s">
        <v>270</v>
      </c>
      <c r="B1116" s="175" t="s">
        <v>265</v>
      </c>
      <c r="C1116" s="173"/>
      <c r="D1116" s="173"/>
    </row>
    <row r="1117" ht="15.75" customHeight="1">
      <c r="A1117" s="174" t="s">
        <v>357</v>
      </c>
      <c r="B1117" s="172" t="s">
        <v>265</v>
      </c>
      <c r="C1117" s="180"/>
      <c r="D1117" s="180"/>
    </row>
    <row r="1118" ht="15.75" customHeight="1">
      <c r="A1118" s="168" t="s">
        <v>395</v>
      </c>
      <c r="B1118" s="175" t="s">
        <v>265</v>
      </c>
      <c r="C1118" s="173"/>
      <c r="D1118" s="173"/>
    </row>
    <row r="1119" ht="15.75" customHeight="1">
      <c r="A1119" s="168" t="s">
        <v>940</v>
      </c>
      <c r="B1119" s="168" t="s">
        <v>265</v>
      </c>
      <c r="C1119" s="173"/>
      <c r="D1119" s="173"/>
    </row>
    <row r="1120" ht="15.75" customHeight="1">
      <c r="A1120" s="174" t="s">
        <v>1177</v>
      </c>
      <c r="B1120" s="172" t="s">
        <v>265</v>
      </c>
      <c r="C1120" s="180"/>
      <c r="D1120" s="180"/>
    </row>
    <row r="1121" ht="15.75" customHeight="1">
      <c r="A1121" s="166" t="s">
        <v>1277</v>
      </c>
      <c r="B1121" s="169" t="s">
        <v>265</v>
      </c>
      <c r="C1121" s="167"/>
      <c r="D1121" s="167"/>
    </row>
    <row r="1122" ht="15.75" customHeight="1">
      <c r="A1122" s="174" t="s">
        <v>1469</v>
      </c>
      <c r="B1122" s="172" t="s">
        <v>265</v>
      </c>
      <c r="C1122" s="180"/>
      <c r="D1122" s="180"/>
    </row>
    <row r="1123" ht="15.75" customHeight="1">
      <c r="A1123" s="168" t="s">
        <v>2182</v>
      </c>
      <c r="B1123" s="175" t="s">
        <v>265</v>
      </c>
      <c r="C1123" s="173"/>
      <c r="D1123" s="173"/>
    </row>
    <row r="1124" ht="15.75" customHeight="1">
      <c r="A1124" s="168" t="s">
        <v>1520</v>
      </c>
      <c r="B1124" s="166" t="s">
        <v>265</v>
      </c>
      <c r="C1124" s="167"/>
      <c r="D1124" s="167"/>
    </row>
    <row r="1125" ht="15.75" customHeight="1">
      <c r="A1125" s="168" t="s">
        <v>487</v>
      </c>
      <c r="B1125" s="176" t="s">
        <v>488</v>
      </c>
      <c r="C1125" s="194" t="s">
        <v>2012</v>
      </c>
      <c r="D1125" s="167"/>
    </row>
    <row r="1126" ht="15.75" customHeight="1">
      <c r="A1126" s="168" t="s">
        <v>772</v>
      </c>
      <c r="B1126" s="175" t="s">
        <v>488</v>
      </c>
      <c r="D1126" s="173"/>
    </row>
    <row r="1127" ht="15.75" customHeight="1">
      <c r="A1127" s="174" t="s">
        <v>1037</v>
      </c>
      <c r="B1127" s="172" t="s">
        <v>488</v>
      </c>
      <c r="C1127" s="180"/>
      <c r="D1127" s="180"/>
    </row>
    <row r="1128" ht="15.75" customHeight="1">
      <c r="A1128" s="168" t="s">
        <v>1043</v>
      </c>
      <c r="B1128" s="175" t="s">
        <v>488</v>
      </c>
      <c r="C1128" s="173"/>
      <c r="D1128" s="173"/>
    </row>
    <row r="1129" ht="15.75" customHeight="1">
      <c r="A1129" s="168" t="s">
        <v>1364</v>
      </c>
      <c r="B1129" s="175" t="s">
        <v>488</v>
      </c>
      <c r="C1129" s="173"/>
      <c r="D1129" s="173"/>
    </row>
    <row r="1130" ht="15.75" customHeight="1">
      <c r="A1130" s="168" t="s">
        <v>1659</v>
      </c>
      <c r="B1130" s="175" t="s">
        <v>488</v>
      </c>
      <c r="C1130" s="173"/>
      <c r="D1130" s="173"/>
    </row>
    <row r="1131" ht="15.75" customHeight="1">
      <c r="A1131" s="174" t="s">
        <v>1683</v>
      </c>
      <c r="B1131" s="172" t="s">
        <v>488</v>
      </c>
      <c r="C1131" s="180"/>
      <c r="D1131" s="180"/>
    </row>
    <row r="1132" ht="15.75" customHeight="1">
      <c r="A1132" s="168" t="s">
        <v>2183</v>
      </c>
      <c r="B1132" s="175" t="s">
        <v>488</v>
      </c>
      <c r="C1132" s="173"/>
      <c r="D1132" s="173"/>
    </row>
    <row r="1133" ht="15.75" customHeight="1">
      <c r="A1133" s="168" t="s">
        <v>1940</v>
      </c>
      <c r="B1133" s="175" t="s">
        <v>488</v>
      </c>
      <c r="C1133" s="173"/>
      <c r="D1133" s="173"/>
    </row>
    <row r="1134" ht="15.75" customHeight="1">
      <c r="A1134" s="174" t="s">
        <v>84</v>
      </c>
      <c r="B1134" s="174" t="s">
        <v>85</v>
      </c>
      <c r="C1134" s="185" t="s">
        <v>2184</v>
      </c>
      <c r="D1134" s="180"/>
    </row>
    <row r="1135" ht="15.75" customHeight="1">
      <c r="A1135" s="168" t="s">
        <v>184</v>
      </c>
      <c r="B1135" s="168" t="s">
        <v>85</v>
      </c>
      <c r="C1135" s="173"/>
      <c r="D1135" s="173"/>
    </row>
    <row r="1136" ht="15.75" customHeight="1">
      <c r="A1136" s="168" t="s">
        <v>306</v>
      </c>
      <c r="B1136" s="174" t="s">
        <v>85</v>
      </c>
      <c r="C1136" s="173"/>
      <c r="D1136" s="173"/>
    </row>
    <row r="1137" ht="15.75" customHeight="1">
      <c r="A1137" s="168" t="s">
        <v>313</v>
      </c>
      <c r="B1137" s="168" t="s">
        <v>85</v>
      </c>
      <c r="C1137" s="173"/>
      <c r="D1137" s="173"/>
    </row>
    <row r="1138" ht="15.75" customHeight="1">
      <c r="A1138" s="168" t="s">
        <v>359</v>
      </c>
      <c r="B1138" s="174" t="s">
        <v>85</v>
      </c>
      <c r="C1138" s="173"/>
      <c r="D1138" s="173"/>
    </row>
    <row r="1139" ht="15.75" customHeight="1">
      <c r="A1139" s="168" t="s">
        <v>648</v>
      </c>
      <c r="B1139" s="174" t="s">
        <v>85</v>
      </c>
      <c r="C1139" s="173"/>
      <c r="D1139" s="173"/>
    </row>
    <row r="1140" ht="15.75" customHeight="1">
      <c r="A1140" s="174" t="s">
        <v>679</v>
      </c>
      <c r="B1140" s="168" t="s">
        <v>85</v>
      </c>
      <c r="C1140" s="170"/>
      <c r="D1140" s="170"/>
    </row>
    <row r="1141" ht="15.75" customHeight="1">
      <c r="A1141" s="174" t="s">
        <v>789</v>
      </c>
      <c r="B1141" s="174" t="s">
        <v>85</v>
      </c>
      <c r="C1141" s="180"/>
      <c r="D1141" s="180"/>
    </row>
    <row r="1142" ht="15.75" customHeight="1">
      <c r="A1142" s="168" t="s">
        <v>841</v>
      </c>
      <c r="B1142" s="168" t="s">
        <v>85</v>
      </c>
      <c r="C1142" s="173"/>
      <c r="D1142" s="173"/>
    </row>
    <row r="1143" ht="15.75" customHeight="1">
      <c r="A1143" s="174" t="s">
        <v>2185</v>
      </c>
      <c r="B1143" s="174" t="s">
        <v>85</v>
      </c>
      <c r="C1143" s="180"/>
      <c r="D1143" s="180"/>
    </row>
    <row r="1144" ht="15.75" customHeight="1">
      <c r="A1144" s="168" t="s">
        <v>952</v>
      </c>
      <c r="B1144" s="168" t="s">
        <v>85</v>
      </c>
      <c r="C1144" s="173"/>
      <c r="D1144" s="173"/>
    </row>
    <row r="1145" ht="15.75" customHeight="1">
      <c r="A1145" s="168" t="s">
        <v>1019</v>
      </c>
      <c r="B1145" s="174" t="s">
        <v>85</v>
      </c>
      <c r="C1145" s="173"/>
      <c r="D1145" s="173"/>
    </row>
    <row r="1146" ht="15.75" customHeight="1">
      <c r="A1146" s="174" t="s">
        <v>2186</v>
      </c>
      <c r="B1146" s="168" t="s">
        <v>85</v>
      </c>
      <c r="C1146" s="180"/>
      <c r="D1146" s="180"/>
    </row>
    <row r="1147" ht="15.75" customHeight="1">
      <c r="A1147" s="168" t="s">
        <v>2187</v>
      </c>
      <c r="B1147" s="174" t="s">
        <v>85</v>
      </c>
      <c r="C1147" s="173"/>
      <c r="D1147" s="173"/>
    </row>
    <row r="1148" ht="15.75" customHeight="1">
      <c r="A1148" s="174" t="s">
        <v>1303</v>
      </c>
      <c r="B1148" s="168" t="s">
        <v>85</v>
      </c>
      <c r="C1148" s="180"/>
      <c r="D1148" s="180"/>
    </row>
    <row r="1149" ht="15.75" customHeight="1">
      <c r="A1149" s="168" t="s">
        <v>1329</v>
      </c>
      <c r="B1149" s="174" t="s">
        <v>85</v>
      </c>
      <c r="C1149" s="173"/>
      <c r="D1149" s="173"/>
    </row>
    <row r="1150" ht="15.75" customHeight="1">
      <c r="A1150" s="174" t="s">
        <v>1335</v>
      </c>
      <c r="B1150" s="168" t="s">
        <v>85</v>
      </c>
      <c r="C1150" s="180"/>
      <c r="D1150" s="180"/>
    </row>
    <row r="1151" ht="15.75" customHeight="1">
      <c r="A1151" s="174" t="s">
        <v>1424</v>
      </c>
      <c r="B1151" s="174" t="s">
        <v>85</v>
      </c>
      <c r="C1151" s="180"/>
      <c r="D1151" s="180"/>
    </row>
    <row r="1152" ht="15.75" customHeight="1">
      <c r="A1152" s="168" t="s">
        <v>1514</v>
      </c>
      <c r="B1152" s="168" t="s">
        <v>85</v>
      </c>
      <c r="C1152" s="173"/>
      <c r="D1152" s="173"/>
    </row>
    <row r="1153" ht="15.75" customHeight="1">
      <c r="A1153" s="168" t="s">
        <v>1600</v>
      </c>
      <c r="B1153" s="174" t="s">
        <v>85</v>
      </c>
      <c r="C1153" s="173"/>
      <c r="D1153" s="173"/>
    </row>
    <row r="1154" ht="15.75" customHeight="1">
      <c r="A1154" s="174" t="s">
        <v>1622</v>
      </c>
      <c r="B1154" s="168" t="s">
        <v>85</v>
      </c>
      <c r="C1154" s="180"/>
      <c r="D1154" s="180"/>
    </row>
    <row r="1155" ht="15.75" customHeight="1">
      <c r="A1155" s="174" t="s">
        <v>1884</v>
      </c>
      <c r="B1155" s="168" t="s">
        <v>85</v>
      </c>
      <c r="C1155" s="180"/>
      <c r="D1155" s="180"/>
    </row>
    <row r="1156" ht="15.75" customHeight="1">
      <c r="A1156" s="168" t="s">
        <v>2188</v>
      </c>
      <c r="B1156" s="186" t="s">
        <v>160</v>
      </c>
      <c r="C1156" s="194" t="s">
        <v>2012</v>
      </c>
      <c r="D1156" s="173"/>
    </row>
    <row r="1157" ht="15.75" customHeight="1">
      <c r="A1157" s="168" t="s">
        <v>862</v>
      </c>
      <c r="B1157" s="184" t="s">
        <v>160</v>
      </c>
      <c r="C1157" s="194"/>
      <c r="D1157" s="173"/>
    </row>
    <row r="1158" ht="15.75" customHeight="1">
      <c r="A1158" s="174" t="s">
        <v>1852</v>
      </c>
      <c r="B1158" s="190" t="s">
        <v>160</v>
      </c>
      <c r="C1158" s="170"/>
      <c r="D1158" s="170"/>
    </row>
    <row r="1159" ht="15.75" customHeight="1">
      <c r="A1159" s="168" t="s">
        <v>1892</v>
      </c>
      <c r="B1159" s="184" t="s">
        <v>160</v>
      </c>
      <c r="C1159" s="173"/>
      <c r="D1159" s="173"/>
    </row>
    <row r="1160" ht="15.75" customHeight="1">
      <c r="A1160" s="174" t="s">
        <v>1458</v>
      </c>
      <c r="B1160" s="184" t="s">
        <v>1013</v>
      </c>
      <c r="C1160" s="185" t="s">
        <v>2012</v>
      </c>
      <c r="D1160" s="180"/>
    </row>
    <row r="1161" ht="15.75" customHeight="1">
      <c r="A1161" s="174" t="s">
        <v>1637</v>
      </c>
      <c r="B1161" s="186" t="s">
        <v>1013</v>
      </c>
      <c r="C1161" s="180"/>
      <c r="D1161" s="180"/>
    </row>
    <row r="1162" ht="15.75" customHeight="1">
      <c r="A1162" s="174" t="s">
        <v>1701</v>
      </c>
      <c r="B1162" s="184" t="s">
        <v>1013</v>
      </c>
      <c r="C1162" s="180"/>
      <c r="D1162" s="180"/>
    </row>
    <row r="1163" ht="15.75" customHeight="1">
      <c r="A1163" s="168" t="s">
        <v>1709</v>
      </c>
      <c r="B1163" s="190" t="s">
        <v>1013</v>
      </c>
      <c r="C1163" s="167"/>
      <c r="D1163" s="167"/>
    </row>
    <row r="1164" ht="15.75" customHeight="1">
      <c r="A1164" s="168" t="s">
        <v>1784</v>
      </c>
      <c r="B1164" s="190" t="s">
        <v>1013</v>
      </c>
      <c r="C1164" s="167"/>
      <c r="D1164" s="167"/>
    </row>
    <row r="1165" ht="15.75" customHeight="1">
      <c r="A1165" s="168" t="s">
        <v>369</v>
      </c>
      <c r="B1165" s="186" t="s">
        <v>370</v>
      </c>
      <c r="C1165" s="194" t="s">
        <v>2012</v>
      </c>
      <c r="D1165" s="173"/>
    </row>
    <row r="1166" ht="15.75" customHeight="1">
      <c r="A1166" s="174" t="s">
        <v>446</v>
      </c>
      <c r="B1166" s="186" t="s">
        <v>370</v>
      </c>
      <c r="C1166" s="180"/>
      <c r="D1166" s="180"/>
    </row>
    <row r="1167" ht="15.75" customHeight="1">
      <c r="A1167" s="168" t="s">
        <v>2189</v>
      </c>
      <c r="B1167" s="186" t="s">
        <v>370</v>
      </c>
      <c r="C1167" s="173"/>
      <c r="D1167" s="173"/>
    </row>
    <row r="1168" ht="15.75" customHeight="1">
      <c r="A1168" s="168" t="s">
        <v>1208</v>
      </c>
      <c r="B1168" s="184" t="s">
        <v>370</v>
      </c>
      <c r="C1168" s="173"/>
      <c r="D1168" s="173"/>
    </row>
    <row r="1169" ht="15.75" customHeight="1">
      <c r="A1169" s="174" t="s">
        <v>1614</v>
      </c>
      <c r="B1169" s="186" t="s">
        <v>370</v>
      </c>
      <c r="C1169" s="180"/>
      <c r="D1169" s="180"/>
    </row>
    <row r="1170" ht="15.75" customHeight="1">
      <c r="A1170" s="174" t="s">
        <v>1616</v>
      </c>
      <c r="B1170" s="184" t="s">
        <v>370</v>
      </c>
      <c r="C1170" s="180"/>
      <c r="D1170" s="180"/>
    </row>
    <row r="1171" ht="15.75" customHeight="1">
      <c r="A1171" s="174" t="s">
        <v>1803</v>
      </c>
      <c r="B1171" s="186" t="s">
        <v>370</v>
      </c>
      <c r="C1171" s="180"/>
      <c r="D1171" s="180"/>
    </row>
    <row r="1172" ht="15.75" customHeight="1">
      <c r="A1172" s="174" t="s">
        <v>205</v>
      </c>
      <c r="B1172" s="186" t="s">
        <v>206</v>
      </c>
      <c r="C1172" s="185" t="s">
        <v>2012</v>
      </c>
      <c r="D1172" s="180"/>
    </row>
    <row r="1173" ht="15.75" customHeight="1">
      <c r="A1173" s="168" t="s">
        <v>235</v>
      </c>
      <c r="B1173" s="184" t="s">
        <v>206</v>
      </c>
      <c r="C1173" s="173"/>
      <c r="D1173" s="173"/>
    </row>
    <row r="1174" ht="15.75" customHeight="1">
      <c r="A1174" s="174" t="s">
        <v>1352</v>
      </c>
      <c r="B1174" s="184" t="s">
        <v>206</v>
      </c>
      <c r="C1174" s="170"/>
      <c r="D1174" s="170"/>
    </row>
    <row r="1175" ht="15.75" customHeight="1">
      <c r="A1175" s="168" t="s">
        <v>1767</v>
      </c>
      <c r="B1175" s="186" t="s">
        <v>206</v>
      </c>
      <c r="C1175" s="167"/>
      <c r="D1175" s="167"/>
    </row>
    <row r="1176" ht="15.75" customHeight="1">
      <c r="A1176" s="168" t="s">
        <v>1930</v>
      </c>
      <c r="B1176" s="184" t="s">
        <v>206</v>
      </c>
      <c r="C1176" s="167"/>
      <c r="D1176" s="167"/>
    </row>
    <row r="1177" ht="15.75" customHeight="1">
      <c r="A1177" s="174" t="s">
        <v>2190</v>
      </c>
      <c r="B1177" s="184" t="s">
        <v>763</v>
      </c>
      <c r="C1177" s="185" t="s">
        <v>2012</v>
      </c>
      <c r="D1177" s="180"/>
    </row>
    <row r="1178" ht="15.75" customHeight="1">
      <c r="A1178" s="174" t="s">
        <v>1312</v>
      </c>
      <c r="B1178" s="186" t="s">
        <v>763</v>
      </c>
      <c r="C1178" s="185"/>
      <c r="D1178" s="180"/>
    </row>
    <row r="1179" ht="15.75" customHeight="1">
      <c r="A1179" s="174" t="s">
        <v>1785</v>
      </c>
      <c r="B1179" s="184" t="s">
        <v>763</v>
      </c>
      <c r="C1179" s="185"/>
      <c r="D1179" s="180"/>
    </row>
    <row r="1180" ht="15.75" customHeight="1">
      <c r="A1180" s="168" t="s">
        <v>1932</v>
      </c>
      <c r="B1180" s="184" t="s">
        <v>763</v>
      </c>
      <c r="C1180" s="167"/>
      <c r="D1180" s="167"/>
    </row>
    <row r="1181" ht="15.75" customHeight="1">
      <c r="A1181" s="174" t="s">
        <v>2191</v>
      </c>
      <c r="B1181" s="184" t="s">
        <v>763</v>
      </c>
      <c r="C1181" s="180"/>
      <c r="D1181" s="180"/>
    </row>
    <row r="1182" ht="15.75" customHeight="1">
      <c r="A1182" s="165" t="s">
        <v>455</v>
      </c>
      <c r="B1182" s="207" t="s">
        <v>456</v>
      </c>
      <c r="C1182" s="194" t="s">
        <v>2127</v>
      </c>
      <c r="D1182" s="173"/>
    </row>
    <row r="1183" ht="15.75" customHeight="1">
      <c r="A1183" s="165" t="s">
        <v>766</v>
      </c>
      <c r="B1183" s="165" t="s">
        <v>456</v>
      </c>
      <c r="C1183" s="194"/>
      <c r="D1183" s="173"/>
    </row>
    <row r="1184" ht="15.75" customHeight="1">
      <c r="A1184" s="165" t="s">
        <v>1000</v>
      </c>
      <c r="B1184" s="165" t="s">
        <v>456</v>
      </c>
      <c r="C1184" s="194"/>
      <c r="D1184" s="173"/>
    </row>
    <row r="1185" ht="15.75" customHeight="1">
      <c r="A1185" s="165" t="s">
        <v>1139</v>
      </c>
      <c r="B1185" s="165" t="s">
        <v>456</v>
      </c>
      <c r="C1185" s="194"/>
      <c r="D1185" s="173"/>
    </row>
    <row r="1186" ht="15.75" customHeight="1">
      <c r="A1186" s="174" t="s">
        <v>201</v>
      </c>
      <c r="B1186" s="186" t="s">
        <v>202</v>
      </c>
      <c r="C1186" s="185" t="s">
        <v>2012</v>
      </c>
      <c r="D1186" s="180"/>
    </row>
    <row r="1187" ht="15.75" customHeight="1">
      <c r="A1187" s="168" t="s">
        <v>713</v>
      </c>
      <c r="B1187" s="186" t="s">
        <v>202</v>
      </c>
      <c r="C1187" s="173"/>
      <c r="D1187" s="173"/>
    </row>
    <row r="1188" ht="15.75" customHeight="1">
      <c r="A1188" s="174" t="s">
        <v>1049</v>
      </c>
      <c r="B1188" s="172" t="s">
        <v>202</v>
      </c>
      <c r="C1188" s="180"/>
      <c r="D1188" s="180"/>
    </row>
    <row r="1189" ht="15.75" customHeight="1">
      <c r="A1189" s="174" t="s">
        <v>1346</v>
      </c>
      <c r="B1189" s="180" t="s">
        <v>202</v>
      </c>
      <c r="C1189" s="180"/>
      <c r="D1189" s="180"/>
    </row>
    <row r="1190" ht="15.75" customHeight="1">
      <c r="A1190" s="168" t="s">
        <v>1550</v>
      </c>
      <c r="B1190" s="175" t="s">
        <v>202</v>
      </c>
      <c r="C1190" s="173"/>
      <c r="D1190" s="173"/>
    </row>
    <row r="1191" ht="15.75" customHeight="1">
      <c r="A1191" s="174" t="s">
        <v>677</v>
      </c>
      <c r="B1191" s="174" t="s">
        <v>678</v>
      </c>
      <c r="C1191" s="185" t="s">
        <v>2012</v>
      </c>
      <c r="D1191" s="180"/>
    </row>
    <row r="1192" ht="15.75" customHeight="1">
      <c r="A1192" s="168" t="s">
        <v>2192</v>
      </c>
      <c r="B1192" s="168" t="s">
        <v>678</v>
      </c>
      <c r="C1192" s="173"/>
      <c r="D1192" s="173"/>
    </row>
    <row r="1193" ht="15.75" customHeight="1">
      <c r="A1193" s="168" t="s">
        <v>929</v>
      </c>
      <c r="B1193" s="186" t="s">
        <v>678</v>
      </c>
      <c r="C1193" s="173"/>
      <c r="D1193" s="173"/>
    </row>
    <row r="1194" ht="15.75" customHeight="1">
      <c r="A1194" s="174" t="s">
        <v>1009</v>
      </c>
      <c r="B1194" s="186" t="s">
        <v>678</v>
      </c>
      <c r="C1194" s="180"/>
      <c r="D1194" s="180"/>
    </row>
    <row r="1195" ht="15.75" customHeight="1">
      <c r="A1195" s="174" t="s">
        <v>1231</v>
      </c>
      <c r="B1195" s="186" t="s">
        <v>678</v>
      </c>
      <c r="C1195" s="173"/>
      <c r="D1195" s="173"/>
    </row>
    <row r="1196" ht="15.75" customHeight="1">
      <c r="A1196" s="174" t="s">
        <v>1569</v>
      </c>
      <c r="B1196" s="186" t="s">
        <v>678</v>
      </c>
      <c r="C1196" s="180"/>
      <c r="D1196" s="180"/>
    </row>
    <row r="1197" ht="15.75" customHeight="1">
      <c r="A1197" s="168" t="s">
        <v>2193</v>
      </c>
      <c r="B1197" s="184" t="s">
        <v>194</v>
      </c>
      <c r="C1197" s="194" t="s">
        <v>2012</v>
      </c>
      <c r="D1197" s="173"/>
    </row>
    <row r="1198" ht="15.75" customHeight="1">
      <c r="A1198" s="168" t="s">
        <v>504</v>
      </c>
      <c r="B1198" s="184" t="s">
        <v>194</v>
      </c>
      <c r="C1198" s="180"/>
      <c r="D1198" s="180"/>
    </row>
    <row r="1199" ht="15.75" customHeight="1">
      <c r="A1199" s="174" t="s">
        <v>2194</v>
      </c>
      <c r="B1199" s="186" t="s">
        <v>194</v>
      </c>
      <c r="C1199" s="180"/>
      <c r="D1199" s="180"/>
    </row>
    <row r="1200" ht="15.75" customHeight="1">
      <c r="A1200" s="174" t="s">
        <v>1152</v>
      </c>
      <c r="B1200" s="189" t="s">
        <v>194</v>
      </c>
      <c r="C1200" s="170"/>
      <c r="D1200" s="170"/>
    </row>
    <row r="1201" ht="15.75" customHeight="1">
      <c r="A1201" s="174" t="s">
        <v>1240</v>
      </c>
      <c r="B1201" s="189" t="s">
        <v>194</v>
      </c>
      <c r="C1201" s="170"/>
      <c r="D1201" s="170"/>
    </row>
    <row r="1202" ht="15.75" customHeight="1">
      <c r="A1202" s="168" t="s">
        <v>1314</v>
      </c>
      <c r="B1202" s="189" t="s">
        <v>194</v>
      </c>
      <c r="C1202" s="167"/>
      <c r="D1202" s="167"/>
    </row>
    <row r="1203" ht="15.75" customHeight="1">
      <c r="A1203" s="174" t="s">
        <v>168</v>
      </c>
      <c r="B1203" s="184" t="s">
        <v>169</v>
      </c>
      <c r="C1203" s="185" t="s">
        <v>2012</v>
      </c>
      <c r="D1203" s="180"/>
    </row>
    <row r="1204" ht="15.75" customHeight="1">
      <c r="A1204" s="168" t="s">
        <v>1189</v>
      </c>
      <c r="B1204" s="184" t="s">
        <v>169</v>
      </c>
      <c r="C1204" s="173"/>
      <c r="D1204" s="173"/>
    </row>
    <row r="1205" ht="15.75" customHeight="1">
      <c r="A1205" s="168" t="s">
        <v>1597</v>
      </c>
      <c r="B1205" s="184" t="s">
        <v>169</v>
      </c>
      <c r="C1205" s="173"/>
      <c r="D1205" s="173"/>
    </row>
    <row r="1206" ht="15.75" customHeight="1">
      <c r="A1206" s="174" t="s">
        <v>1837</v>
      </c>
      <c r="B1206" s="186" t="s">
        <v>169</v>
      </c>
      <c r="C1206" s="180"/>
      <c r="D1206" s="180"/>
    </row>
    <row r="1207" ht="15.75" customHeight="1">
      <c r="A1207" s="174" t="s">
        <v>571</v>
      </c>
      <c r="B1207" s="186" t="s">
        <v>572</v>
      </c>
      <c r="C1207" s="192" t="s">
        <v>2012</v>
      </c>
      <c r="D1207" s="167"/>
    </row>
    <row r="1208" ht="15.75" customHeight="1">
      <c r="A1208" s="174" t="s">
        <v>573</v>
      </c>
      <c r="B1208" s="184" t="s">
        <v>572</v>
      </c>
      <c r="C1208" s="192"/>
      <c r="D1208" s="167"/>
    </row>
    <row r="1209" ht="15.75" customHeight="1">
      <c r="A1209" s="174" t="s">
        <v>577</v>
      </c>
      <c r="B1209" s="184" t="s">
        <v>572</v>
      </c>
      <c r="C1209" s="192"/>
      <c r="D1209" s="167"/>
    </row>
    <row r="1210" ht="15.75" customHeight="1">
      <c r="A1210" s="174" t="s">
        <v>751</v>
      </c>
      <c r="B1210" s="184" t="s">
        <v>572</v>
      </c>
      <c r="C1210" s="192"/>
      <c r="D1210" s="167"/>
    </row>
    <row r="1211" ht="15.75" customHeight="1">
      <c r="A1211" s="174" t="s">
        <v>881</v>
      </c>
      <c r="B1211" s="184" t="s">
        <v>572</v>
      </c>
      <c r="C1211" s="192"/>
      <c r="D1211" s="167"/>
    </row>
    <row r="1212" ht="15.75" customHeight="1">
      <c r="A1212" s="174" t="s">
        <v>1476</v>
      </c>
      <c r="B1212" s="184" t="s">
        <v>572</v>
      </c>
      <c r="C1212" s="192"/>
      <c r="D1212" s="167"/>
    </row>
    <row r="1213" ht="15.75" customHeight="1">
      <c r="A1213" s="174" t="s">
        <v>210</v>
      </c>
      <c r="B1213" s="184" t="s">
        <v>211</v>
      </c>
      <c r="C1213" s="185" t="s">
        <v>2012</v>
      </c>
      <c r="D1213" s="180"/>
    </row>
    <row r="1214" ht="15.75" customHeight="1">
      <c r="A1214" s="174" t="s">
        <v>436</v>
      </c>
      <c r="B1214" s="184" t="s">
        <v>211</v>
      </c>
      <c r="C1214" s="185"/>
      <c r="D1214" s="180"/>
    </row>
    <row r="1215" ht="15.75" customHeight="1">
      <c r="A1215" s="174" t="s">
        <v>948</v>
      </c>
      <c r="B1215" s="184" t="s">
        <v>211</v>
      </c>
      <c r="C1215" s="185"/>
      <c r="D1215" s="180"/>
    </row>
    <row r="1216" ht="15.75" customHeight="1">
      <c r="A1216" s="174" t="s">
        <v>2195</v>
      </c>
      <c r="B1216" s="184" t="s">
        <v>211</v>
      </c>
      <c r="C1216" s="185"/>
      <c r="D1216" s="180"/>
    </row>
    <row r="1217" ht="15.75" customHeight="1">
      <c r="A1217" s="174" t="s">
        <v>667</v>
      </c>
      <c r="B1217" s="184" t="s">
        <v>668</v>
      </c>
      <c r="C1217" s="194" t="s">
        <v>2109</v>
      </c>
      <c r="D1217" s="180"/>
    </row>
    <row r="1218" ht="15.75" customHeight="1">
      <c r="A1218" s="174" t="s">
        <v>743</v>
      </c>
      <c r="B1218" s="184" t="s">
        <v>668</v>
      </c>
      <c r="C1218" s="173"/>
      <c r="D1218" s="173"/>
    </row>
    <row r="1219" ht="15.75" customHeight="1">
      <c r="A1219" s="168" t="s">
        <v>142</v>
      </c>
      <c r="B1219" s="166" t="s">
        <v>619</v>
      </c>
      <c r="C1219" s="192" t="s">
        <v>2029</v>
      </c>
      <c r="D1219" s="167"/>
    </row>
    <row r="1220" ht="15.75" customHeight="1">
      <c r="A1220" s="174" t="s">
        <v>618</v>
      </c>
      <c r="B1220" s="174" t="s">
        <v>619</v>
      </c>
      <c r="C1220" s="180"/>
      <c r="D1220" s="180"/>
    </row>
    <row r="1221" ht="15.75" customHeight="1">
      <c r="A1221" s="168" t="s">
        <v>987</v>
      </c>
      <c r="B1221" s="166" t="s">
        <v>619</v>
      </c>
      <c r="C1221" s="180"/>
      <c r="D1221" s="180"/>
    </row>
    <row r="1222" ht="15.75" customHeight="1">
      <c r="A1222" s="174" t="s">
        <v>1014</v>
      </c>
      <c r="B1222" s="174" t="s">
        <v>619</v>
      </c>
      <c r="C1222" s="173"/>
      <c r="D1222" s="173"/>
    </row>
    <row r="1223" ht="15.75" customHeight="1">
      <c r="A1223" s="168" t="s">
        <v>1072</v>
      </c>
      <c r="B1223" s="166" t="s">
        <v>619</v>
      </c>
      <c r="C1223" s="180"/>
      <c r="D1223" s="180"/>
    </row>
    <row r="1224" ht="15.75" customHeight="1">
      <c r="A1224" s="174" t="s">
        <v>1373</v>
      </c>
      <c r="B1224" s="174" t="s">
        <v>619</v>
      </c>
      <c r="C1224" s="180"/>
      <c r="D1224" s="180"/>
    </row>
    <row r="1225" ht="15.75" customHeight="1">
      <c r="A1225" s="168" t="s">
        <v>2196</v>
      </c>
      <c r="B1225" s="174" t="s">
        <v>619</v>
      </c>
      <c r="C1225" s="173"/>
      <c r="D1225" s="173"/>
    </row>
    <row r="1226" ht="15.75" customHeight="1">
      <c r="A1226" s="174" t="s">
        <v>878</v>
      </c>
      <c r="B1226" s="184" t="s">
        <v>879</v>
      </c>
      <c r="C1226" s="180" t="s">
        <v>2012</v>
      </c>
      <c r="D1226" s="180"/>
    </row>
    <row r="1227" ht="15.75" customHeight="1">
      <c r="A1227" s="168" t="s">
        <v>1498</v>
      </c>
      <c r="B1227" s="184" t="s">
        <v>879</v>
      </c>
      <c r="C1227" s="173"/>
      <c r="D1227" s="173"/>
    </row>
    <row r="1228" ht="15.75" customHeight="1">
      <c r="A1228" s="174" t="s">
        <v>1523</v>
      </c>
      <c r="B1228" s="184" t="s">
        <v>879</v>
      </c>
      <c r="C1228" s="180"/>
      <c r="D1228" s="180"/>
    </row>
    <row r="1229" ht="15.75" customHeight="1">
      <c r="A1229" s="174" t="s">
        <v>2197</v>
      </c>
      <c r="B1229" s="184" t="s">
        <v>879</v>
      </c>
      <c r="C1229" s="180"/>
      <c r="D1229" s="180"/>
    </row>
    <row r="1230" ht="15.75" customHeight="1">
      <c r="A1230" s="174" t="s">
        <v>2198</v>
      </c>
      <c r="B1230" s="184" t="s">
        <v>879</v>
      </c>
      <c r="C1230" s="180"/>
      <c r="D1230" s="180"/>
    </row>
    <row r="1231" ht="15.75" customHeight="1">
      <c r="A1231" s="168" t="s">
        <v>1758</v>
      </c>
      <c r="B1231" s="184" t="s">
        <v>879</v>
      </c>
      <c r="C1231" s="173"/>
      <c r="D1231" s="173"/>
    </row>
    <row r="1232" ht="15.75" customHeight="1">
      <c r="A1232" s="168" t="s">
        <v>380</v>
      </c>
      <c r="B1232" s="184" t="s">
        <v>143</v>
      </c>
      <c r="C1232" s="173" t="s">
        <v>2012</v>
      </c>
      <c r="D1232" s="173"/>
    </row>
    <row r="1233" ht="15.75" customHeight="1">
      <c r="A1233" s="174" t="s">
        <v>383</v>
      </c>
      <c r="B1233" s="184" t="s">
        <v>143</v>
      </c>
      <c r="C1233" s="180"/>
      <c r="D1233" s="180"/>
    </row>
    <row r="1234" ht="15.75" customHeight="1">
      <c r="A1234" s="168" t="s">
        <v>394</v>
      </c>
      <c r="B1234" s="184" t="s">
        <v>143</v>
      </c>
      <c r="C1234" s="173"/>
      <c r="D1234" s="173"/>
    </row>
    <row r="1235" ht="15.75" customHeight="1">
      <c r="A1235" s="174" t="s">
        <v>414</v>
      </c>
      <c r="B1235" s="184" t="s">
        <v>143</v>
      </c>
      <c r="C1235" s="180"/>
      <c r="D1235" s="180"/>
    </row>
    <row r="1236" ht="15.75" customHeight="1">
      <c r="A1236" s="168" t="s">
        <v>415</v>
      </c>
      <c r="B1236" s="184" t="s">
        <v>143</v>
      </c>
      <c r="C1236" s="173"/>
      <c r="D1236" s="173"/>
    </row>
    <row r="1237" ht="15.75" customHeight="1">
      <c r="A1237" s="168" t="s">
        <v>416</v>
      </c>
      <c r="B1237" s="184" t="s">
        <v>143</v>
      </c>
      <c r="C1237" s="173"/>
      <c r="D1237" s="173"/>
    </row>
    <row r="1238" ht="15.75" customHeight="1">
      <c r="A1238" s="168" t="s">
        <v>1828</v>
      </c>
      <c r="B1238" s="184" t="s">
        <v>143</v>
      </c>
      <c r="C1238" s="173"/>
      <c r="D1238" s="173"/>
    </row>
    <row r="1239" ht="15.75" customHeight="1">
      <c r="A1239" s="174" t="s">
        <v>275</v>
      </c>
      <c r="B1239" s="190" t="s">
        <v>276</v>
      </c>
      <c r="C1239" s="170" t="s">
        <v>2012</v>
      </c>
      <c r="D1239" s="170"/>
    </row>
    <row r="1240" ht="15.75" customHeight="1">
      <c r="A1240" s="174" t="s">
        <v>351</v>
      </c>
      <c r="B1240" s="184" t="s">
        <v>276</v>
      </c>
      <c r="C1240" s="180"/>
      <c r="D1240" s="180"/>
    </row>
    <row r="1241" ht="15.75" customHeight="1">
      <c r="A1241" s="168" t="s">
        <v>353</v>
      </c>
      <c r="B1241" s="190" t="s">
        <v>276</v>
      </c>
      <c r="C1241" s="173"/>
      <c r="D1241" s="173"/>
    </row>
    <row r="1242" ht="15.75" customHeight="1">
      <c r="A1242" s="168" t="s">
        <v>1080</v>
      </c>
      <c r="B1242" s="184" t="s">
        <v>276</v>
      </c>
      <c r="C1242" s="173"/>
      <c r="D1242" s="173"/>
    </row>
    <row r="1243" ht="15.75" customHeight="1">
      <c r="A1243" s="168" t="s">
        <v>1330</v>
      </c>
      <c r="B1243" s="190" t="s">
        <v>276</v>
      </c>
      <c r="C1243" s="173"/>
      <c r="D1243" s="173"/>
    </row>
    <row r="1244" ht="15.75" customHeight="1">
      <c r="A1244" s="174" t="s">
        <v>1363</v>
      </c>
      <c r="B1244" s="184" t="s">
        <v>276</v>
      </c>
      <c r="C1244" s="180"/>
      <c r="D1244" s="180"/>
    </row>
    <row r="1245" ht="15.75" customHeight="1">
      <c r="A1245" s="174" t="s">
        <v>391</v>
      </c>
      <c r="B1245" s="190" t="s">
        <v>392</v>
      </c>
      <c r="C1245" s="170" t="s">
        <v>2012</v>
      </c>
      <c r="D1245" s="170"/>
    </row>
    <row r="1246" ht="15.75" customHeight="1">
      <c r="A1246" s="174" t="s">
        <v>2199</v>
      </c>
      <c r="B1246" s="190" t="s">
        <v>392</v>
      </c>
      <c r="C1246" s="180"/>
      <c r="D1246" s="180"/>
    </row>
    <row r="1247" ht="15.75" customHeight="1">
      <c r="A1247" s="168" t="s">
        <v>1206</v>
      </c>
      <c r="B1247" s="184" t="s">
        <v>392</v>
      </c>
      <c r="C1247" s="173"/>
      <c r="D1247" s="173"/>
    </row>
    <row r="1248" ht="15.75" customHeight="1">
      <c r="A1248" s="166" t="s">
        <v>1584</v>
      </c>
      <c r="B1248" s="190" t="s">
        <v>392</v>
      </c>
      <c r="C1248" s="173"/>
      <c r="D1248" s="173"/>
    </row>
    <row r="1249" ht="15.75" customHeight="1">
      <c r="A1249" s="166" t="s">
        <v>1648</v>
      </c>
      <c r="B1249" s="190" t="s">
        <v>392</v>
      </c>
      <c r="C1249" s="173"/>
      <c r="D1249" s="173"/>
    </row>
    <row r="1250" ht="15.75" customHeight="1">
      <c r="A1250" s="168" t="s">
        <v>1949</v>
      </c>
      <c r="B1250" s="184" t="s">
        <v>392</v>
      </c>
      <c r="C1250" s="173"/>
      <c r="D1250" s="173"/>
    </row>
    <row r="1251" ht="15.75" customHeight="1">
      <c r="A1251" s="174" t="s">
        <v>2200</v>
      </c>
      <c r="B1251" s="184" t="s">
        <v>230</v>
      </c>
      <c r="C1251" s="185" t="s">
        <v>2201</v>
      </c>
      <c r="D1251" s="180"/>
    </row>
    <row r="1252" ht="15.75" customHeight="1">
      <c r="A1252" s="174" t="s">
        <v>2202</v>
      </c>
      <c r="B1252" s="184" t="s">
        <v>230</v>
      </c>
      <c r="C1252" s="180"/>
      <c r="D1252" s="180"/>
    </row>
    <row r="1253" ht="15.75" customHeight="1">
      <c r="A1253" s="174" t="s">
        <v>2203</v>
      </c>
      <c r="B1253" s="184" t="s">
        <v>230</v>
      </c>
      <c r="C1253" s="180"/>
      <c r="D1253" s="180"/>
    </row>
    <row r="1254" ht="15.75" customHeight="1">
      <c r="A1254" s="168" t="s">
        <v>2204</v>
      </c>
      <c r="B1254" s="184" t="s">
        <v>230</v>
      </c>
      <c r="C1254" s="167"/>
      <c r="D1254" s="167"/>
    </row>
    <row r="1255" ht="15.75" customHeight="1">
      <c r="A1255" s="168" t="s">
        <v>1223</v>
      </c>
      <c r="B1255" s="184" t="s">
        <v>230</v>
      </c>
      <c r="C1255" s="167"/>
      <c r="D1255" s="167"/>
    </row>
    <row r="1256" ht="15.75" customHeight="1">
      <c r="A1256" s="174" t="s">
        <v>1264</v>
      </c>
      <c r="B1256" s="184" t="s">
        <v>230</v>
      </c>
      <c r="C1256" s="170"/>
      <c r="D1256" s="170"/>
    </row>
    <row r="1257" ht="15.75" customHeight="1">
      <c r="A1257" s="174" t="s">
        <v>1480</v>
      </c>
      <c r="B1257" s="184" t="s">
        <v>230</v>
      </c>
      <c r="C1257" s="180"/>
      <c r="D1257" s="180"/>
    </row>
    <row r="1258" ht="15.75" customHeight="1">
      <c r="A1258" s="174" t="s">
        <v>2205</v>
      </c>
      <c r="B1258" s="184" t="s">
        <v>230</v>
      </c>
      <c r="C1258" s="180"/>
      <c r="D1258" s="180"/>
    </row>
    <row r="1259" ht="15.75" customHeight="1">
      <c r="A1259" s="168" t="s">
        <v>2206</v>
      </c>
      <c r="B1259" s="184" t="s">
        <v>230</v>
      </c>
      <c r="C1259" s="173"/>
      <c r="D1259" s="173"/>
    </row>
    <row r="1260" ht="15.75" customHeight="1">
      <c r="A1260" s="168" t="s">
        <v>1601</v>
      </c>
      <c r="B1260" s="184" t="s">
        <v>230</v>
      </c>
      <c r="C1260" s="167"/>
      <c r="D1260" s="167"/>
    </row>
    <row r="1261" ht="15.75" customHeight="1">
      <c r="A1261" s="174" t="s">
        <v>2207</v>
      </c>
      <c r="B1261" s="184" t="s">
        <v>230</v>
      </c>
      <c r="C1261" s="180"/>
      <c r="D1261" s="180"/>
    </row>
    <row r="1262" ht="15.75" customHeight="1">
      <c r="A1262" s="168" t="s">
        <v>1775</v>
      </c>
      <c r="B1262" s="184" t="s">
        <v>230</v>
      </c>
      <c r="C1262" s="167"/>
      <c r="D1262" s="167"/>
    </row>
    <row r="1263" ht="15.75" customHeight="1">
      <c r="A1263" s="168" t="s">
        <v>1895</v>
      </c>
      <c r="B1263" s="184" t="s">
        <v>230</v>
      </c>
      <c r="C1263" s="167"/>
      <c r="D1263" s="167"/>
    </row>
    <row r="1264" ht="15.75" customHeight="1">
      <c r="A1264" s="174" t="s">
        <v>2208</v>
      </c>
      <c r="B1264" s="184" t="s">
        <v>230</v>
      </c>
      <c r="C1264" s="180"/>
      <c r="D1264" s="180"/>
    </row>
    <row r="1265" ht="15.75" customHeight="1">
      <c r="A1265" s="174" t="s">
        <v>69</v>
      </c>
      <c r="B1265" s="190" t="s">
        <v>70</v>
      </c>
      <c r="C1265" s="191" t="s">
        <v>2114</v>
      </c>
      <c r="D1265" s="170"/>
    </row>
    <row r="1266" ht="15.75" customHeight="1">
      <c r="A1266" s="208" t="s">
        <v>174</v>
      </c>
      <c r="B1266" s="184" t="s">
        <v>70</v>
      </c>
      <c r="C1266" s="167"/>
      <c r="D1266" s="167"/>
    </row>
    <row r="1267" ht="15.75" customHeight="1">
      <c r="A1267" s="188" t="s">
        <v>326</v>
      </c>
      <c r="B1267" s="190" t="s">
        <v>70</v>
      </c>
      <c r="C1267" s="180"/>
      <c r="D1267" s="180"/>
    </row>
    <row r="1268" ht="15.75" customHeight="1">
      <c r="A1268" s="188" t="s">
        <v>498</v>
      </c>
      <c r="B1268" s="184" t="s">
        <v>70</v>
      </c>
      <c r="C1268" s="170"/>
      <c r="D1268" s="170"/>
    </row>
    <row r="1269" ht="15.75" customHeight="1">
      <c r="A1269" s="174" t="s">
        <v>610</v>
      </c>
      <c r="B1269" s="190" t="s">
        <v>70</v>
      </c>
      <c r="C1269" s="180"/>
      <c r="D1269" s="180"/>
    </row>
    <row r="1270" ht="15.75" customHeight="1">
      <c r="A1270" s="174" t="s">
        <v>640</v>
      </c>
      <c r="B1270" s="184" t="s">
        <v>70</v>
      </c>
      <c r="C1270" s="180"/>
      <c r="D1270" s="180"/>
    </row>
    <row r="1271" ht="15.75" customHeight="1">
      <c r="A1271" s="188" t="s">
        <v>640</v>
      </c>
      <c r="B1271" s="190" t="s">
        <v>70</v>
      </c>
      <c r="C1271" s="180"/>
      <c r="D1271" s="180"/>
    </row>
    <row r="1272" ht="15.75" customHeight="1">
      <c r="A1272" s="188" t="s">
        <v>642</v>
      </c>
      <c r="B1272" s="184" t="s">
        <v>70</v>
      </c>
      <c r="C1272" s="173"/>
      <c r="D1272" s="173"/>
    </row>
    <row r="1273" ht="15.75" customHeight="1">
      <c r="A1273" s="188" t="s">
        <v>687</v>
      </c>
      <c r="B1273" s="190" t="s">
        <v>70</v>
      </c>
      <c r="C1273" s="180"/>
      <c r="D1273" s="180"/>
    </row>
    <row r="1274" ht="15.75" customHeight="1">
      <c r="A1274" s="188" t="s">
        <v>829</v>
      </c>
      <c r="B1274" s="184" t="s">
        <v>70</v>
      </c>
      <c r="C1274" s="180"/>
      <c r="D1274" s="180"/>
    </row>
    <row r="1275" ht="15.75" customHeight="1">
      <c r="A1275" s="209" t="s">
        <v>2209</v>
      </c>
      <c r="B1275" s="190" t="s">
        <v>70</v>
      </c>
      <c r="C1275" s="173"/>
      <c r="D1275" s="173"/>
    </row>
    <row r="1276" ht="15.75" customHeight="1">
      <c r="A1276" s="209" t="s">
        <v>939</v>
      </c>
      <c r="B1276" s="184" t="s">
        <v>70</v>
      </c>
      <c r="C1276" s="173"/>
      <c r="D1276" s="173"/>
    </row>
    <row r="1277" ht="15.75" customHeight="1">
      <c r="A1277" s="188" t="s">
        <v>1006</v>
      </c>
      <c r="B1277" s="190" t="s">
        <v>70</v>
      </c>
      <c r="C1277" s="180"/>
      <c r="D1277" s="180"/>
    </row>
    <row r="1278" ht="15.75" customHeight="1">
      <c r="A1278" s="168" t="s">
        <v>1383</v>
      </c>
      <c r="B1278" s="184" t="s">
        <v>70</v>
      </c>
      <c r="C1278" s="167"/>
      <c r="D1278" s="167"/>
    </row>
    <row r="1279" ht="15.75" customHeight="1">
      <c r="A1279" s="168" t="s">
        <v>1411</v>
      </c>
      <c r="B1279" s="190" t="s">
        <v>70</v>
      </c>
      <c r="C1279" s="167"/>
      <c r="D1279" s="167"/>
    </row>
    <row r="1280" ht="15.75" customHeight="1">
      <c r="A1280" s="174" t="s">
        <v>1491</v>
      </c>
      <c r="B1280" s="184" t="s">
        <v>70</v>
      </c>
      <c r="C1280" s="170"/>
      <c r="D1280" s="170"/>
    </row>
    <row r="1281" ht="15.75" customHeight="1">
      <c r="A1281" s="174" t="s">
        <v>1542</v>
      </c>
      <c r="B1281" s="190" t="s">
        <v>70</v>
      </c>
      <c r="C1281" s="173"/>
      <c r="D1281" s="173"/>
    </row>
    <row r="1282" ht="15.75" customHeight="1">
      <c r="A1282" s="174" t="s">
        <v>285</v>
      </c>
      <c r="B1282" s="171" t="s">
        <v>286</v>
      </c>
      <c r="C1282" s="191" t="s">
        <v>286</v>
      </c>
      <c r="D1282" s="170"/>
    </row>
    <row r="1283" ht="15.75" customHeight="1">
      <c r="A1283" s="174" t="s">
        <v>525</v>
      </c>
      <c r="B1283" s="171" t="s">
        <v>286</v>
      </c>
      <c r="C1283" s="173"/>
      <c r="D1283" s="173"/>
    </row>
    <row r="1284" ht="15.75" customHeight="1">
      <c r="A1284" s="174" t="s">
        <v>569</v>
      </c>
      <c r="B1284" s="171" t="s">
        <v>286</v>
      </c>
      <c r="C1284" s="180"/>
      <c r="D1284" s="180"/>
    </row>
    <row r="1285" ht="15.75" customHeight="1">
      <c r="A1285" s="174" t="s">
        <v>570</v>
      </c>
      <c r="B1285" s="171" t="s">
        <v>286</v>
      </c>
      <c r="C1285" s="180"/>
      <c r="D1285" s="180"/>
    </row>
    <row r="1286" ht="15.75" customHeight="1">
      <c r="A1286" s="174" t="s">
        <v>1430</v>
      </c>
      <c r="B1286" s="171" t="s">
        <v>286</v>
      </c>
      <c r="C1286" s="167"/>
      <c r="D1286" s="167"/>
    </row>
    <row r="1287" ht="15.75" customHeight="1">
      <c r="A1287" s="168" t="s">
        <v>1433</v>
      </c>
      <c r="B1287" s="171" t="s">
        <v>286</v>
      </c>
      <c r="C1287" s="173"/>
      <c r="D1287" s="173"/>
    </row>
    <row r="1288" ht="15.75" customHeight="1">
      <c r="A1288" s="174" t="s">
        <v>1997</v>
      </c>
      <c r="B1288" s="171" t="s">
        <v>286</v>
      </c>
      <c r="C1288" s="180"/>
      <c r="D1288" s="180"/>
    </row>
    <row r="1289" ht="15.75" customHeight="1">
      <c r="A1289" s="168" t="s">
        <v>1073</v>
      </c>
      <c r="B1289" s="169" t="s">
        <v>1074</v>
      </c>
      <c r="C1289" s="194" t="s">
        <v>1074</v>
      </c>
      <c r="D1289" s="173"/>
    </row>
    <row r="1290" ht="15.75" customHeight="1">
      <c r="A1290" s="168" t="s">
        <v>1547</v>
      </c>
      <c r="B1290" s="169" t="s">
        <v>1074</v>
      </c>
      <c r="C1290" s="173"/>
      <c r="D1290" s="173"/>
    </row>
    <row r="1291" ht="15.75" customHeight="1">
      <c r="A1291" s="168" t="s">
        <v>54</v>
      </c>
      <c r="B1291" s="171" t="s">
        <v>55</v>
      </c>
      <c r="C1291" s="194" t="s">
        <v>55</v>
      </c>
      <c r="D1291" s="173"/>
    </row>
    <row r="1292" ht="15.75" customHeight="1">
      <c r="A1292" s="168" t="s">
        <v>703</v>
      </c>
      <c r="B1292" s="171" t="s">
        <v>55</v>
      </c>
      <c r="C1292" s="173"/>
      <c r="D1292" s="173"/>
    </row>
    <row r="1293" ht="15.75" customHeight="1">
      <c r="A1293" s="168" t="s">
        <v>961</v>
      </c>
      <c r="B1293" s="171" t="s">
        <v>55</v>
      </c>
      <c r="C1293" s="173"/>
      <c r="D1293" s="173"/>
    </row>
    <row r="1294" ht="15.75" customHeight="1">
      <c r="A1294" s="168" t="s">
        <v>1416</v>
      </c>
      <c r="B1294" s="171" t="s">
        <v>55</v>
      </c>
      <c r="C1294" s="173"/>
      <c r="D1294" s="173"/>
    </row>
    <row r="1295" ht="15.75" customHeight="1">
      <c r="A1295" s="168" t="s">
        <v>1638</v>
      </c>
      <c r="B1295" s="171" t="s">
        <v>55</v>
      </c>
      <c r="C1295" s="173"/>
      <c r="D1295" s="173"/>
    </row>
    <row r="1296" ht="15.75" customHeight="1">
      <c r="A1296" s="168" t="s">
        <v>453</v>
      </c>
      <c r="B1296" s="171" t="s">
        <v>454</v>
      </c>
      <c r="C1296" s="194" t="s">
        <v>2012</v>
      </c>
      <c r="D1296" s="173"/>
    </row>
    <row r="1297" ht="15.75" customHeight="1">
      <c r="A1297" s="168" t="s">
        <v>624</v>
      </c>
      <c r="B1297" s="171" t="s">
        <v>454</v>
      </c>
      <c r="C1297" s="173"/>
      <c r="D1297" s="173"/>
    </row>
    <row r="1298" ht="15.75" customHeight="1">
      <c r="A1298" s="168" t="s">
        <v>2210</v>
      </c>
      <c r="B1298" s="171" t="s">
        <v>454</v>
      </c>
      <c r="C1298" s="173"/>
      <c r="D1298" s="173"/>
    </row>
    <row r="1299" ht="15.75" customHeight="1">
      <c r="A1299" s="168" t="s">
        <v>1061</v>
      </c>
      <c r="B1299" s="171" t="s">
        <v>454</v>
      </c>
      <c r="C1299" s="173"/>
      <c r="D1299" s="173"/>
    </row>
    <row r="1300" ht="15.75" customHeight="1">
      <c r="A1300" s="168" t="s">
        <v>1162</v>
      </c>
      <c r="B1300" s="171" t="s">
        <v>454</v>
      </c>
      <c r="C1300" s="173"/>
      <c r="D1300" s="173"/>
    </row>
    <row r="1301" ht="15.75" customHeight="1">
      <c r="A1301" s="168" t="s">
        <v>1166</v>
      </c>
      <c r="B1301" s="171" t="s">
        <v>454</v>
      </c>
      <c r="C1301" s="173"/>
      <c r="D1301" s="173"/>
    </row>
    <row r="1302" ht="15.75" customHeight="1">
      <c r="A1302" s="168" t="s">
        <v>1254</v>
      </c>
      <c r="B1302" s="171" t="s">
        <v>454</v>
      </c>
      <c r="C1302" s="173"/>
      <c r="D1302" s="173"/>
    </row>
    <row r="1303" ht="15.75" customHeight="1">
      <c r="A1303" s="168" t="s">
        <v>2211</v>
      </c>
      <c r="B1303" s="171" t="s">
        <v>454</v>
      </c>
      <c r="C1303" s="173"/>
      <c r="D1303" s="173"/>
    </row>
    <row r="1304" ht="15.75" customHeight="1">
      <c r="A1304" s="168" t="s">
        <v>2212</v>
      </c>
      <c r="B1304" s="171" t="s">
        <v>454</v>
      </c>
      <c r="C1304" s="173"/>
      <c r="D1304" s="173"/>
    </row>
    <row r="1305" ht="15.75" customHeight="1">
      <c r="A1305" s="168" t="s">
        <v>1436</v>
      </c>
      <c r="B1305" s="171" t="s">
        <v>454</v>
      </c>
      <c r="C1305" s="173"/>
      <c r="D1305" s="173"/>
    </row>
    <row r="1306" ht="15.75" customHeight="1">
      <c r="A1306" s="168" t="s">
        <v>2213</v>
      </c>
      <c r="B1306" s="171" t="s">
        <v>454</v>
      </c>
      <c r="C1306" s="173"/>
      <c r="D1306" s="173"/>
    </row>
    <row r="1307" ht="15.75" customHeight="1">
      <c r="A1307" s="168" t="s">
        <v>1535</v>
      </c>
      <c r="B1307" s="171" t="s">
        <v>454</v>
      </c>
      <c r="C1307" s="173"/>
      <c r="D1307" s="173"/>
    </row>
    <row r="1308" ht="15.75" customHeight="1">
      <c r="A1308" s="168" t="s">
        <v>33</v>
      </c>
      <c r="B1308" s="171" t="s">
        <v>34</v>
      </c>
      <c r="C1308" s="194" t="s">
        <v>2012</v>
      </c>
      <c r="D1308" s="173"/>
    </row>
    <row r="1309" ht="15.75" customHeight="1">
      <c r="A1309" s="168" t="s">
        <v>39</v>
      </c>
      <c r="B1309" s="171" t="s">
        <v>34</v>
      </c>
      <c r="C1309" s="173"/>
      <c r="D1309" s="173"/>
    </row>
    <row r="1310" ht="15.75" customHeight="1">
      <c r="A1310" s="168" t="s">
        <v>301</v>
      </c>
      <c r="B1310" s="171" t="s">
        <v>34</v>
      </c>
      <c r="C1310" s="173"/>
      <c r="D1310" s="173"/>
    </row>
    <row r="1311" ht="15.75" customHeight="1">
      <c r="A1311" s="168" t="s">
        <v>478</v>
      </c>
      <c r="B1311" s="171" t="s">
        <v>34</v>
      </c>
      <c r="C1311" s="173"/>
      <c r="D1311" s="173"/>
    </row>
    <row r="1312" ht="15.75" customHeight="1">
      <c r="A1312" s="168" t="s">
        <v>481</v>
      </c>
      <c r="B1312" s="171" t="s">
        <v>34</v>
      </c>
      <c r="C1312" s="173"/>
      <c r="D1312" s="173"/>
    </row>
    <row r="1313" ht="15.75" customHeight="1">
      <c r="A1313" s="168" t="s">
        <v>646</v>
      </c>
      <c r="B1313" s="171" t="s">
        <v>34</v>
      </c>
      <c r="C1313" s="173"/>
      <c r="D1313" s="173"/>
    </row>
    <row r="1314" ht="15.75" customHeight="1">
      <c r="A1314" s="168" t="s">
        <v>721</v>
      </c>
      <c r="B1314" s="171" t="s">
        <v>34</v>
      </c>
      <c r="C1314" s="173"/>
      <c r="D1314" s="173"/>
    </row>
    <row r="1315" ht="15.75" customHeight="1">
      <c r="A1315" s="168" t="s">
        <v>846</v>
      </c>
      <c r="B1315" s="171" t="s">
        <v>34</v>
      </c>
      <c r="C1315" s="173"/>
      <c r="D1315" s="173"/>
    </row>
    <row r="1316" ht="15.75" customHeight="1">
      <c r="A1316" s="168" t="s">
        <v>894</v>
      </c>
      <c r="B1316" s="171" t="s">
        <v>34</v>
      </c>
      <c r="C1316" s="173"/>
      <c r="D1316" s="173"/>
    </row>
    <row r="1317" ht="15.75" customHeight="1">
      <c r="A1317" s="168" t="s">
        <v>924</v>
      </c>
      <c r="B1317" s="171" t="s">
        <v>34</v>
      </c>
      <c r="C1317" s="173"/>
      <c r="D1317" s="173"/>
    </row>
    <row r="1318" ht="15.75" customHeight="1">
      <c r="A1318" s="168" t="s">
        <v>1252</v>
      </c>
      <c r="B1318" s="171" t="s">
        <v>34</v>
      </c>
      <c r="C1318" s="173"/>
      <c r="D1318" s="173"/>
    </row>
    <row r="1319" ht="15.75" customHeight="1">
      <c r="A1319" s="168" t="s">
        <v>2214</v>
      </c>
      <c r="B1319" s="171" t="s">
        <v>34</v>
      </c>
      <c r="C1319" s="173"/>
      <c r="D1319" s="173"/>
    </row>
    <row r="1320" ht="15.75" customHeight="1">
      <c r="A1320" s="168" t="s">
        <v>1507</v>
      </c>
      <c r="B1320" s="171" t="s">
        <v>34</v>
      </c>
      <c r="C1320" s="173"/>
      <c r="D1320" s="173"/>
    </row>
    <row r="1321" ht="15.75" customHeight="1">
      <c r="A1321" s="168" t="s">
        <v>2215</v>
      </c>
      <c r="B1321" s="171" t="s">
        <v>27</v>
      </c>
      <c r="C1321" s="194" t="s">
        <v>2012</v>
      </c>
      <c r="D1321" s="173"/>
    </row>
    <row r="1322" ht="15.75" customHeight="1">
      <c r="A1322" s="168" t="s">
        <v>44</v>
      </c>
      <c r="B1322" s="171" t="s">
        <v>27</v>
      </c>
      <c r="C1322" s="173"/>
      <c r="D1322" s="173"/>
    </row>
    <row r="1323" ht="15.75" customHeight="1">
      <c r="A1323" s="168" t="s">
        <v>112</v>
      </c>
      <c r="B1323" s="171" t="s">
        <v>27</v>
      </c>
      <c r="C1323" s="173"/>
      <c r="D1323" s="173"/>
    </row>
    <row r="1324" ht="15.75" customHeight="1">
      <c r="A1324" s="168" t="s">
        <v>212</v>
      </c>
      <c r="B1324" s="171" t="s">
        <v>27</v>
      </c>
      <c r="C1324" s="173"/>
      <c r="D1324" s="173"/>
    </row>
    <row r="1325" ht="15.75" customHeight="1">
      <c r="A1325" s="168" t="s">
        <v>215</v>
      </c>
      <c r="B1325" s="171" t="s">
        <v>27</v>
      </c>
      <c r="C1325" s="173"/>
      <c r="D1325" s="173"/>
    </row>
    <row r="1326" ht="15.75" customHeight="1">
      <c r="A1326" s="168" t="s">
        <v>277</v>
      </c>
      <c r="B1326" s="171" t="s">
        <v>27</v>
      </c>
      <c r="C1326" s="173"/>
      <c r="D1326" s="173"/>
    </row>
    <row r="1327" ht="15.75" customHeight="1">
      <c r="A1327" s="168" t="s">
        <v>2216</v>
      </c>
      <c r="B1327" s="171" t="s">
        <v>27</v>
      </c>
      <c r="C1327" s="173"/>
      <c r="D1327" s="173"/>
    </row>
    <row r="1328" ht="15.75" customHeight="1">
      <c r="A1328" s="168" t="s">
        <v>467</v>
      </c>
      <c r="B1328" s="171" t="s">
        <v>27</v>
      </c>
      <c r="C1328" s="173"/>
      <c r="D1328" s="173"/>
    </row>
    <row r="1329" ht="15.75" customHeight="1">
      <c r="A1329" s="168" t="s">
        <v>697</v>
      </c>
      <c r="B1329" s="171" t="s">
        <v>27</v>
      </c>
      <c r="C1329" s="173"/>
      <c r="D1329" s="173"/>
    </row>
    <row r="1330" ht="15.75" customHeight="1">
      <c r="A1330" s="168" t="s">
        <v>730</v>
      </c>
      <c r="B1330" s="171" t="s">
        <v>27</v>
      </c>
      <c r="C1330" s="173"/>
      <c r="D1330" s="173"/>
    </row>
    <row r="1331" ht="15.75" customHeight="1">
      <c r="A1331" s="168" t="s">
        <v>814</v>
      </c>
      <c r="B1331" s="171" t="s">
        <v>27</v>
      </c>
      <c r="C1331" s="173"/>
      <c r="D1331" s="173"/>
    </row>
    <row r="1332" ht="15.75" customHeight="1">
      <c r="A1332" s="168" t="s">
        <v>1047</v>
      </c>
      <c r="B1332" s="171" t="s">
        <v>27</v>
      </c>
      <c r="C1332" s="173"/>
      <c r="D1332" s="173"/>
    </row>
    <row r="1333" ht="15.75" customHeight="1">
      <c r="A1333" s="168" t="s">
        <v>2217</v>
      </c>
      <c r="B1333" s="171" t="s">
        <v>27</v>
      </c>
      <c r="C1333" s="173"/>
      <c r="D1333" s="173"/>
    </row>
    <row r="1334" ht="15.75" customHeight="1">
      <c r="A1334" s="168" t="s">
        <v>1082</v>
      </c>
      <c r="B1334" s="171" t="s">
        <v>27</v>
      </c>
      <c r="C1334" s="173"/>
      <c r="D1334" s="173"/>
    </row>
    <row r="1335" ht="15.75" customHeight="1">
      <c r="A1335" s="168" t="s">
        <v>1086</v>
      </c>
      <c r="B1335" s="171" t="s">
        <v>27</v>
      </c>
      <c r="C1335" s="173"/>
      <c r="D1335" s="173"/>
    </row>
    <row r="1336" ht="15.75" customHeight="1">
      <c r="A1336" s="168" t="s">
        <v>1161</v>
      </c>
      <c r="B1336" s="171" t="s">
        <v>27</v>
      </c>
      <c r="C1336" s="173"/>
      <c r="D1336" s="173"/>
    </row>
    <row r="1337" ht="15.75" customHeight="1">
      <c r="A1337" s="168" t="s">
        <v>1233</v>
      </c>
      <c r="B1337" s="171" t="s">
        <v>27</v>
      </c>
      <c r="C1337" s="173"/>
      <c r="D1337" s="173"/>
    </row>
    <row r="1338" ht="15.75" customHeight="1">
      <c r="A1338" s="168" t="s">
        <v>1294</v>
      </c>
      <c r="B1338" s="171" t="s">
        <v>27</v>
      </c>
      <c r="C1338" s="173"/>
      <c r="D1338" s="173"/>
    </row>
    <row r="1339" ht="15.75" customHeight="1">
      <c r="A1339" s="168" t="s">
        <v>1294</v>
      </c>
      <c r="B1339" s="171" t="s">
        <v>27</v>
      </c>
      <c r="C1339" s="173"/>
      <c r="D1339" s="173"/>
    </row>
    <row r="1340" ht="15.75" customHeight="1">
      <c r="A1340" s="168" t="s">
        <v>1466</v>
      </c>
      <c r="B1340" s="171" t="s">
        <v>27</v>
      </c>
      <c r="C1340" s="173"/>
      <c r="D1340" s="173"/>
    </row>
    <row r="1341" ht="15.75" customHeight="1">
      <c r="A1341" s="168" t="s">
        <v>1533</v>
      </c>
      <c r="B1341" s="171" t="s">
        <v>27</v>
      </c>
      <c r="C1341" s="173"/>
      <c r="D1341" s="173"/>
    </row>
    <row r="1342" ht="15.75" customHeight="1">
      <c r="A1342" s="168" t="s">
        <v>1760</v>
      </c>
      <c r="B1342" s="171" t="s">
        <v>27</v>
      </c>
      <c r="C1342" s="173"/>
      <c r="D1342" s="173"/>
    </row>
    <row r="1343" ht="15.75" customHeight="1">
      <c r="A1343" s="168" t="s">
        <v>128</v>
      </c>
      <c r="B1343" s="171" t="s">
        <v>129</v>
      </c>
      <c r="C1343" s="194" t="s">
        <v>2029</v>
      </c>
      <c r="D1343" s="173"/>
    </row>
    <row r="1344" ht="15.75" customHeight="1">
      <c r="A1344" s="168" t="s">
        <v>2218</v>
      </c>
      <c r="B1344" s="171" t="s">
        <v>129</v>
      </c>
      <c r="C1344" s="173"/>
      <c r="D1344" s="173"/>
    </row>
    <row r="1345" ht="15.75" customHeight="1">
      <c r="A1345" s="168" t="s">
        <v>387</v>
      </c>
      <c r="B1345" s="171" t="s">
        <v>129</v>
      </c>
      <c r="C1345" s="173"/>
      <c r="D1345" s="173"/>
    </row>
    <row r="1346" ht="15.75" customHeight="1">
      <c r="A1346" s="168" t="s">
        <v>2219</v>
      </c>
      <c r="B1346" s="171" t="s">
        <v>129</v>
      </c>
      <c r="C1346" s="173"/>
      <c r="D1346" s="173"/>
    </row>
    <row r="1347" ht="15.75" customHeight="1">
      <c r="A1347" s="168" t="s">
        <v>523</v>
      </c>
      <c r="B1347" s="171" t="s">
        <v>129</v>
      </c>
      <c r="C1347" s="173"/>
      <c r="D1347" s="173"/>
    </row>
    <row r="1348" ht="15.75" customHeight="1">
      <c r="A1348" s="168" t="s">
        <v>623</v>
      </c>
      <c r="B1348" s="171" t="s">
        <v>129</v>
      </c>
      <c r="C1348" s="173"/>
      <c r="D1348" s="173"/>
    </row>
    <row r="1349" ht="15.75" customHeight="1">
      <c r="A1349" s="168" t="s">
        <v>625</v>
      </c>
      <c r="B1349" s="171" t="s">
        <v>129</v>
      </c>
      <c r="C1349" s="173"/>
      <c r="D1349" s="173"/>
    </row>
    <row r="1350" ht="15.75" customHeight="1">
      <c r="A1350" s="168" t="s">
        <v>2220</v>
      </c>
      <c r="B1350" s="171" t="s">
        <v>129</v>
      </c>
      <c r="C1350" s="173"/>
      <c r="D1350" s="173"/>
    </row>
    <row r="1351" ht="15.75" customHeight="1">
      <c r="A1351" s="168" t="s">
        <v>2221</v>
      </c>
      <c r="B1351" s="171" t="s">
        <v>129</v>
      </c>
      <c r="C1351" s="173"/>
      <c r="D1351" s="173"/>
    </row>
    <row r="1352" ht="15.75" customHeight="1">
      <c r="A1352" s="168" t="s">
        <v>774</v>
      </c>
      <c r="B1352" s="171" t="s">
        <v>129</v>
      </c>
      <c r="C1352" s="173"/>
      <c r="D1352" s="173"/>
    </row>
    <row r="1353" ht="15.75" customHeight="1">
      <c r="A1353" s="168" t="s">
        <v>914</v>
      </c>
      <c r="B1353" s="171" t="s">
        <v>129</v>
      </c>
      <c r="C1353" s="173"/>
      <c r="D1353" s="173"/>
    </row>
    <row r="1354" ht="15.75" customHeight="1">
      <c r="A1354" s="168" t="s">
        <v>1066</v>
      </c>
      <c r="B1354" s="171" t="s">
        <v>129</v>
      </c>
      <c r="C1354" s="173"/>
      <c r="D1354" s="173"/>
    </row>
    <row r="1355" ht="15.75" customHeight="1">
      <c r="A1355" s="168" t="s">
        <v>1077</v>
      </c>
      <c r="B1355" s="171" t="s">
        <v>129</v>
      </c>
      <c r="C1355" s="173"/>
      <c r="D1355" s="173"/>
    </row>
    <row r="1356" ht="15.75" customHeight="1">
      <c r="A1356" s="168" t="s">
        <v>1188</v>
      </c>
      <c r="B1356" s="171" t="s">
        <v>129</v>
      </c>
      <c r="C1356" s="173"/>
      <c r="D1356" s="173"/>
    </row>
    <row r="1357" ht="15.75" customHeight="1">
      <c r="A1357" s="168" t="s">
        <v>1234</v>
      </c>
      <c r="B1357" s="171" t="s">
        <v>129</v>
      </c>
      <c r="C1357" s="173"/>
      <c r="D1357" s="173"/>
    </row>
    <row r="1358" ht="15.75" customHeight="1">
      <c r="A1358" s="168" t="s">
        <v>1299</v>
      </c>
      <c r="B1358" s="171" t="s">
        <v>129</v>
      </c>
      <c r="C1358" s="173"/>
      <c r="D1358" s="173"/>
    </row>
    <row r="1359" ht="15.75" customHeight="1">
      <c r="A1359" s="168" t="s">
        <v>1417</v>
      </c>
      <c r="B1359" s="171" t="s">
        <v>129</v>
      </c>
      <c r="C1359" s="173"/>
      <c r="D1359" s="173"/>
    </row>
    <row r="1360" ht="15.75" customHeight="1">
      <c r="A1360" s="168" t="s">
        <v>1417</v>
      </c>
      <c r="B1360" s="171" t="s">
        <v>129</v>
      </c>
      <c r="C1360" s="173"/>
      <c r="D1360" s="173"/>
    </row>
    <row r="1361" ht="15.75" customHeight="1">
      <c r="A1361" s="168" t="s">
        <v>1447</v>
      </c>
      <c r="B1361" s="171" t="s">
        <v>129</v>
      </c>
      <c r="C1361" s="173"/>
      <c r="D1361" s="173"/>
    </row>
    <row r="1362" ht="15.75" customHeight="1">
      <c r="A1362" s="168" t="s">
        <v>1716</v>
      </c>
      <c r="B1362" s="171" t="s">
        <v>129</v>
      </c>
      <c r="C1362" s="173"/>
      <c r="D1362" s="173"/>
    </row>
    <row r="1363" ht="15.75" customHeight="1">
      <c r="A1363" s="168" t="s">
        <v>1823</v>
      </c>
      <c r="B1363" s="171" t="s">
        <v>129</v>
      </c>
      <c r="C1363" s="173"/>
      <c r="D1363" s="173"/>
    </row>
    <row r="1364" ht="15.75" customHeight="1">
      <c r="A1364" s="168" t="s">
        <v>1848</v>
      </c>
      <c r="B1364" s="171" t="s">
        <v>129</v>
      </c>
      <c r="C1364" s="173"/>
      <c r="D1364" s="173"/>
    </row>
    <row r="1365" ht="15.75" customHeight="1">
      <c r="A1365" s="168" t="s">
        <v>59</v>
      </c>
      <c r="B1365" s="171" t="s">
        <v>60</v>
      </c>
      <c r="C1365" s="194" t="s">
        <v>2012</v>
      </c>
      <c r="D1365" s="173"/>
    </row>
    <row r="1366" ht="15.75" customHeight="1">
      <c r="A1366" s="168" t="s">
        <v>2222</v>
      </c>
      <c r="B1366" s="171" t="s">
        <v>60</v>
      </c>
      <c r="C1366" s="173"/>
      <c r="D1366" s="173"/>
    </row>
    <row r="1367" ht="15.75" customHeight="1">
      <c r="A1367" s="168" t="s">
        <v>527</v>
      </c>
      <c r="B1367" s="171" t="s">
        <v>60</v>
      </c>
      <c r="C1367" s="173"/>
      <c r="D1367" s="173"/>
    </row>
    <row r="1368" ht="15.75" customHeight="1">
      <c r="A1368" s="168" t="s">
        <v>593</v>
      </c>
      <c r="B1368" s="171" t="s">
        <v>60</v>
      </c>
      <c r="C1368" s="173"/>
      <c r="D1368" s="173"/>
    </row>
    <row r="1369" ht="15.75" customHeight="1">
      <c r="A1369" s="168" t="s">
        <v>2223</v>
      </c>
      <c r="B1369" s="171" t="s">
        <v>60</v>
      </c>
      <c r="C1369" s="173"/>
      <c r="D1369" s="173"/>
    </row>
    <row r="1370" ht="15.75" customHeight="1">
      <c r="A1370" s="168" t="s">
        <v>693</v>
      </c>
      <c r="B1370" s="171" t="s">
        <v>60</v>
      </c>
      <c r="C1370" s="173"/>
      <c r="D1370" s="173"/>
    </row>
    <row r="1371" ht="15.75" customHeight="1">
      <c r="A1371" s="168" t="s">
        <v>748</v>
      </c>
      <c r="B1371" s="171" t="s">
        <v>60</v>
      </c>
      <c r="C1371" s="173"/>
      <c r="D1371" s="173"/>
    </row>
    <row r="1372" ht="15.75" customHeight="1">
      <c r="A1372" s="168" t="s">
        <v>2224</v>
      </c>
      <c r="B1372" s="171" t="s">
        <v>60</v>
      </c>
      <c r="C1372" s="173"/>
      <c r="D1372" s="173"/>
    </row>
    <row r="1373" ht="15.75" customHeight="1">
      <c r="A1373" s="168" t="s">
        <v>837</v>
      </c>
      <c r="B1373" s="171" t="s">
        <v>60</v>
      </c>
      <c r="C1373" s="173"/>
      <c r="D1373" s="173"/>
    </row>
    <row r="1374" ht="15.75" customHeight="1">
      <c r="A1374" s="168" t="s">
        <v>933</v>
      </c>
      <c r="B1374" s="171" t="s">
        <v>60</v>
      </c>
      <c r="C1374" s="173"/>
      <c r="D1374" s="173"/>
    </row>
    <row r="1375" ht="15.75" customHeight="1">
      <c r="A1375" s="168" t="s">
        <v>1033</v>
      </c>
      <c r="B1375" s="171" t="s">
        <v>60</v>
      </c>
      <c r="C1375" s="173"/>
      <c r="D1375" s="173"/>
    </row>
    <row r="1376" ht="15.75" customHeight="1">
      <c r="A1376" s="168" t="s">
        <v>1044</v>
      </c>
      <c r="B1376" s="171" t="s">
        <v>60</v>
      </c>
      <c r="C1376" s="173"/>
      <c r="D1376" s="173"/>
    </row>
    <row r="1377" ht="15.75" customHeight="1">
      <c r="A1377" s="168" t="s">
        <v>2225</v>
      </c>
      <c r="B1377" s="171" t="s">
        <v>60</v>
      </c>
      <c r="C1377" s="173"/>
      <c r="D1377" s="173"/>
    </row>
    <row r="1378" ht="15.75" customHeight="1">
      <c r="A1378" s="168" t="s">
        <v>1165</v>
      </c>
      <c r="B1378" s="171" t="s">
        <v>60</v>
      </c>
      <c r="C1378" s="173"/>
      <c r="D1378" s="173"/>
    </row>
    <row r="1379" ht="15.75" customHeight="1">
      <c r="A1379" s="168" t="s">
        <v>1169</v>
      </c>
      <c r="B1379" s="171" t="s">
        <v>60</v>
      </c>
      <c r="C1379" s="173"/>
      <c r="D1379" s="173"/>
    </row>
    <row r="1380" ht="15.75" customHeight="1">
      <c r="A1380" s="168" t="s">
        <v>1278</v>
      </c>
      <c r="B1380" s="171" t="s">
        <v>60</v>
      </c>
      <c r="C1380" s="173"/>
      <c r="D1380" s="173"/>
    </row>
    <row r="1381" ht="15.75" customHeight="1">
      <c r="A1381" s="168" t="s">
        <v>1512</v>
      </c>
      <c r="B1381" s="171" t="s">
        <v>60</v>
      </c>
      <c r="C1381" s="173"/>
      <c r="D1381" s="173"/>
    </row>
    <row r="1382" ht="15.75" customHeight="1">
      <c r="A1382" s="168" t="s">
        <v>1563</v>
      </c>
      <c r="B1382" s="171" t="s">
        <v>60</v>
      </c>
      <c r="C1382" s="173"/>
      <c r="D1382" s="173"/>
    </row>
    <row r="1383" ht="15.75" customHeight="1">
      <c r="A1383" s="168" t="s">
        <v>1576</v>
      </c>
      <c r="B1383" s="171" t="s">
        <v>60</v>
      </c>
      <c r="C1383" s="173"/>
      <c r="D1383" s="173"/>
    </row>
    <row r="1384" ht="15.75" customHeight="1">
      <c r="A1384" s="168" t="s">
        <v>1945</v>
      </c>
      <c r="B1384" s="171" t="s">
        <v>60</v>
      </c>
      <c r="C1384" s="173"/>
      <c r="D1384" s="173"/>
    </row>
    <row r="1385" ht="15.75" customHeight="1">
      <c r="A1385" s="168" t="s">
        <v>1962</v>
      </c>
      <c r="B1385" s="171" t="s">
        <v>60</v>
      </c>
      <c r="C1385" s="173"/>
      <c r="D1385" s="173"/>
    </row>
    <row r="1386" ht="15.75" customHeight="1">
      <c r="A1386" s="168" t="s">
        <v>213</v>
      </c>
      <c r="B1386" s="171" t="s">
        <v>214</v>
      </c>
      <c r="C1386" s="194" t="s">
        <v>2029</v>
      </c>
      <c r="D1386" s="173"/>
    </row>
    <row r="1387" ht="15.75" customHeight="1">
      <c r="A1387" s="168" t="s">
        <v>232</v>
      </c>
      <c r="B1387" s="171" t="s">
        <v>214</v>
      </c>
      <c r="C1387" s="173"/>
      <c r="D1387" s="173"/>
    </row>
    <row r="1388" ht="15.75" customHeight="1">
      <c r="A1388" s="168" t="s">
        <v>340</v>
      </c>
      <c r="B1388" s="171" t="s">
        <v>214</v>
      </c>
      <c r="C1388" s="173"/>
      <c r="D1388" s="173"/>
    </row>
    <row r="1389" ht="15.75" customHeight="1">
      <c r="A1389" s="168" t="s">
        <v>384</v>
      </c>
      <c r="B1389" s="171" t="s">
        <v>214</v>
      </c>
      <c r="C1389" s="173"/>
      <c r="D1389" s="173"/>
    </row>
    <row r="1390" ht="15.75" customHeight="1">
      <c r="A1390" s="168" t="s">
        <v>390</v>
      </c>
      <c r="B1390" s="171" t="s">
        <v>214</v>
      </c>
      <c r="C1390" s="173"/>
      <c r="D1390" s="173"/>
    </row>
    <row r="1391" ht="15.75" customHeight="1">
      <c r="A1391" s="168" t="s">
        <v>2226</v>
      </c>
      <c r="B1391" s="171" t="s">
        <v>214</v>
      </c>
      <c r="C1391" s="173"/>
      <c r="D1391" s="173"/>
    </row>
    <row r="1392" ht="15.75" customHeight="1">
      <c r="A1392" s="168" t="s">
        <v>523</v>
      </c>
      <c r="B1392" s="171" t="s">
        <v>214</v>
      </c>
      <c r="C1392" s="173"/>
      <c r="D1392" s="173"/>
    </row>
    <row r="1393" ht="15.75" customHeight="1">
      <c r="A1393" s="168" t="s">
        <v>644</v>
      </c>
      <c r="B1393" s="171" t="s">
        <v>214</v>
      </c>
      <c r="C1393" s="173"/>
      <c r="D1393" s="173"/>
    </row>
    <row r="1394" ht="15.75" customHeight="1">
      <c r="A1394" s="168" t="s">
        <v>661</v>
      </c>
      <c r="B1394" s="171" t="s">
        <v>214</v>
      </c>
      <c r="C1394" s="173"/>
      <c r="D1394" s="173"/>
    </row>
    <row r="1395" ht="15.75" customHeight="1">
      <c r="A1395" s="168" t="s">
        <v>2227</v>
      </c>
      <c r="B1395" s="171" t="s">
        <v>214</v>
      </c>
      <c r="C1395" s="173"/>
      <c r="D1395" s="173"/>
    </row>
    <row r="1396" ht="15.75" customHeight="1">
      <c r="A1396" s="168" t="s">
        <v>2228</v>
      </c>
      <c r="B1396" s="171" t="s">
        <v>214</v>
      </c>
      <c r="C1396" s="173"/>
      <c r="D1396" s="173"/>
    </row>
    <row r="1397" ht="15.75" customHeight="1">
      <c r="A1397" s="168" t="s">
        <v>891</v>
      </c>
      <c r="B1397" s="171" t="s">
        <v>214</v>
      </c>
      <c r="C1397" s="173"/>
      <c r="D1397" s="173"/>
    </row>
    <row r="1398" ht="15.75" customHeight="1">
      <c r="A1398" s="168" t="s">
        <v>996</v>
      </c>
      <c r="B1398" s="171" t="s">
        <v>214</v>
      </c>
      <c r="C1398" s="173"/>
      <c r="D1398" s="173"/>
    </row>
    <row r="1399" ht="15.75" customHeight="1">
      <c r="A1399" s="168" t="s">
        <v>1044</v>
      </c>
      <c r="B1399" s="171" t="s">
        <v>214</v>
      </c>
      <c r="C1399" s="173"/>
      <c r="D1399" s="173"/>
    </row>
    <row r="1400" ht="15.75" customHeight="1">
      <c r="A1400" s="168" t="s">
        <v>1147</v>
      </c>
      <c r="B1400" s="171" t="s">
        <v>214</v>
      </c>
      <c r="C1400" s="173"/>
      <c r="D1400" s="173"/>
    </row>
    <row r="1401" ht="15.75" customHeight="1">
      <c r="A1401" s="168" t="s">
        <v>1236</v>
      </c>
      <c r="B1401" s="171" t="s">
        <v>214</v>
      </c>
      <c r="C1401" s="173"/>
      <c r="D1401" s="173"/>
    </row>
    <row r="1402" ht="15.75" customHeight="1">
      <c r="A1402" s="168" t="s">
        <v>1280</v>
      </c>
      <c r="B1402" s="171" t="s">
        <v>214</v>
      </c>
      <c r="C1402" s="173"/>
      <c r="D1402" s="173"/>
    </row>
    <row r="1403" ht="15.75" customHeight="1">
      <c r="A1403" s="168" t="s">
        <v>2229</v>
      </c>
      <c r="B1403" s="171" t="s">
        <v>214</v>
      </c>
      <c r="C1403" s="173"/>
      <c r="D1403" s="173"/>
    </row>
    <row r="1404" ht="15.75" customHeight="1">
      <c r="A1404" s="168" t="s">
        <v>1426</v>
      </c>
      <c r="B1404" s="171" t="s">
        <v>214</v>
      </c>
      <c r="C1404" s="173"/>
      <c r="D1404" s="173"/>
    </row>
    <row r="1405" ht="15.75" customHeight="1">
      <c r="A1405" s="168" t="s">
        <v>1556</v>
      </c>
      <c r="B1405" s="171" t="s">
        <v>214</v>
      </c>
      <c r="C1405" s="173"/>
      <c r="D1405" s="173"/>
    </row>
    <row r="1406" ht="15.75" customHeight="1">
      <c r="A1406" s="168" t="s">
        <v>1713</v>
      </c>
      <c r="B1406" s="171" t="s">
        <v>214</v>
      </c>
      <c r="C1406" s="173"/>
      <c r="D1406" s="173"/>
    </row>
    <row r="1407" ht="15.75" customHeight="1">
      <c r="A1407" s="168" t="s">
        <v>1820</v>
      </c>
      <c r="B1407" s="171" t="s">
        <v>214</v>
      </c>
      <c r="C1407" s="173"/>
      <c r="D1407" s="173"/>
    </row>
    <row r="1408" ht="15.75" customHeight="1">
      <c r="A1408" s="168" t="s">
        <v>1954</v>
      </c>
      <c r="B1408" s="171" t="s">
        <v>214</v>
      </c>
      <c r="C1408" s="173"/>
      <c r="D1408" s="173"/>
    </row>
    <row r="1409" ht="15.75" customHeight="1">
      <c r="A1409" s="168" t="s">
        <v>48</v>
      </c>
      <c r="B1409" s="171" t="s">
        <v>49</v>
      </c>
      <c r="C1409" s="194" t="s">
        <v>2029</v>
      </c>
      <c r="D1409" s="173"/>
    </row>
    <row r="1410" ht="15.75" customHeight="1">
      <c r="A1410" s="168" t="s">
        <v>307</v>
      </c>
      <c r="B1410" s="171" t="s">
        <v>49</v>
      </c>
      <c r="C1410" s="173"/>
      <c r="D1410" s="173"/>
    </row>
    <row r="1411" ht="15.75" customHeight="1">
      <c r="A1411" s="168" t="s">
        <v>344</v>
      </c>
      <c r="B1411" s="171" t="s">
        <v>49</v>
      </c>
      <c r="C1411" s="173"/>
      <c r="D1411" s="173"/>
    </row>
    <row r="1412" ht="15.75" customHeight="1">
      <c r="A1412" s="168" t="s">
        <v>502</v>
      </c>
      <c r="B1412" s="171" t="s">
        <v>49</v>
      </c>
      <c r="C1412" s="173"/>
      <c r="D1412" s="173"/>
    </row>
    <row r="1413" ht="15.75" customHeight="1">
      <c r="A1413" s="168" t="s">
        <v>507</v>
      </c>
      <c r="B1413" s="171" t="s">
        <v>49</v>
      </c>
      <c r="C1413" s="173"/>
      <c r="D1413" s="173"/>
    </row>
    <row r="1414" ht="15.75" customHeight="1">
      <c r="A1414" s="168" t="s">
        <v>2230</v>
      </c>
      <c r="B1414" s="171" t="s">
        <v>49</v>
      </c>
      <c r="C1414" s="173"/>
      <c r="D1414" s="173"/>
    </row>
    <row r="1415" ht="15.75" customHeight="1">
      <c r="A1415" s="168" t="s">
        <v>2231</v>
      </c>
      <c r="B1415" s="171" t="s">
        <v>49</v>
      </c>
      <c r="C1415" s="173"/>
      <c r="D1415" s="173"/>
    </row>
    <row r="1416" ht="15.75" customHeight="1">
      <c r="A1416" s="168" t="s">
        <v>2232</v>
      </c>
      <c r="B1416" s="171" t="s">
        <v>49</v>
      </c>
      <c r="C1416" s="173"/>
      <c r="D1416" s="173"/>
    </row>
    <row r="1417" ht="15.75" customHeight="1">
      <c r="A1417" s="168" t="s">
        <v>855</v>
      </c>
      <c r="B1417" s="171" t="s">
        <v>49</v>
      </c>
      <c r="C1417" s="173"/>
      <c r="D1417" s="173"/>
    </row>
    <row r="1418" ht="15.75" customHeight="1">
      <c r="A1418" s="168" t="s">
        <v>896</v>
      </c>
      <c r="B1418" s="171" t="s">
        <v>49</v>
      </c>
      <c r="C1418" s="173"/>
      <c r="D1418" s="173"/>
    </row>
    <row r="1419" ht="15.75" customHeight="1">
      <c r="A1419" s="168" t="s">
        <v>1192</v>
      </c>
      <c r="B1419" s="171" t="s">
        <v>49</v>
      </c>
      <c r="C1419" s="173"/>
      <c r="D1419" s="173"/>
    </row>
    <row r="1420" ht="15.75" customHeight="1">
      <c r="A1420" s="168" t="s">
        <v>1291</v>
      </c>
      <c r="B1420" s="171" t="s">
        <v>49</v>
      </c>
      <c r="C1420" s="173"/>
      <c r="D1420" s="173"/>
    </row>
    <row r="1421" ht="15.75" customHeight="1">
      <c r="A1421" s="168" t="s">
        <v>1386</v>
      </c>
      <c r="B1421" s="171" t="s">
        <v>49</v>
      </c>
      <c r="C1421" s="173"/>
      <c r="D1421" s="173"/>
    </row>
    <row r="1422" ht="15.75" customHeight="1">
      <c r="A1422" s="168" t="s">
        <v>2233</v>
      </c>
      <c r="B1422" s="171" t="s">
        <v>49</v>
      </c>
      <c r="C1422" s="173"/>
      <c r="D1422" s="173"/>
    </row>
    <row r="1423" ht="15.75" customHeight="1">
      <c r="A1423" s="168" t="s">
        <v>1541</v>
      </c>
      <c r="B1423" s="171" t="s">
        <v>49</v>
      </c>
      <c r="C1423" s="173"/>
      <c r="D1423" s="173"/>
    </row>
    <row r="1424" ht="15.75" customHeight="1">
      <c r="A1424" s="168" t="s">
        <v>1675</v>
      </c>
      <c r="B1424" s="171" t="s">
        <v>49</v>
      </c>
      <c r="C1424" s="173"/>
      <c r="D1424" s="173"/>
    </row>
    <row r="1425" ht="15.75" customHeight="1">
      <c r="A1425" s="168" t="s">
        <v>1919</v>
      </c>
      <c r="B1425" s="171" t="s">
        <v>49</v>
      </c>
      <c r="C1425" s="173"/>
      <c r="D1425" s="173"/>
    </row>
    <row r="1426" ht="15.75" customHeight="1">
      <c r="A1426" s="168" t="s">
        <v>1937</v>
      </c>
      <c r="B1426" s="171" t="s">
        <v>49</v>
      </c>
      <c r="C1426" s="173"/>
      <c r="D1426" s="173"/>
    </row>
    <row r="1427" ht="15.75" customHeight="1">
      <c r="A1427" s="168" t="s">
        <v>290</v>
      </c>
      <c r="B1427" s="171" t="s">
        <v>291</v>
      </c>
      <c r="C1427" s="194" t="s">
        <v>2012</v>
      </c>
      <c r="D1427" s="173"/>
    </row>
    <row r="1428" ht="15.75" customHeight="1">
      <c r="A1428" s="168" t="s">
        <v>2234</v>
      </c>
      <c r="B1428" s="171" t="s">
        <v>291</v>
      </c>
      <c r="C1428" s="173"/>
      <c r="D1428" s="173"/>
    </row>
    <row r="1429" ht="15.75" customHeight="1">
      <c r="A1429" s="168" t="s">
        <v>377</v>
      </c>
      <c r="B1429" s="171" t="s">
        <v>291</v>
      </c>
      <c r="C1429" s="173"/>
      <c r="D1429" s="173"/>
    </row>
    <row r="1430" ht="15.75" customHeight="1">
      <c r="A1430" s="168" t="s">
        <v>405</v>
      </c>
      <c r="B1430" s="171" t="s">
        <v>291</v>
      </c>
      <c r="C1430" s="173"/>
      <c r="D1430" s="173"/>
    </row>
    <row r="1431" ht="15.75" customHeight="1">
      <c r="A1431" s="168" t="s">
        <v>830</v>
      </c>
      <c r="B1431" s="171" t="s">
        <v>291</v>
      </c>
      <c r="C1431" s="173"/>
      <c r="D1431" s="173"/>
    </row>
    <row r="1432" ht="15.75" customHeight="1">
      <c r="A1432" s="168" t="s">
        <v>859</v>
      </c>
      <c r="B1432" s="171" t="s">
        <v>291</v>
      </c>
      <c r="C1432" s="173"/>
      <c r="D1432" s="173"/>
    </row>
    <row r="1433" ht="15.75" customHeight="1">
      <c r="A1433" s="168" t="s">
        <v>909</v>
      </c>
      <c r="B1433" s="171" t="s">
        <v>291</v>
      </c>
      <c r="C1433" s="173"/>
      <c r="D1433" s="173"/>
    </row>
    <row r="1434" ht="15.75" customHeight="1">
      <c r="A1434" s="168" t="s">
        <v>2235</v>
      </c>
      <c r="B1434" s="171" t="s">
        <v>291</v>
      </c>
      <c r="C1434" s="173"/>
      <c r="D1434" s="173"/>
    </row>
    <row r="1435" ht="15.75" customHeight="1">
      <c r="A1435" s="168" t="s">
        <v>1143</v>
      </c>
      <c r="B1435" s="171" t="s">
        <v>291</v>
      </c>
      <c r="C1435" s="173"/>
      <c r="D1435" s="173"/>
    </row>
    <row r="1436" ht="15.75" customHeight="1">
      <c r="A1436" s="168" t="s">
        <v>1367</v>
      </c>
      <c r="B1436" s="171" t="s">
        <v>291</v>
      </c>
      <c r="C1436" s="173"/>
      <c r="D1436" s="173"/>
    </row>
    <row r="1437" ht="15.75" customHeight="1">
      <c r="A1437" s="168" t="s">
        <v>1384</v>
      </c>
      <c r="B1437" s="171" t="s">
        <v>291</v>
      </c>
      <c r="C1437" s="173"/>
      <c r="D1437" s="173"/>
    </row>
    <row r="1438" ht="15.75" customHeight="1">
      <c r="A1438" s="168" t="s">
        <v>1432</v>
      </c>
      <c r="B1438" s="171" t="s">
        <v>291</v>
      </c>
      <c r="C1438" s="173"/>
      <c r="D1438" s="173"/>
    </row>
    <row r="1439" ht="15.75" customHeight="1">
      <c r="A1439" s="168" t="s">
        <v>2236</v>
      </c>
      <c r="B1439" s="171" t="s">
        <v>291</v>
      </c>
      <c r="C1439" s="173"/>
      <c r="D1439" s="173"/>
    </row>
    <row r="1440" ht="15.75" customHeight="1">
      <c r="A1440" s="168" t="s">
        <v>1819</v>
      </c>
      <c r="B1440" s="171" t="s">
        <v>291</v>
      </c>
      <c r="C1440" s="173"/>
      <c r="D1440" s="173"/>
    </row>
    <row r="1441" ht="15.75" customHeight="1">
      <c r="A1441" s="168" t="s">
        <v>1899</v>
      </c>
      <c r="B1441" s="171" t="s">
        <v>291</v>
      </c>
      <c r="C1441" s="173"/>
      <c r="D1441" s="173"/>
    </row>
    <row r="1442" ht="15.75" customHeight="1">
      <c r="A1442" s="168" t="s">
        <v>531</v>
      </c>
      <c r="B1442" s="171" t="s">
        <v>532</v>
      </c>
      <c r="C1442" s="194" t="s">
        <v>2114</v>
      </c>
      <c r="D1442" s="173"/>
    </row>
    <row r="1443" ht="15.75" customHeight="1">
      <c r="A1443" s="168" t="s">
        <v>725</v>
      </c>
      <c r="B1443" s="171" t="s">
        <v>532</v>
      </c>
      <c r="C1443" s="194"/>
      <c r="D1443" s="173"/>
    </row>
    <row r="1444" ht="15.75" customHeight="1">
      <c r="A1444" s="168" t="s">
        <v>964</v>
      </c>
      <c r="B1444" s="171" t="s">
        <v>532</v>
      </c>
      <c r="C1444" s="173"/>
      <c r="D1444" s="173"/>
    </row>
    <row r="1445" ht="15.75" customHeight="1">
      <c r="A1445" s="168" t="s">
        <v>1063</v>
      </c>
      <c r="B1445" s="171" t="s">
        <v>532</v>
      </c>
      <c r="C1445" s="173"/>
      <c r="D1445" s="173"/>
    </row>
    <row r="1446" ht="15.75" customHeight="1">
      <c r="A1446" s="168" t="s">
        <v>2237</v>
      </c>
      <c r="B1446" s="171" t="s">
        <v>532</v>
      </c>
      <c r="C1446" s="173"/>
      <c r="D1446" s="173"/>
    </row>
    <row r="1447" ht="15.75" customHeight="1">
      <c r="A1447" s="168" t="s">
        <v>1591</v>
      </c>
      <c r="B1447" s="171" t="s">
        <v>532</v>
      </c>
      <c r="C1447" s="173"/>
      <c r="D1447" s="173"/>
    </row>
    <row r="1448" ht="15.75" customHeight="1">
      <c r="A1448" s="168" t="s">
        <v>1657</v>
      </c>
      <c r="B1448" s="171" t="s">
        <v>532</v>
      </c>
      <c r="C1448" s="173"/>
      <c r="D1448" s="173"/>
    </row>
    <row r="1449" ht="15.75" customHeight="1">
      <c r="A1449" s="168" t="s">
        <v>2238</v>
      </c>
      <c r="B1449" s="171" t="s">
        <v>532</v>
      </c>
      <c r="C1449" s="173"/>
      <c r="D1449" s="173"/>
    </row>
    <row r="1450" ht="15.75" customHeight="1">
      <c r="A1450" s="168" t="s">
        <v>1925</v>
      </c>
      <c r="B1450" s="171" t="s">
        <v>532</v>
      </c>
      <c r="C1450" s="173"/>
      <c r="D1450" s="173"/>
    </row>
    <row r="1451" ht="15.75" customHeight="1">
      <c r="A1451" s="168" t="s">
        <v>181</v>
      </c>
      <c r="B1451" s="171" t="s">
        <v>182</v>
      </c>
      <c r="C1451" s="194" t="s">
        <v>2114</v>
      </c>
      <c r="D1451" s="173"/>
    </row>
    <row r="1452" ht="15.75" customHeight="1">
      <c r="A1452" s="168" t="s">
        <v>219</v>
      </c>
      <c r="B1452" s="171" t="s">
        <v>182</v>
      </c>
      <c r="C1452" s="173"/>
      <c r="D1452" s="173"/>
    </row>
    <row r="1453" ht="15.75" customHeight="1">
      <c r="A1453" s="168" t="s">
        <v>231</v>
      </c>
      <c r="B1453" s="171" t="s">
        <v>182</v>
      </c>
      <c r="C1453" s="173"/>
      <c r="D1453" s="173"/>
    </row>
    <row r="1454" ht="15.75" customHeight="1">
      <c r="A1454" s="168" t="s">
        <v>559</v>
      </c>
      <c r="B1454" s="171" t="s">
        <v>182</v>
      </c>
      <c r="C1454" s="173"/>
      <c r="D1454" s="173"/>
    </row>
    <row r="1455" ht="15.75" customHeight="1">
      <c r="A1455" s="168" t="s">
        <v>659</v>
      </c>
      <c r="B1455" s="171" t="s">
        <v>182</v>
      </c>
      <c r="C1455" s="173"/>
      <c r="D1455" s="173"/>
    </row>
    <row r="1456" ht="15.75" customHeight="1">
      <c r="A1456" s="168" t="s">
        <v>722</v>
      </c>
      <c r="B1456" s="171" t="s">
        <v>182</v>
      </c>
      <c r="C1456" s="173"/>
      <c r="D1456" s="173"/>
    </row>
    <row r="1457" ht="15.75" customHeight="1">
      <c r="A1457" s="168" t="s">
        <v>773</v>
      </c>
      <c r="B1457" s="171" t="s">
        <v>182</v>
      </c>
      <c r="C1457" s="173"/>
      <c r="D1457" s="173"/>
    </row>
    <row r="1458" ht="15.75" customHeight="1">
      <c r="A1458" s="168" t="s">
        <v>903</v>
      </c>
      <c r="B1458" s="171" t="s">
        <v>182</v>
      </c>
      <c r="C1458" s="173"/>
      <c r="D1458" s="173"/>
    </row>
    <row r="1459" ht="15.75" customHeight="1">
      <c r="A1459" s="168" t="s">
        <v>971</v>
      </c>
      <c r="B1459" s="171" t="s">
        <v>182</v>
      </c>
      <c r="C1459" s="173"/>
      <c r="D1459" s="173"/>
    </row>
    <row r="1460" ht="15.75" customHeight="1">
      <c r="A1460" s="168" t="s">
        <v>1032</v>
      </c>
      <c r="B1460" s="171" t="s">
        <v>182</v>
      </c>
      <c r="C1460" s="173"/>
      <c r="D1460" s="173"/>
    </row>
    <row r="1461" ht="15.75" customHeight="1">
      <c r="A1461" s="168" t="s">
        <v>1126</v>
      </c>
      <c r="B1461" s="171" t="s">
        <v>182</v>
      </c>
      <c r="C1461" s="173"/>
      <c r="D1461" s="173"/>
    </row>
    <row r="1462" ht="15.75" customHeight="1">
      <c r="A1462" s="168" t="s">
        <v>1590</v>
      </c>
      <c r="B1462" s="171" t="s">
        <v>182</v>
      </c>
      <c r="C1462" s="173"/>
      <c r="D1462" s="173"/>
    </row>
    <row r="1463" ht="15.75" customHeight="1">
      <c r="A1463" s="168" t="s">
        <v>1666</v>
      </c>
      <c r="B1463" s="171" t="s">
        <v>182</v>
      </c>
      <c r="C1463" s="173"/>
      <c r="D1463" s="173"/>
    </row>
    <row r="1464" ht="15.75" customHeight="1">
      <c r="A1464" s="168" t="s">
        <v>1832</v>
      </c>
      <c r="B1464" s="171" t="s">
        <v>182</v>
      </c>
      <c r="C1464" s="173"/>
      <c r="D1464" s="173"/>
    </row>
    <row r="1465" ht="15.75" customHeight="1">
      <c r="A1465" s="168" t="s">
        <v>1867</v>
      </c>
      <c r="B1465" s="171" t="s">
        <v>182</v>
      </c>
      <c r="C1465" s="173"/>
      <c r="D1465" s="173"/>
    </row>
    <row r="1466" ht="15.75" customHeight="1">
      <c r="A1466" s="168" t="s">
        <v>2239</v>
      </c>
      <c r="B1466" s="171" t="s">
        <v>182</v>
      </c>
      <c r="C1466" s="173"/>
      <c r="D1466" s="173"/>
    </row>
    <row r="1467" ht="15.75" customHeight="1">
      <c r="A1467" s="178" t="s">
        <v>529</v>
      </c>
      <c r="B1467" s="179" t="s">
        <v>382</v>
      </c>
      <c r="C1467" s="177"/>
      <c r="D1467" s="177"/>
    </row>
    <row r="1468" ht="15.75" customHeight="1">
      <c r="A1468" s="210" t="s">
        <v>20</v>
      </c>
      <c r="B1468" s="168" t="s">
        <v>22</v>
      </c>
      <c r="C1468" s="177"/>
      <c r="D1468" s="177"/>
    </row>
    <row r="1469" ht="15.75" customHeight="1">
      <c r="A1469" s="210" t="s">
        <v>52</v>
      </c>
      <c r="B1469" s="168" t="s">
        <v>22</v>
      </c>
      <c r="C1469" s="177"/>
      <c r="D1469" s="177"/>
    </row>
    <row r="1470" ht="15.75" customHeight="1">
      <c r="A1470" s="210" t="s">
        <v>53</v>
      </c>
      <c r="B1470" s="168" t="s">
        <v>22</v>
      </c>
      <c r="C1470" s="177"/>
      <c r="D1470" s="177"/>
    </row>
    <row r="1471" ht="15.75" customHeight="1">
      <c r="A1471" s="210" t="s">
        <v>111</v>
      </c>
      <c r="B1471" s="168" t="s">
        <v>22</v>
      </c>
      <c r="C1471" s="177"/>
      <c r="D1471" s="177"/>
    </row>
    <row r="1472" ht="15.75" customHeight="1">
      <c r="A1472" s="210" t="s">
        <v>113</v>
      </c>
      <c r="B1472" s="168" t="s">
        <v>22</v>
      </c>
      <c r="C1472" s="177"/>
      <c r="D1472" s="177"/>
    </row>
    <row r="1473" ht="15.75" customHeight="1">
      <c r="A1473" s="210" t="s">
        <v>164</v>
      </c>
      <c r="B1473" s="168" t="s">
        <v>22</v>
      </c>
      <c r="C1473" s="177"/>
      <c r="D1473" s="177"/>
    </row>
    <row r="1474" ht="15.75" customHeight="1">
      <c r="A1474" s="210" t="s">
        <v>302</v>
      </c>
      <c r="B1474" s="168" t="s">
        <v>22</v>
      </c>
      <c r="C1474" s="177"/>
      <c r="D1474" s="177"/>
    </row>
    <row r="1475" ht="15.75" customHeight="1">
      <c r="A1475" s="210" t="s">
        <v>331</v>
      </c>
      <c r="B1475" s="168" t="s">
        <v>22</v>
      </c>
      <c r="C1475" s="177"/>
      <c r="D1475" s="177"/>
    </row>
    <row r="1476" ht="15.75" customHeight="1">
      <c r="A1476" s="210" t="s">
        <v>431</v>
      </c>
      <c r="B1476" s="168" t="s">
        <v>22</v>
      </c>
      <c r="C1476" s="177"/>
      <c r="D1476" s="177"/>
    </row>
    <row r="1477" ht="15.75" customHeight="1">
      <c r="A1477" s="210" t="s">
        <v>452</v>
      </c>
      <c r="B1477" s="168" t="s">
        <v>22</v>
      </c>
      <c r="C1477" s="177"/>
      <c r="D1477" s="177"/>
    </row>
    <row r="1478" ht="15.75" customHeight="1">
      <c r="A1478" s="210" t="s">
        <v>547</v>
      </c>
      <c r="B1478" s="168" t="s">
        <v>22</v>
      </c>
      <c r="C1478" s="177"/>
      <c r="D1478" s="177"/>
    </row>
    <row r="1479" ht="15.75" customHeight="1">
      <c r="A1479" s="210" t="s">
        <v>688</v>
      </c>
      <c r="B1479" s="168" t="s">
        <v>22</v>
      </c>
      <c r="C1479" s="177"/>
      <c r="D1479" s="177"/>
    </row>
    <row r="1480" ht="15.75" customHeight="1">
      <c r="A1480" s="210" t="s">
        <v>689</v>
      </c>
      <c r="B1480" s="168" t="s">
        <v>22</v>
      </c>
      <c r="C1480" s="177"/>
      <c r="D1480" s="177"/>
    </row>
    <row r="1481" ht="15.75" customHeight="1">
      <c r="A1481" s="210" t="s">
        <v>728</v>
      </c>
      <c r="B1481" s="168" t="s">
        <v>22</v>
      </c>
      <c r="C1481" s="177"/>
      <c r="D1481" s="177"/>
    </row>
    <row r="1482" ht="15.75" customHeight="1">
      <c r="A1482" s="210" t="s">
        <v>2240</v>
      </c>
      <c r="B1482" s="168" t="s">
        <v>22</v>
      </c>
      <c r="C1482" s="177"/>
      <c r="D1482" s="177"/>
    </row>
    <row r="1483" ht="15.75" customHeight="1">
      <c r="A1483" s="210" t="s">
        <v>2241</v>
      </c>
      <c r="B1483" s="168" t="s">
        <v>22</v>
      </c>
      <c r="C1483" s="177"/>
      <c r="D1483" s="177"/>
    </row>
    <row r="1484" ht="15.75" customHeight="1">
      <c r="A1484" s="210" t="s">
        <v>904</v>
      </c>
      <c r="B1484" s="168" t="s">
        <v>22</v>
      </c>
      <c r="C1484" s="177"/>
      <c r="D1484" s="177"/>
    </row>
    <row r="1485" ht="15.75" customHeight="1">
      <c r="A1485" s="210" t="s">
        <v>911</v>
      </c>
      <c r="B1485" s="168" t="s">
        <v>22</v>
      </c>
      <c r="C1485" s="177"/>
      <c r="D1485" s="177"/>
    </row>
    <row r="1486" ht="15.75" customHeight="1">
      <c r="A1486" s="210" t="s">
        <v>1198</v>
      </c>
      <c r="B1486" s="168" t="s">
        <v>22</v>
      </c>
      <c r="C1486" s="177"/>
      <c r="D1486" s="177"/>
    </row>
    <row r="1487" ht="15.75" customHeight="1">
      <c r="A1487" s="210" t="s">
        <v>1298</v>
      </c>
      <c r="B1487" s="168" t="s">
        <v>22</v>
      </c>
      <c r="C1487" s="177"/>
      <c r="D1487" s="177"/>
    </row>
    <row r="1488" ht="15.75" customHeight="1">
      <c r="A1488" s="210" t="s">
        <v>1486</v>
      </c>
      <c r="B1488" s="168" t="s">
        <v>22</v>
      </c>
      <c r="C1488" s="177"/>
      <c r="D1488" s="177"/>
    </row>
    <row r="1489" ht="15.75" customHeight="1">
      <c r="A1489" s="210" t="s">
        <v>2242</v>
      </c>
      <c r="B1489" s="168" t="s">
        <v>22</v>
      </c>
      <c r="C1489" s="177"/>
      <c r="D1489" s="177"/>
    </row>
    <row r="1490" ht="15.75" customHeight="1">
      <c r="A1490" s="211" t="s">
        <v>1658</v>
      </c>
      <c r="B1490" s="168" t="s">
        <v>22</v>
      </c>
      <c r="C1490" s="177"/>
      <c r="D1490" s="177"/>
    </row>
    <row r="1491" ht="15.75" customHeight="1">
      <c r="A1491" s="211" t="s">
        <v>1662</v>
      </c>
      <c r="B1491" s="168" t="s">
        <v>22</v>
      </c>
      <c r="C1491" s="177"/>
      <c r="D1491" s="177"/>
    </row>
    <row r="1492" ht="15.75" customHeight="1">
      <c r="A1492" s="210" t="s">
        <v>1665</v>
      </c>
      <c r="B1492" s="168" t="s">
        <v>22</v>
      </c>
      <c r="C1492" s="177"/>
      <c r="D1492" s="177"/>
    </row>
    <row r="1493" ht="15.75" customHeight="1">
      <c r="A1493" s="210" t="s">
        <v>1692</v>
      </c>
      <c r="B1493" s="168" t="s">
        <v>22</v>
      </c>
      <c r="C1493" s="177"/>
      <c r="D1493" s="177"/>
    </row>
    <row r="1494" ht="15.75" customHeight="1">
      <c r="A1494" s="210" t="s">
        <v>2243</v>
      </c>
      <c r="B1494" s="168" t="s">
        <v>22</v>
      </c>
      <c r="C1494" s="177"/>
      <c r="D1494" s="177"/>
    </row>
    <row r="1495" ht="15.75" customHeight="1">
      <c r="A1495" s="210" t="s">
        <v>1800</v>
      </c>
      <c r="B1495" s="168" t="s">
        <v>22</v>
      </c>
      <c r="C1495" s="177"/>
      <c r="D1495" s="177"/>
    </row>
    <row r="1496" ht="15.75" customHeight="1">
      <c r="A1496" s="210" t="s">
        <v>1923</v>
      </c>
      <c r="B1496" s="168" t="s">
        <v>22</v>
      </c>
      <c r="C1496" s="177"/>
      <c r="D1496" s="177"/>
    </row>
    <row r="1497" ht="15.75" customHeight="1">
      <c r="A1497" s="178"/>
      <c r="B1497" s="179"/>
      <c r="C1497" s="177"/>
      <c r="D1497" s="177"/>
    </row>
    <row r="1498" ht="15.75" customHeight="1">
      <c r="A1498" s="178"/>
      <c r="B1498" s="179"/>
      <c r="C1498" s="177"/>
      <c r="D1498" s="177"/>
    </row>
    <row r="1499" ht="15.75" customHeight="1">
      <c r="A1499" s="178"/>
      <c r="B1499" s="179"/>
      <c r="C1499" s="177"/>
      <c r="D1499" s="177"/>
    </row>
    <row r="1500" ht="15.75" customHeight="1">
      <c r="A1500" s="178"/>
      <c r="B1500" s="179"/>
      <c r="C1500" s="177"/>
      <c r="D1500" s="177"/>
    </row>
    <row r="1501" ht="15.75" customHeight="1">
      <c r="A1501" s="178"/>
      <c r="B1501" s="179"/>
      <c r="C1501" s="177"/>
      <c r="D1501" s="177"/>
    </row>
    <row r="1502" ht="15.75" customHeight="1">
      <c r="A1502" s="178"/>
      <c r="B1502" s="179"/>
      <c r="C1502" s="177"/>
      <c r="D1502" s="177"/>
    </row>
    <row r="1503" ht="15.75" customHeight="1">
      <c r="A1503" s="178"/>
      <c r="B1503" s="179"/>
      <c r="C1503" s="177"/>
      <c r="D1503" s="177"/>
    </row>
    <row r="1504" ht="15.75" customHeight="1">
      <c r="A1504" s="178"/>
      <c r="B1504" s="179"/>
      <c r="C1504" s="177"/>
      <c r="D1504" s="177"/>
    </row>
    <row r="1505" ht="15.75" customHeight="1">
      <c r="A1505" s="178"/>
      <c r="B1505" s="179"/>
      <c r="C1505" s="177"/>
      <c r="D1505" s="177"/>
    </row>
    <row r="1506" ht="15.75" customHeight="1">
      <c r="A1506" s="178"/>
      <c r="B1506" s="179"/>
      <c r="C1506" s="177"/>
      <c r="D1506" s="177"/>
    </row>
    <row r="1507" ht="15.75" customHeight="1">
      <c r="A1507" s="178"/>
      <c r="B1507" s="179"/>
      <c r="C1507" s="177"/>
      <c r="D1507" s="177"/>
    </row>
    <row r="1508" ht="15.75" customHeight="1">
      <c r="A1508" s="212"/>
      <c r="B1508" s="204"/>
      <c r="C1508" s="177"/>
      <c r="D1508" s="177"/>
    </row>
    <row r="1509" ht="15.75" customHeight="1">
      <c r="A1509" s="212"/>
      <c r="B1509" s="204"/>
      <c r="C1509" s="177"/>
      <c r="D1509" s="177"/>
    </row>
    <row r="1510" ht="15.75" customHeight="1">
      <c r="A1510" s="212"/>
      <c r="B1510" s="204"/>
      <c r="C1510" s="177"/>
      <c r="D1510" s="177"/>
    </row>
    <row r="1511" ht="15.75" customHeight="1">
      <c r="A1511" s="212"/>
      <c r="B1511" s="204"/>
      <c r="C1511" s="177"/>
      <c r="D1511" s="177"/>
    </row>
    <row r="1512" ht="15.75" customHeight="1">
      <c r="A1512" s="212"/>
      <c r="B1512" s="204"/>
      <c r="C1512" s="177"/>
      <c r="D1512" s="177"/>
    </row>
    <row r="1513" ht="15.75" customHeight="1">
      <c r="A1513" s="212"/>
      <c r="B1513" s="204"/>
      <c r="C1513" s="177"/>
      <c r="D1513" s="177"/>
    </row>
    <row r="1514" ht="15.75" customHeight="1">
      <c r="A1514" s="212"/>
      <c r="B1514" s="204"/>
      <c r="C1514" s="177"/>
      <c r="D1514" s="177"/>
    </row>
    <row r="1515" ht="15.75" customHeight="1">
      <c r="A1515" s="212"/>
      <c r="B1515" s="204"/>
      <c r="C1515" s="177"/>
      <c r="D1515" s="177"/>
    </row>
    <row r="1516" ht="15.75" customHeight="1">
      <c r="A1516" s="212"/>
      <c r="B1516" s="204"/>
      <c r="C1516" s="177"/>
      <c r="D1516" s="177"/>
    </row>
    <row r="1517" ht="15.75" customHeight="1">
      <c r="A1517" s="212"/>
      <c r="B1517" s="204"/>
      <c r="C1517" s="177"/>
      <c r="D1517" s="177"/>
    </row>
    <row r="1518" ht="15.75" customHeight="1">
      <c r="A1518" s="212"/>
      <c r="B1518" s="204"/>
      <c r="C1518" s="177"/>
      <c r="D1518" s="177"/>
    </row>
    <row r="1519" ht="15.75" customHeight="1">
      <c r="A1519" s="212"/>
      <c r="B1519" s="204"/>
      <c r="C1519" s="177"/>
      <c r="D1519" s="177"/>
    </row>
    <row r="1520" ht="15.75" customHeight="1">
      <c r="A1520" s="212"/>
      <c r="B1520" s="204"/>
      <c r="C1520" s="177"/>
      <c r="D1520" s="177"/>
    </row>
    <row r="1521" ht="15.75" customHeight="1">
      <c r="A1521" s="212"/>
      <c r="B1521" s="204"/>
      <c r="C1521" s="177"/>
      <c r="D1521" s="177"/>
    </row>
    <row r="1522" ht="15.75" customHeight="1">
      <c r="A1522" s="212"/>
      <c r="B1522" s="204"/>
      <c r="C1522" s="177"/>
      <c r="D1522" s="177"/>
    </row>
    <row r="1523" ht="15.75" customHeight="1">
      <c r="A1523" s="212"/>
      <c r="B1523" s="204"/>
      <c r="C1523" s="177"/>
      <c r="D1523" s="177"/>
    </row>
    <row r="1524" ht="15.75" customHeight="1">
      <c r="A1524" s="212"/>
      <c r="B1524" s="204"/>
      <c r="C1524" s="177"/>
      <c r="D1524" s="177"/>
    </row>
    <row r="1525" ht="15.75" customHeight="1">
      <c r="A1525" s="212"/>
      <c r="B1525" s="204"/>
      <c r="C1525" s="177"/>
      <c r="D1525" s="177"/>
    </row>
    <row r="1526" ht="15.75" customHeight="1">
      <c r="A1526" s="212"/>
      <c r="B1526" s="204"/>
      <c r="C1526" s="177"/>
      <c r="D1526" s="177"/>
    </row>
    <row r="1527" ht="15.75" customHeight="1">
      <c r="A1527" s="212"/>
      <c r="B1527" s="204"/>
      <c r="C1527" s="177"/>
      <c r="D1527" s="177"/>
    </row>
    <row r="1528" ht="15.75" customHeight="1">
      <c r="A1528" s="212"/>
      <c r="B1528" s="204"/>
      <c r="C1528" s="177"/>
      <c r="D1528" s="177"/>
    </row>
    <row r="1529" ht="15.75" customHeight="1">
      <c r="A1529" s="212"/>
      <c r="B1529" s="204"/>
      <c r="C1529" s="177"/>
      <c r="D1529" s="177"/>
    </row>
    <row r="1530" ht="15.75" customHeight="1">
      <c r="A1530" s="212"/>
      <c r="B1530" s="204"/>
      <c r="C1530" s="177"/>
      <c r="D1530" s="177"/>
    </row>
    <row r="1531" ht="15.75" customHeight="1">
      <c r="A1531" s="212"/>
      <c r="B1531" s="204"/>
      <c r="C1531" s="177"/>
      <c r="D1531" s="177"/>
    </row>
    <row r="1532" ht="15.75" customHeight="1">
      <c r="A1532" s="212"/>
      <c r="B1532" s="204"/>
      <c r="C1532" s="177"/>
      <c r="D1532" s="177"/>
    </row>
    <row r="1533" ht="15.75" customHeight="1">
      <c r="A1533" s="212"/>
      <c r="B1533" s="204"/>
      <c r="C1533" s="177"/>
      <c r="D1533" s="177"/>
    </row>
    <row r="1534" ht="15.75" customHeight="1">
      <c r="A1534" s="212"/>
      <c r="B1534" s="204"/>
      <c r="C1534" s="177"/>
      <c r="D1534" s="177"/>
    </row>
    <row r="1535" ht="15.75" customHeight="1">
      <c r="A1535" s="212"/>
      <c r="B1535" s="204"/>
      <c r="C1535" s="177"/>
      <c r="D1535" s="177"/>
    </row>
    <row r="1536" ht="15.75" customHeight="1">
      <c r="A1536" s="212"/>
      <c r="B1536" s="204"/>
      <c r="C1536" s="177"/>
      <c r="D1536" s="177"/>
    </row>
    <row r="1537" ht="15.75" customHeight="1">
      <c r="A1537" s="212"/>
      <c r="B1537" s="204"/>
      <c r="C1537" s="177"/>
      <c r="D1537" s="177"/>
    </row>
    <row r="1538" ht="15.75" customHeight="1">
      <c r="A1538" s="212"/>
      <c r="B1538" s="204"/>
      <c r="C1538" s="177"/>
      <c r="D1538" s="177"/>
    </row>
    <row r="1539" ht="15.75" customHeight="1">
      <c r="A1539" s="212"/>
      <c r="B1539" s="204"/>
      <c r="C1539" s="177"/>
      <c r="D1539" s="177"/>
    </row>
    <row r="1540" ht="15.75" customHeight="1">
      <c r="A1540" s="212"/>
      <c r="B1540" s="204"/>
      <c r="C1540" s="177"/>
      <c r="D1540" s="177"/>
    </row>
    <row r="1541" ht="15.75" customHeight="1">
      <c r="A1541" s="212"/>
      <c r="B1541" s="204"/>
      <c r="C1541" s="177"/>
      <c r="D1541" s="177"/>
    </row>
    <row r="1542" ht="15.75" customHeight="1">
      <c r="A1542" s="212"/>
      <c r="B1542" s="204"/>
      <c r="C1542" s="177"/>
      <c r="D1542" s="177"/>
    </row>
    <row r="1543" ht="15.75" customHeight="1">
      <c r="A1543" s="212"/>
      <c r="B1543" s="204"/>
      <c r="C1543" s="177"/>
      <c r="D1543" s="177"/>
    </row>
    <row r="1544" ht="15.75" customHeight="1">
      <c r="A1544" s="212"/>
      <c r="B1544" s="204"/>
      <c r="C1544" s="177"/>
      <c r="D1544" s="177"/>
    </row>
    <row r="1545" ht="15.75" customHeight="1">
      <c r="A1545" s="212"/>
      <c r="B1545" s="204"/>
      <c r="C1545" s="177"/>
      <c r="D1545" s="177"/>
    </row>
    <row r="1546" ht="15.75" customHeight="1">
      <c r="A1546" s="212"/>
      <c r="B1546" s="204"/>
      <c r="C1546" s="177"/>
      <c r="D1546" s="177"/>
    </row>
    <row r="1547" ht="15.75" customHeight="1">
      <c r="A1547" s="212"/>
      <c r="B1547" s="204"/>
      <c r="C1547" s="177"/>
      <c r="D1547" s="177"/>
    </row>
    <row r="1548" ht="15.75" customHeight="1">
      <c r="A1548" s="212"/>
      <c r="B1548" s="204"/>
      <c r="C1548" s="177"/>
      <c r="D1548" s="177"/>
    </row>
    <row r="1549" ht="15.75" customHeight="1">
      <c r="A1549" s="212"/>
      <c r="B1549" s="204"/>
      <c r="C1549" s="177"/>
      <c r="D1549" s="177"/>
    </row>
    <row r="1550" ht="15.75" customHeight="1">
      <c r="A1550" s="212"/>
      <c r="B1550" s="204"/>
      <c r="C1550" s="177"/>
      <c r="D1550" s="177"/>
    </row>
    <row r="1551" ht="15.75" customHeight="1">
      <c r="A1551" s="212"/>
      <c r="B1551" s="204"/>
      <c r="C1551" s="177"/>
      <c r="D1551" s="177"/>
    </row>
    <row r="1552" ht="15.75" customHeight="1">
      <c r="A1552" s="212"/>
      <c r="B1552" s="204"/>
      <c r="C1552" s="177"/>
      <c r="D1552" s="177"/>
    </row>
    <row r="1553" ht="15.75" customHeight="1">
      <c r="A1553" s="212"/>
      <c r="B1553" s="204"/>
      <c r="C1553" s="177"/>
      <c r="D1553" s="177"/>
    </row>
    <row r="1554" ht="15.75" customHeight="1">
      <c r="A1554" s="212"/>
      <c r="B1554" s="204"/>
      <c r="C1554" s="177"/>
      <c r="D1554" s="177"/>
    </row>
    <row r="1555" ht="15.75" customHeight="1">
      <c r="A1555" s="212"/>
      <c r="B1555" s="204"/>
      <c r="C1555" s="177"/>
      <c r="D1555" s="177"/>
    </row>
    <row r="1556" ht="15.75" customHeight="1">
      <c r="A1556" s="212"/>
      <c r="B1556" s="204"/>
      <c r="C1556" s="177"/>
      <c r="D1556" s="177"/>
    </row>
    <row r="1557" ht="15.75" customHeight="1">
      <c r="A1557" s="212"/>
      <c r="B1557" s="204"/>
      <c r="C1557" s="177"/>
      <c r="D1557" s="177"/>
    </row>
    <row r="1558" ht="15.75" customHeight="1">
      <c r="A1558" s="212"/>
      <c r="B1558" s="204"/>
      <c r="C1558" s="177"/>
      <c r="D1558" s="177"/>
    </row>
    <row r="1559" ht="15.75" customHeight="1">
      <c r="A1559" s="212"/>
      <c r="B1559" s="204"/>
      <c r="C1559" s="177"/>
      <c r="D1559" s="177"/>
    </row>
    <row r="1560" ht="15.75" customHeight="1">
      <c r="A1560" s="212"/>
      <c r="B1560" s="204"/>
      <c r="C1560" s="177"/>
      <c r="D1560" s="177"/>
    </row>
    <row r="1561" ht="15.75" customHeight="1">
      <c r="A1561" s="212"/>
      <c r="B1561" s="204"/>
      <c r="C1561" s="177"/>
      <c r="D1561" s="177"/>
    </row>
    <row r="1562" ht="15.75" customHeight="1">
      <c r="A1562" s="212"/>
      <c r="B1562" s="204"/>
      <c r="C1562" s="177"/>
      <c r="D1562" s="177"/>
    </row>
    <row r="1563" ht="15.75" customHeight="1">
      <c r="A1563" s="212"/>
      <c r="B1563" s="204"/>
      <c r="C1563" s="177"/>
      <c r="D1563" s="177"/>
    </row>
    <row r="1564" ht="15.75" customHeight="1">
      <c r="A1564" s="212"/>
      <c r="B1564" s="204"/>
      <c r="C1564" s="177"/>
      <c r="D1564" s="177"/>
    </row>
    <row r="1565" ht="15.75" customHeight="1">
      <c r="A1565" s="212"/>
      <c r="B1565" s="204"/>
      <c r="C1565" s="177"/>
      <c r="D1565" s="177"/>
    </row>
    <row r="1566" ht="15.75" customHeight="1">
      <c r="A1566" s="212"/>
      <c r="B1566" s="204"/>
      <c r="C1566" s="177"/>
      <c r="D1566" s="177"/>
    </row>
    <row r="1567" ht="15.75" customHeight="1">
      <c r="A1567" s="212"/>
      <c r="B1567" s="204"/>
      <c r="C1567" s="177"/>
      <c r="D1567" s="177"/>
    </row>
    <row r="1568" ht="15.75" customHeight="1">
      <c r="A1568" s="212"/>
      <c r="B1568" s="204"/>
      <c r="C1568" s="177"/>
      <c r="D1568" s="177"/>
    </row>
    <row r="1569" ht="15.75" customHeight="1">
      <c r="A1569" s="212"/>
      <c r="B1569" s="204"/>
      <c r="C1569" s="177"/>
      <c r="D1569" s="177"/>
    </row>
    <row r="1570" ht="15.75" customHeight="1">
      <c r="A1570" s="212"/>
      <c r="B1570" s="204"/>
      <c r="C1570" s="177"/>
      <c r="D1570" s="177"/>
    </row>
    <row r="1571" ht="15.75" customHeight="1">
      <c r="A1571" s="212"/>
      <c r="B1571" s="204"/>
      <c r="C1571" s="177"/>
      <c r="D1571" s="177"/>
    </row>
    <row r="1572" ht="15.75" customHeight="1">
      <c r="A1572" s="212"/>
      <c r="B1572" s="204"/>
      <c r="C1572" s="177"/>
      <c r="D1572" s="177"/>
    </row>
    <row r="1573" ht="15.75" customHeight="1">
      <c r="A1573" s="212"/>
      <c r="B1573" s="204"/>
      <c r="C1573" s="177"/>
      <c r="D1573" s="177"/>
    </row>
    <row r="1574" ht="15.75" customHeight="1">
      <c r="A1574" s="212"/>
      <c r="B1574" s="204"/>
      <c r="C1574" s="177"/>
      <c r="D1574" s="177"/>
    </row>
    <row r="1575" ht="15.75" customHeight="1">
      <c r="A1575" s="212"/>
      <c r="B1575" s="204"/>
      <c r="C1575" s="177"/>
      <c r="D1575" s="177"/>
    </row>
    <row r="1576" ht="15.75" customHeight="1">
      <c r="A1576" s="212"/>
      <c r="B1576" s="204"/>
      <c r="C1576" s="177"/>
      <c r="D1576" s="177"/>
    </row>
    <row r="1577" ht="15.75" customHeight="1">
      <c r="A1577" s="212"/>
      <c r="B1577" s="204"/>
      <c r="C1577" s="177"/>
      <c r="D1577" s="177"/>
    </row>
    <row r="1578" ht="15.75" customHeight="1">
      <c r="A1578" s="212"/>
      <c r="B1578" s="204"/>
      <c r="C1578" s="177"/>
      <c r="D1578" s="177"/>
    </row>
    <row r="1579" ht="15.75" customHeight="1">
      <c r="A1579" s="212"/>
      <c r="B1579" s="204"/>
      <c r="C1579" s="177"/>
      <c r="D1579" s="177"/>
    </row>
    <row r="1580" ht="15.75" customHeight="1">
      <c r="A1580" s="212"/>
      <c r="B1580" s="204"/>
      <c r="C1580" s="177"/>
      <c r="D1580" s="177"/>
    </row>
  </sheetData>
  <conditionalFormatting sqref="A906">
    <cfRule type="expression" dxfId="1" priority="1">
      <formula>($F908&lt;&gt;"")</formula>
    </cfRule>
  </conditionalFormatting>
  <conditionalFormatting sqref="A906">
    <cfRule type="expression" dxfId="0" priority="2">
      <formula>$F908="N"</formula>
    </cfRule>
  </conditionalFormatting>
  <conditionalFormatting sqref="A318:A319">
    <cfRule type="expression" dxfId="0" priority="3">
      <formula>$D402="N"</formula>
    </cfRule>
  </conditionalFormatting>
  <conditionalFormatting sqref="A318:A319">
    <cfRule type="expression" dxfId="1" priority="4">
      <formula>($D402&lt;&gt;"")</formula>
    </cfRule>
  </conditionalFormatting>
  <conditionalFormatting sqref="A284">
    <cfRule type="expression" dxfId="0" priority="5">
      <formula>$D319="N"</formula>
    </cfRule>
  </conditionalFormatting>
  <conditionalFormatting sqref="A284">
    <cfRule type="expression" dxfId="1" priority="6">
      <formula>($D319&lt;&gt;"")</formula>
    </cfRule>
  </conditionalFormatting>
  <conditionalFormatting sqref="A917 A1207:A1216">
    <cfRule type="expression" dxfId="0" priority="7">
      <formula>$F917="N"</formula>
    </cfRule>
  </conditionalFormatting>
  <conditionalFormatting sqref="A917 A1207:A1216">
    <cfRule type="expression" dxfId="1" priority="8">
      <formula>($F917&lt;&gt;"")</formula>
    </cfRule>
  </conditionalFormatting>
  <conditionalFormatting sqref="A1254:A1580">
    <cfRule type="expression" dxfId="0" priority="9">
      <formula>$E1254="N"</formula>
    </cfRule>
  </conditionalFormatting>
  <conditionalFormatting sqref="A1254:A1580">
    <cfRule type="expression" dxfId="1" priority="10">
      <formula>($E1254&lt;&gt;"")</formula>
    </cfRule>
  </conditionalFormatting>
  <conditionalFormatting sqref="A751:B751">
    <cfRule type="expression" dxfId="1" priority="11">
      <formula>(#REF!&lt;&gt;"")</formula>
    </cfRule>
  </conditionalFormatting>
  <conditionalFormatting sqref="A751:B751">
    <cfRule type="expression" dxfId="0" priority="12">
      <formula>#REF!="N"</formula>
    </cfRule>
  </conditionalFormatting>
  <conditionalFormatting sqref="A752:A767 B752:B773">
    <cfRule type="expression" dxfId="1" priority="13">
      <formula>(#REF!&lt;&gt;"")</formula>
    </cfRule>
  </conditionalFormatting>
  <conditionalFormatting sqref="A752:A767 B752:B773">
    <cfRule type="expression" dxfId="0" priority="14">
      <formula>#REF!="N"</formula>
    </cfRule>
  </conditionalFormatting>
  <conditionalFormatting sqref="A747:B750">
    <cfRule type="expression" dxfId="1" priority="15">
      <formula>($D766&lt;&gt;"")</formula>
    </cfRule>
  </conditionalFormatting>
  <conditionalFormatting sqref="A747:B750">
    <cfRule type="expression" dxfId="0" priority="16">
      <formula>$D766="N"</formula>
    </cfRule>
  </conditionalFormatting>
  <conditionalFormatting sqref="B133">
    <cfRule type="expression" dxfId="0" priority="17">
      <formula>$D134="N"</formula>
    </cfRule>
  </conditionalFormatting>
  <conditionalFormatting sqref="B133">
    <cfRule type="expression" dxfId="1" priority="18">
      <formula>($D134&lt;&gt;"")</formula>
    </cfRule>
  </conditionalFormatting>
  <conditionalFormatting sqref="A297:A298">
    <cfRule type="expression" dxfId="1" priority="19">
      <formula>($D318&lt;&gt;"")</formula>
    </cfRule>
  </conditionalFormatting>
  <conditionalFormatting sqref="A297:A298">
    <cfRule type="expression" dxfId="0" priority="20">
      <formula>$D318="N"</formula>
    </cfRule>
  </conditionalFormatting>
  <conditionalFormatting sqref="A381">
    <cfRule type="expression" dxfId="1" priority="21">
      <formula>($D420&lt;&gt;"")</formula>
    </cfRule>
  </conditionalFormatting>
  <conditionalFormatting sqref="A381">
    <cfRule type="expression" dxfId="0" priority="22">
      <formula>$D420="N"</formula>
    </cfRule>
  </conditionalFormatting>
  <conditionalFormatting sqref="B799">
    <cfRule type="expression" dxfId="1" priority="23">
      <formula>(#REF!&lt;&gt;"")</formula>
    </cfRule>
  </conditionalFormatting>
  <conditionalFormatting sqref="B799">
    <cfRule type="expression" dxfId="0" priority="24">
      <formula>#REF!="N"</formula>
    </cfRule>
  </conditionalFormatting>
  <conditionalFormatting sqref="B437:B439 B537 B607">
    <cfRule type="expression" dxfId="0" priority="25">
      <formula>#REF!="N"</formula>
    </cfRule>
  </conditionalFormatting>
  <conditionalFormatting sqref="B437:B439 B537 B607">
    <cfRule type="expression" dxfId="1" priority="26">
      <formula>(#REF!&lt;&gt;"")</formula>
    </cfRule>
  </conditionalFormatting>
  <conditionalFormatting sqref="B1269 B1271 B1273 B1275 B1278 B1280">
    <cfRule type="notContainsBlanks" dxfId="2" priority="27">
      <formula>LEN(TRIM(B1269))&gt;0</formula>
    </cfRule>
  </conditionalFormatting>
  <conditionalFormatting sqref="A2:A317 B8:B119 B123:B124 B126:B132 B134:B746 A320:A380 A382:A746 B748 B750 A767:A1580 B767:B831 B842:B1188 B1190:B1580">
    <cfRule type="expression" dxfId="0" priority="28">
      <formula>$D2="N"</formula>
    </cfRule>
  </conditionalFormatting>
  <conditionalFormatting sqref="A2:A317 B8:B119 B123:B124 B126:B132 B134:B746 A320:A380 A382:A746 B748 B750 A767:A1580 B767:B831 B842:B1188 B1190:B1580">
    <cfRule type="expression" dxfId="1" priority="29">
      <formula>($D2&lt;&gt;"")</formula>
    </cfRule>
  </conditionalFormatting>
  <printOptions gridLines="1" horizontalCentered="1"/>
  <pageMargins bottom="0.75" footer="0.0" header="0.0" left="0.7" right="0.7" top="0.75"/>
  <pageSetup paperSize="9" scale="65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7.57"/>
    <col customWidth="1" min="3" max="3" width="16.43"/>
    <col customWidth="1" min="4" max="4" width="25.86"/>
    <col customWidth="1" min="5" max="5" width="14.86"/>
    <col customWidth="1" min="6" max="6" width="9.29"/>
    <col customWidth="1" min="7" max="7" width="8.86"/>
    <col customWidth="1" min="8" max="9" width="9.0"/>
    <col customWidth="1" min="10" max="26" width="17.29"/>
  </cols>
  <sheetData>
    <row r="1" ht="15.75" customHeight="1">
      <c r="A1" s="213" t="s">
        <v>2307</v>
      </c>
      <c r="B1" s="214" t="s">
        <v>2308</v>
      </c>
      <c r="C1" s="214" t="s">
        <v>2309</v>
      </c>
      <c r="D1" s="215" t="s">
        <v>2310</v>
      </c>
      <c r="E1" s="215" t="s">
        <v>2311</v>
      </c>
      <c r="F1" s="216" t="s">
        <v>2312</v>
      </c>
      <c r="G1" s="217" t="s">
        <v>2313</v>
      </c>
      <c r="H1" s="218" t="s">
        <v>2314</v>
      </c>
      <c r="I1" s="219" t="s">
        <v>2315</v>
      </c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ht="15.75" customHeight="1">
      <c r="A2" s="221" t="s">
        <v>28</v>
      </c>
      <c r="B2" s="222"/>
      <c r="C2" s="222"/>
      <c r="D2" s="222"/>
      <c r="E2" s="222"/>
      <c r="F2" s="222"/>
      <c r="G2" s="222"/>
      <c r="H2" s="222"/>
      <c r="I2" s="222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</row>
    <row r="3" ht="15.75" customHeight="1">
      <c r="A3" s="221" t="s">
        <v>30</v>
      </c>
      <c r="B3" s="222"/>
      <c r="C3" s="222"/>
      <c r="D3" s="222"/>
      <c r="E3" s="222"/>
      <c r="F3" s="222"/>
      <c r="G3" s="222"/>
      <c r="H3" s="222"/>
      <c r="I3" s="222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</row>
    <row r="4" ht="15.75" customHeight="1">
      <c r="A4" s="221" t="s">
        <v>36</v>
      </c>
      <c r="B4" s="222"/>
      <c r="C4" s="222"/>
      <c r="D4" s="222"/>
      <c r="E4" s="222"/>
      <c r="F4" s="222"/>
      <c r="G4" s="222"/>
      <c r="H4" s="222"/>
      <c r="I4" s="222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</row>
    <row r="5" ht="16.5" customHeight="1">
      <c r="A5" s="221" t="s">
        <v>39</v>
      </c>
      <c r="B5" s="222"/>
      <c r="C5" s="222"/>
      <c r="D5" s="222"/>
      <c r="E5" s="222"/>
      <c r="F5" s="222"/>
      <c r="G5" s="222"/>
      <c r="H5" s="222"/>
      <c r="I5" s="222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</row>
    <row r="6" ht="15.75" customHeight="1">
      <c r="A6" s="224" t="s">
        <v>48</v>
      </c>
      <c r="B6" s="222"/>
      <c r="C6" s="222"/>
      <c r="D6" s="222"/>
      <c r="E6" s="222"/>
      <c r="F6" s="222"/>
      <c r="G6" s="222"/>
      <c r="H6" s="222"/>
      <c r="I6" s="222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</row>
    <row r="7" ht="15.75" customHeight="1">
      <c r="A7" s="221" t="s">
        <v>52</v>
      </c>
      <c r="B7" s="222"/>
      <c r="C7" s="222"/>
      <c r="D7" s="222"/>
      <c r="E7" s="222"/>
      <c r="F7" s="222"/>
      <c r="G7" s="222"/>
      <c r="H7" s="222"/>
      <c r="I7" s="222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</row>
    <row r="8" ht="15.75" customHeight="1">
      <c r="A8" s="221" t="s">
        <v>57</v>
      </c>
      <c r="B8" s="222"/>
      <c r="C8" s="222"/>
      <c r="D8" s="222"/>
      <c r="E8" s="222"/>
      <c r="F8" s="222"/>
      <c r="G8" s="222"/>
      <c r="H8" s="222"/>
      <c r="I8" s="222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</row>
    <row r="9" ht="15.75" customHeight="1">
      <c r="A9" s="221" t="s">
        <v>2316</v>
      </c>
      <c r="B9" s="222"/>
      <c r="C9" s="222"/>
      <c r="D9" s="222"/>
      <c r="E9" s="222"/>
      <c r="F9" s="222"/>
      <c r="G9" s="222"/>
      <c r="H9" s="222"/>
      <c r="I9" s="222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</row>
    <row r="10" ht="15.75" customHeight="1">
      <c r="A10" s="221" t="s">
        <v>2317</v>
      </c>
      <c r="B10" s="222"/>
      <c r="C10" s="222"/>
      <c r="D10" s="222"/>
      <c r="E10" s="222"/>
      <c r="F10" s="222"/>
      <c r="G10" s="222"/>
      <c r="H10" s="222"/>
      <c r="I10" s="222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</row>
    <row r="11" ht="15.75" customHeight="1">
      <c r="A11" s="221" t="s">
        <v>1967</v>
      </c>
      <c r="B11" s="222"/>
      <c r="C11" s="222"/>
      <c r="D11" s="222"/>
      <c r="E11" s="222"/>
      <c r="F11" s="222"/>
      <c r="G11" s="222"/>
      <c r="H11" s="222"/>
      <c r="I11" s="222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</row>
    <row r="12" ht="15.75" customHeight="1">
      <c r="A12" s="221" t="s">
        <v>82</v>
      </c>
      <c r="B12" s="222"/>
      <c r="C12" s="222"/>
      <c r="D12" s="222"/>
      <c r="E12" s="222"/>
      <c r="F12" s="222"/>
      <c r="G12" s="222"/>
      <c r="H12" s="222"/>
      <c r="I12" s="222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</row>
    <row r="13" ht="15.75" customHeight="1">
      <c r="A13" s="221" t="s">
        <v>88</v>
      </c>
      <c r="B13" s="222"/>
      <c r="C13" s="222"/>
      <c r="D13" s="222"/>
      <c r="E13" s="222"/>
      <c r="F13" s="222"/>
      <c r="G13" s="222"/>
      <c r="H13" s="222"/>
      <c r="I13" s="222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</row>
    <row r="14" ht="15.75" customHeight="1">
      <c r="A14" s="221" t="s">
        <v>89</v>
      </c>
      <c r="B14" s="222"/>
      <c r="C14" s="222"/>
      <c r="D14" s="222"/>
      <c r="E14" s="222"/>
      <c r="F14" s="222"/>
      <c r="G14" s="222"/>
      <c r="H14" s="222"/>
      <c r="I14" s="222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</row>
    <row r="15" ht="15.75" customHeight="1">
      <c r="A15" s="221" t="s">
        <v>97</v>
      </c>
      <c r="B15" s="222"/>
      <c r="C15" s="222"/>
      <c r="D15" s="222"/>
      <c r="E15" s="222"/>
      <c r="F15" s="222"/>
      <c r="G15" s="222"/>
      <c r="H15" s="222"/>
      <c r="I15" s="222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</row>
    <row r="16" ht="17.25" customHeight="1">
      <c r="A16" s="221" t="s">
        <v>99</v>
      </c>
      <c r="B16" s="222"/>
      <c r="C16" s="222"/>
      <c r="D16" s="222"/>
      <c r="E16" s="222"/>
      <c r="F16" s="222"/>
      <c r="G16" s="222"/>
      <c r="H16" s="222"/>
      <c r="I16" s="222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</row>
    <row r="17" ht="17.25" customHeight="1">
      <c r="A17" s="221" t="s">
        <v>101</v>
      </c>
      <c r="B17" s="222"/>
      <c r="C17" s="222"/>
      <c r="D17" s="222"/>
      <c r="E17" s="222"/>
      <c r="F17" s="222"/>
      <c r="G17" s="222"/>
      <c r="H17" s="222"/>
      <c r="I17" s="222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</row>
    <row r="18" ht="15.75" customHeight="1">
      <c r="A18" s="225" t="s">
        <v>105</v>
      </c>
      <c r="B18" s="222"/>
      <c r="C18" s="222">
        <v>220.0</v>
      </c>
      <c r="D18" s="222"/>
      <c r="E18" s="222"/>
      <c r="F18" s="222"/>
      <c r="G18" s="222"/>
      <c r="H18" s="222"/>
      <c r="I18" s="222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</row>
    <row r="19" ht="15.75" customHeight="1">
      <c r="A19" s="221" t="s">
        <v>111</v>
      </c>
      <c r="B19" s="222"/>
      <c r="C19" s="222"/>
      <c r="D19" s="222"/>
      <c r="E19" s="222"/>
      <c r="F19" s="222"/>
      <c r="G19" s="222"/>
      <c r="H19" s="222"/>
      <c r="I19" s="222"/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223"/>
      <c r="W19" s="223"/>
      <c r="X19" s="223"/>
    </row>
    <row r="20" ht="15.75" customHeight="1">
      <c r="A20" s="221" t="s">
        <v>113</v>
      </c>
      <c r="B20" s="222"/>
      <c r="C20" s="222"/>
      <c r="D20" s="222"/>
      <c r="E20" s="222"/>
      <c r="F20" s="222"/>
      <c r="G20" s="222"/>
      <c r="H20" s="222"/>
      <c r="I20" s="222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</row>
    <row r="21" ht="15.75" customHeight="1">
      <c r="A21" s="221" t="s">
        <v>2318</v>
      </c>
      <c r="B21" s="222"/>
      <c r="C21" s="222"/>
      <c r="D21" s="222"/>
      <c r="E21" s="222"/>
      <c r="F21" s="222"/>
      <c r="G21" s="222"/>
      <c r="H21" s="222"/>
      <c r="I21" s="222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</row>
    <row r="22" ht="15.75" customHeight="1">
      <c r="A22" s="216" t="s">
        <v>118</v>
      </c>
      <c r="B22" s="222"/>
      <c r="C22" s="222"/>
      <c r="D22" s="222"/>
      <c r="E22" s="222"/>
      <c r="F22" s="222"/>
      <c r="G22" s="222"/>
      <c r="H22" s="222"/>
      <c r="I22" s="222"/>
    </row>
    <row r="23" ht="15.75" customHeight="1">
      <c r="A23" s="216" t="s">
        <v>124</v>
      </c>
      <c r="B23" s="222"/>
      <c r="C23" s="222"/>
      <c r="D23" s="222"/>
      <c r="E23" s="222"/>
      <c r="F23" s="222"/>
      <c r="G23" s="222"/>
      <c r="H23" s="222"/>
      <c r="I23" s="222"/>
    </row>
    <row r="24" ht="15.75" customHeight="1">
      <c r="A24" s="221" t="s">
        <v>2319</v>
      </c>
      <c r="B24" s="222"/>
      <c r="C24" s="222"/>
      <c r="D24" s="222"/>
      <c r="E24" s="222"/>
      <c r="F24" s="222"/>
      <c r="G24" s="222"/>
      <c r="H24" s="222"/>
      <c r="I24" s="222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</row>
    <row r="25" ht="15.75" customHeight="1">
      <c r="A25" s="221" t="s">
        <v>131</v>
      </c>
      <c r="B25" s="222"/>
      <c r="C25" s="222"/>
      <c r="D25" s="222"/>
      <c r="E25" s="222"/>
      <c r="F25" s="222"/>
      <c r="G25" s="222"/>
      <c r="H25" s="222"/>
      <c r="I25" s="222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</row>
    <row r="26" ht="15.75" customHeight="1">
      <c r="A26" s="221" t="s">
        <v>132</v>
      </c>
      <c r="B26" s="222"/>
      <c r="C26" s="222"/>
      <c r="D26" s="222"/>
      <c r="E26" s="222"/>
      <c r="F26" s="222"/>
      <c r="G26" s="222"/>
      <c r="H26" s="222"/>
      <c r="I26" s="222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</row>
    <row r="27" ht="15.75" customHeight="1">
      <c r="A27" s="221" t="s">
        <v>2218</v>
      </c>
      <c r="B27" s="222"/>
      <c r="C27" s="222"/>
      <c r="D27" s="222"/>
      <c r="E27" s="222"/>
      <c r="F27" s="222"/>
      <c r="G27" s="222"/>
      <c r="H27" s="222"/>
      <c r="I27" s="222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</row>
    <row r="28" ht="17.25" customHeight="1">
      <c r="A28" s="221" t="s">
        <v>2320</v>
      </c>
      <c r="B28" s="222"/>
      <c r="C28" s="222"/>
      <c r="D28" s="222"/>
      <c r="E28" s="222"/>
      <c r="F28" s="222"/>
      <c r="G28" s="222"/>
      <c r="H28" s="222"/>
      <c r="I28" s="222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</row>
    <row r="29" ht="17.25" customHeight="1">
      <c r="A29" s="221" t="s">
        <v>2081</v>
      </c>
      <c r="B29" s="222"/>
      <c r="C29" s="222"/>
      <c r="D29" s="222"/>
      <c r="E29" s="222"/>
      <c r="F29" s="222"/>
      <c r="G29" s="222"/>
      <c r="H29" s="222"/>
      <c r="I29" s="222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</row>
    <row r="30" ht="17.25" customHeight="1">
      <c r="A30" s="221" t="s">
        <v>168</v>
      </c>
      <c r="B30" s="222"/>
      <c r="C30" s="222"/>
      <c r="D30" s="222"/>
      <c r="E30" s="222"/>
      <c r="F30" s="222"/>
      <c r="G30" s="222"/>
      <c r="H30" s="222"/>
      <c r="I30" s="222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</row>
    <row r="31" ht="15.75" customHeight="1">
      <c r="A31" s="221" t="s">
        <v>2321</v>
      </c>
      <c r="B31" s="222"/>
      <c r="C31" s="222"/>
      <c r="D31" s="222"/>
      <c r="E31" s="222"/>
      <c r="F31" s="222"/>
      <c r="G31" s="222"/>
      <c r="H31" s="222"/>
      <c r="I31" s="222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</row>
    <row r="32" ht="15.75" customHeight="1">
      <c r="A32" s="221" t="s">
        <v>178</v>
      </c>
      <c r="B32" s="222"/>
      <c r="C32" s="222"/>
      <c r="D32" s="222"/>
      <c r="E32" s="222"/>
      <c r="F32" s="222"/>
      <c r="G32" s="222"/>
      <c r="H32" s="222"/>
      <c r="I32" s="222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</row>
    <row r="33" ht="15.75" customHeight="1">
      <c r="A33" s="221" t="s">
        <v>186</v>
      </c>
      <c r="B33" s="222"/>
      <c r="C33" s="222"/>
      <c r="D33" s="222"/>
      <c r="E33" s="222"/>
      <c r="F33" s="222"/>
      <c r="G33" s="222"/>
      <c r="H33" s="222"/>
      <c r="I33" s="222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</row>
    <row r="34" ht="15.75" customHeight="1">
      <c r="A34" s="221" t="s">
        <v>190</v>
      </c>
      <c r="B34" s="222"/>
      <c r="C34" s="222"/>
      <c r="D34" s="222"/>
      <c r="E34" s="222"/>
      <c r="F34" s="222"/>
      <c r="G34" s="222"/>
      <c r="H34" s="222"/>
      <c r="I34" s="222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</row>
    <row r="35" ht="15.75" customHeight="1">
      <c r="A35" s="216" t="s">
        <v>191</v>
      </c>
      <c r="B35" s="222"/>
      <c r="C35" s="222"/>
      <c r="D35" s="222"/>
      <c r="E35" s="222"/>
      <c r="F35" s="222"/>
      <c r="G35" s="222"/>
      <c r="H35" s="222"/>
      <c r="I35" s="222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</row>
    <row r="36" ht="15.75" customHeight="1">
      <c r="A36" s="221" t="s">
        <v>226</v>
      </c>
      <c r="B36" s="222"/>
      <c r="C36" s="222"/>
      <c r="D36" s="222"/>
      <c r="E36" s="222"/>
      <c r="F36" s="222"/>
      <c r="G36" s="222"/>
      <c r="H36" s="222"/>
      <c r="I36" s="222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</row>
    <row r="37" ht="15.75" customHeight="1">
      <c r="A37" s="221" t="s">
        <v>228</v>
      </c>
      <c r="B37" s="222"/>
      <c r="C37" s="222"/>
      <c r="D37" s="222"/>
      <c r="E37" s="222"/>
      <c r="F37" s="222"/>
      <c r="G37" s="222"/>
      <c r="H37" s="222"/>
      <c r="I37" s="222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</row>
    <row r="38" ht="15.75" customHeight="1">
      <c r="A38" s="221" t="s">
        <v>233</v>
      </c>
      <c r="B38" s="222"/>
      <c r="C38" s="222"/>
      <c r="D38" s="222"/>
      <c r="E38" s="222"/>
      <c r="F38" s="222"/>
      <c r="G38" s="222"/>
      <c r="H38" s="222"/>
      <c r="I38" s="222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</row>
    <row r="39" ht="15.75" customHeight="1">
      <c r="A39" s="221" t="s">
        <v>253</v>
      </c>
      <c r="B39" s="222"/>
      <c r="C39" s="222"/>
      <c r="D39" s="222"/>
      <c r="E39" s="222"/>
      <c r="F39" s="222"/>
      <c r="G39" s="222"/>
      <c r="H39" s="222"/>
      <c r="I39" s="222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</row>
    <row r="40" ht="15.75" customHeight="1">
      <c r="A40" s="221" t="s">
        <v>254</v>
      </c>
      <c r="B40" s="222"/>
      <c r="C40" s="222"/>
      <c r="D40" s="222"/>
      <c r="E40" s="222"/>
      <c r="F40" s="222"/>
      <c r="G40" s="222"/>
      <c r="H40" s="222"/>
      <c r="I40" s="222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</row>
    <row r="41" ht="15.75" customHeight="1">
      <c r="A41" s="221" t="s">
        <v>255</v>
      </c>
      <c r="B41" s="222"/>
      <c r="C41" s="222"/>
      <c r="D41" s="222"/>
      <c r="E41" s="222"/>
      <c r="F41" s="222"/>
      <c r="G41" s="222"/>
      <c r="H41" s="222"/>
      <c r="I41" s="222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</row>
    <row r="42" ht="15.75" customHeight="1">
      <c r="A42" s="221" t="s">
        <v>257</v>
      </c>
      <c r="B42" s="222"/>
      <c r="C42" s="222"/>
      <c r="D42" s="222"/>
      <c r="E42" s="222"/>
      <c r="F42" s="222"/>
      <c r="G42" s="222"/>
      <c r="H42" s="222"/>
      <c r="I42" s="222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</row>
    <row r="43" ht="15.75" customHeight="1">
      <c r="A43" s="221" t="s">
        <v>259</v>
      </c>
      <c r="B43" s="222"/>
      <c r="C43" s="222"/>
      <c r="D43" s="222"/>
      <c r="E43" s="222"/>
      <c r="F43" s="222"/>
      <c r="G43" s="222"/>
      <c r="H43" s="222"/>
      <c r="I43" s="222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</row>
    <row r="44" ht="15.75" customHeight="1">
      <c r="A44" s="221" t="s">
        <v>273</v>
      </c>
      <c r="B44" s="222"/>
      <c r="C44" s="222"/>
      <c r="D44" s="222"/>
      <c r="E44" s="222"/>
      <c r="F44" s="222"/>
      <c r="G44" s="222"/>
      <c r="H44" s="222"/>
      <c r="I44" s="222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</row>
    <row r="45" ht="15.75" customHeight="1">
      <c r="A45" s="221" t="s">
        <v>278</v>
      </c>
      <c r="B45" s="222"/>
      <c r="C45" s="222"/>
      <c r="D45" s="222"/>
      <c r="E45" s="222"/>
      <c r="F45" s="222"/>
      <c r="G45" s="222"/>
      <c r="H45" s="222"/>
      <c r="I45" s="222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</row>
    <row r="46" ht="15.75" customHeight="1">
      <c r="A46" s="221" t="s">
        <v>2322</v>
      </c>
      <c r="B46" s="222"/>
      <c r="C46" s="222"/>
      <c r="D46" s="222"/>
      <c r="E46" s="222"/>
      <c r="F46" s="222"/>
      <c r="G46" s="222"/>
      <c r="H46" s="222"/>
      <c r="I46" s="222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</row>
    <row r="47" ht="15.75" customHeight="1">
      <c r="A47" s="221" t="s">
        <v>2323</v>
      </c>
      <c r="B47" s="222"/>
      <c r="C47" s="222"/>
      <c r="D47" s="222"/>
      <c r="E47" s="222"/>
      <c r="F47" s="222"/>
      <c r="G47" s="222"/>
      <c r="H47" s="222"/>
      <c r="I47" s="222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</row>
    <row r="48" ht="15.75" customHeight="1">
      <c r="A48" s="221" t="s">
        <v>284</v>
      </c>
      <c r="B48" s="222"/>
      <c r="C48" s="222"/>
      <c r="D48" s="222"/>
      <c r="E48" s="222"/>
      <c r="F48" s="222"/>
      <c r="G48" s="222"/>
      <c r="H48" s="222"/>
      <c r="I48" s="222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</row>
    <row r="49" ht="15.75" customHeight="1">
      <c r="A49" s="221" t="s">
        <v>287</v>
      </c>
      <c r="B49" s="222"/>
      <c r="C49" s="222"/>
      <c r="D49" s="222"/>
      <c r="E49" s="222"/>
      <c r="F49" s="222"/>
      <c r="G49" s="222"/>
      <c r="H49" s="222"/>
      <c r="I49" s="222"/>
      <c r="K49" s="223"/>
      <c r="L49" s="223"/>
      <c r="M49" s="223"/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</row>
    <row r="50" ht="15.75" customHeight="1">
      <c r="A50" s="225" t="s">
        <v>292</v>
      </c>
      <c r="B50" s="222"/>
      <c r="C50" s="222"/>
      <c r="D50" s="222"/>
      <c r="E50" s="222"/>
      <c r="F50" s="222"/>
      <c r="G50" s="222">
        <v>99.0</v>
      </c>
      <c r="H50" s="222"/>
      <c r="I50" s="222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</row>
    <row r="51" ht="15.75" customHeight="1">
      <c r="A51" s="225" t="s">
        <v>2324</v>
      </c>
      <c r="B51" s="222"/>
      <c r="C51" s="222"/>
      <c r="D51" s="222"/>
      <c r="E51" s="222"/>
      <c r="F51" s="222">
        <v>70.0</v>
      </c>
      <c r="G51" s="222"/>
      <c r="H51" s="222"/>
      <c r="I51" s="222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</row>
    <row r="52" ht="15.75" customHeight="1">
      <c r="A52" s="221" t="s">
        <v>2325</v>
      </c>
      <c r="B52" s="222"/>
      <c r="C52" s="222"/>
      <c r="D52" s="222"/>
      <c r="E52" s="222"/>
      <c r="F52" s="222"/>
      <c r="G52" s="222"/>
      <c r="H52" s="222"/>
      <c r="I52" s="222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</row>
    <row r="53" ht="15.75" customHeight="1">
      <c r="A53" s="221" t="s">
        <v>297</v>
      </c>
      <c r="B53" s="222"/>
      <c r="C53" s="222"/>
      <c r="D53" s="222"/>
      <c r="E53" s="222"/>
      <c r="F53" s="222"/>
      <c r="G53" s="222"/>
      <c r="H53" s="222"/>
      <c r="I53" s="222"/>
      <c r="K53" s="223"/>
      <c r="L53" s="223"/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</row>
    <row r="54" ht="15.75" customHeight="1">
      <c r="A54" s="221" t="s">
        <v>299</v>
      </c>
      <c r="B54" s="222"/>
      <c r="C54" s="222"/>
      <c r="D54" s="222"/>
      <c r="E54" s="222"/>
      <c r="F54" s="222"/>
      <c r="G54" s="222"/>
      <c r="H54" s="222"/>
      <c r="I54" s="222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</row>
    <row r="55" ht="15.75" customHeight="1">
      <c r="A55" s="221" t="s">
        <v>300</v>
      </c>
      <c r="B55" s="222"/>
      <c r="C55" s="222"/>
      <c r="D55" s="222"/>
      <c r="E55" s="222"/>
      <c r="F55" s="222"/>
      <c r="G55" s="222"/>
      <c r="H55" s="222"/>
      <c r="I55" s="222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</row>
    <row r="56" ht="15.75" customHeight="1">
      <c r="A56" s="221" t="s">
        <v>2326</v>
      </c>
      <c r="B56" s="222"/>
      <c r="C56" s="222"/>
      <c r="D56" s="222"/>
      <c r="E56" s="222"/>
      <c r="F56" s="222"/>
      <c r="G56" s="222"/>
      <c r="H56" s="222"/>
      <c r="I56" s="222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</row>
    <row r="57" ht="15.75" customHeight="1">
      <c r="A57" s="221" t="s">
        <v>312</v>
      </c>
      <c r="B57" s="222"/>
      <c r="C57" s="222"/>
      <c r="D57" s="222"/>
      <c r="E57" s="222"/>
      <c r="F57" s="222"/>
      <c r="G57" s="222"/>
      <c r="H57" s="222"/>
      <c r="I57" s="222"/>
      <c r="K57" s="223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</row>
    <row r="58" ht="15.75" customHeight="1">
      <c r="A58" s="216" t="s">
        <v>318</v>
      </c>
      <c r="B58" s="222"/>
      <c r="C58" s="222"/>
      <c r="D58" s="222"/>
      <c r="E58" s="222"/>
      <c r="F58" s="222"/>
      <c r="G58" s="222"/>
      <c r="H58" s="222"/>
      <c r="I58" s="222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</row>
    <row r="59" ht="15.75" customHeight="1">
      <c r="A59" s="221" t="s">
        <v>322</v>
      </c>
      <c r="B59" s="222"/>
      <c r="C59" s="222"/>
      <c r="D59" s="222"/>
      <c r="E59" s="222"/>
      <c r="F59" s="222"/>
      <c r="G59" s="222"/>
      <c r="H59" s="222"/>
      <c r="I59" s="222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</row>
    <row r="60" ht="15.75" customHeight="1">
      <c r="A60" s="221" t="s">
        <v>326</v>
      </c>
      <c r="B60" s="222"/>
      <c r="C60" s="222"/>
      <c r="D60" s="222"/>
      <c r="E60" s="222"/>
      <c r="F60" s="222"/>
      <c r="G60" s="222"/>
      <c r="H60" s="222"/>
      <c r="I60" s="222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</row>
    <row r="61" ht="15.75" customHeight="1">
      <c r="A61" s="221" t="s">
        <v>327</v>
      </c>
      <c r="B61" s="222"/>
      <c r="C61" s="222"/>
      <c r="D61" s="222"/>
      <c r="E61" s="222"/>
      <c r="F61" s="222"/>
      <c r="G61" s="222"/>
      <c r="H61" s="222"/>
      <c r="I61" s="222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</row>
    <row r="62" ht="15.75" customHeight="1">
      <c r="A62" s="221" t="s">
        <v>328</v>
      </c>
      <c r="B62" s="222"/>
      <c r="C62" s="222"/>
      <c r="D62" s="222"/>
      <c r="E62" s="222"/>
      <c r="F62" s="222"/>
      <c r="G62" s="222"/>
      <c r="H62" s="222"/>
      <c r="I62" s="222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</row>
    <row r="63" ht="15.75" customHeight="1">
      <c r="A63" s="221" t="s">
        <v>330</v>
      </c>
      <c r="B63" s="222"/>
      <c r="C63" s="222"/>
      <c r="D63" s="222"/>
      <c r="E63" s="222"/>
      <c r="F63" s="222"/>
      <c r="G63" s="222"/>
      <c r="H63" s="222"/>
      <c r="I63" s="222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</row>
    <row r="64" ht="15.75" customHeight="1">
      <c r="A64" s="221" t="s">
        <v>2327</v>
      </c>
      <c r="B64" s="222"/>
      <c r="C64" s="222"/>
      <c r="D64" s="222"/>
      <c r="E64" s="222"/>
      <c r="F64" s="222"/>
      <c r="G64" s="222"/>
      <c r="H64" s="222"/>
      <c r="I64" s="222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</row>
    <row r="65" ht="15.75" customHeight="1">
      <c r="A65" s="221" t="s">
        <v>359</v>
      </c>
      <c r="B65" s="222"/>
      <c r="C65" s="222"/>
      <c r="D65" s="222"/>
      <c r="E65" s="222"/>
      <c r="F65" s="222"/>
      <c r="G65" s="222"/>
      <c r="H65" s="222"/>
      <c r="I65" s="222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</row>
    <row r="66" ht="15.75" customHeight="1">
      <c r="A66" s="221" t="s">
        <v>2328</v>
      </c>
      <c r="B66" s="222"/>
      <c r="C66" s="222"/>
      <c r="D66" s="222"/>
      <c r="E66" s="222"/>
      <c r="F66" s="222"/>
      <c r="G66" s="222"/>
      <c r="H66" s="222"/>
      <c r="I66" s="222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</row>
    <row r="67" ht="15.75" customHeight="1">
      <c r="A67" s="221" t="s">
        <v>2057</v>
      </c>
      <c r="B67" s="222"/>
      <c r="C67" s="222"/>
      <c r="D67" s="222"/>
      <c r="E67" s="222"/>
      <c r="F67" s="222"/>
      <c r="G67" s="222"/>
      <c r="H67" s="222"/>
      <c r="I67" s="222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</row>
    <row r="68" ht="15.75" customHeight="1">
      <c r="A68" s="221" t="s">
        <v>366</v>
      </c>
      <c r="B68" s="222"/>
      <c r="C68" s="222"/>
      <c r="D68" s="222"/>
      <c r="E68" s="222"/>
      <c r="F68" s="222"/>
      <c r="G68" s="222"/>
      <c r="H68" s="222"/>
      <c r="I68" s="222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</row>
    <row r="69" ht="15.75" customHeight="1">
      <c r="A69" s="221" t="s">
        <v>2329</v>
      </c>
      <c r="B69" s="222"/>
      <c r="C69" s="222"/>
      <c r="D69" s="222"/>
      <c r="E69" s="222"/>
      <c r="F69" s="222"/>
      <c r="G69" s="222"/>
      <c r="H69" s="222"/>
      <c r="I69" s="222"/>
      <c r="K69" s="223"/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23"/>
    </row>
    <row r="70" ht="15.75" customHeight="1">
      <c r="A70" s="221" t="s">
        <v>2330</v>
      </c>
      <c r="B70" s="222"/>
      <c r="C70" s="222"/>
      <c r="D70" s="222"/>
      <c r="E70" s="222"/>
      <c r="F70" s="222"/>
      <c r="G70" s="222"/>
      <c r="H70" s="222"/>
      <c r="I70" s="222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</row>
    <row r="71" ht="15.75" customHeight="1">
      <c r="A71" s="221" t="s">
        <v>2222</v>
      </c>
      <c r="B71" s="222"/>
      <c r="C71" s="222"/>
      <c r="D71" s="222"/>
      <c r="E71" s="222"/>
      <c r="F71" s="222"/>
      <c r="G71" s="222"/>
      <c r="H71" s="222"/>
      <c r="I71" s="222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</row>
    <row r="72" ht="15.75" customHeight="1">
      <c r="A72" s="221" t="s">
        <v>380</v>
      </c>
      <c r="B72" s="222"/>
      <c r="C72" s="222"/>
      <c r="D72" s="222"/>
      <c r="E72" s="222"/>
      <c r="F72" s="222"/>
      <c r="G72" s="222"/>
      <c r="H72" s="222"/>
      <c r="I72" s="222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</row>
    <row r="73" ht="15.75" customHeight="1">
      <c r="A73" s="221" t="s">
        <v>384</v>
      </c>
      <c r="B73" s="222"/>
      <c r="C73" s="222"/>
      <c r="D73" s="222"/>
      <c r="E73" s="222"/>
      <c r="F73" s="222"/>
      <c r="G73" s="222"/>
      <c r="H73" s="222"/>
      <c r="I73" s="222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</row>
    <row r="74" ht="15.75" customHeight="1">
      <c r="A74" s="221" t="s">
        <v>394</v>
      </c>
      <c r="B74" s="222"/>
      <c r="C74" s="222"/>
      <c r="D74" s="222"/>
      <c r="E74" s="222"/>
      <c r="F74" s="222"/>
      <c r="G74" s="222"/>
      <c r="H74" s="222"/>
      <c r="I74" s="222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</row>
    <row r="75" ht="15.75" customHeight="1">
      <c r="A75" s="221" t="s">
        <v>397</v>
      </c>
      <c r="B75" s="222"/>
      <c r="C75" s="222"/>
      <c r="D75" s="222"/>
      <c r="E75" s="222"/>
      <c r="F75" s="222"/>
      <c r="G75" s="222"/>
      <c r="H75" s="222"/>
      <c r="I75" s="222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3"/>
      <c r="W75" s="223"/>
      <c r="X75" s="223"/>
    </row>
    <row r="76" ht="15.75" customHeight="1">
      <c r="A76" s="216" t="s">
        <v>406</v>
      </c>
      <c r="B76" s="222"/>
      <c r="C76" s="222"/>
      <c r="D76" s="222"/>
      <c r="E76" s="222"/>
      <c r="F76" s="222"/>
      <c r="G76" s="222"/>
      <c r="H76" s="222"/>
      <c r="I76" s="222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</row>
    <row r="77" ht="15.75" customHeight="1">
      <c r="A77" s="221" t="s">
        <v>408</v>
      </c>
      <c r="B77" s="222"/>
      <c r="C77" s="222"/>
      <c r="D77" s="222"/>
      <c r="E77" s="222"/>
      <c r="F77" s="222"/>
      <c r="G77" s="222"/>
      <c r="H77" s="222"/>
      <c r="I77" s="222"/>
      <c r="K77" s="223"/>
      <c r="L77" s="223"/>
      <c r="M77" s="223"/>
      <c r="N77" s="223"/>
      <c r="O77" s="223"/>
      <c r="P77" s="223"/>
      <c r="Q77" s="223"/>
      <c r="R77" s="223"/>
      <c r="S77" s="223"/>
      <c r="T77" s="223"/>
      <c r="U77" s="223"/>
      <c r="V77" s="223"/>
      <c r="W77" s="223"/>
      <c r="X77" s="223"/>
    </row>
    <row r="78" ht="15.75" customHeight="1">
      <c r="A78" s="221" t="s">
        <v>411</v>
      </c>
      <c r="B78" s="222"/>
      <c r="C78" s="222"/>
      <c r="D78" s="222"/>
      <c r="E78" s="222"/>
      <c r="F78" s="222"/>
      <c r="G78" s="222"/>
      <c r="H78" s="222"/>
      <c r="I78" s="222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</row>
    <row r="79" ht="15.75" customHeight="1">
      <c r="A79" s="221" t="s">
        <v>2170</v>
      </c>
      <c r="B79" s="222"/>
      <c r="C79" s="222"/>
      <c r="D79" s="222"/>
      <c r="E79" s="222"/>
      <c r="F79" s="222"/>
      <c r="G79" s="222"/>
      <c r="H79" s="222"/>
      <c r="I79" s="222"/>
      <c r="K79" s="223"/>
      <c r="L79" s="223"/>
      <c r="M79" s="223"/>
      <c r="N79" s="223"/>
      <c r="O79" s="223"/>
      <c r="P79" s="223"/>
      <c r="Q79" s="223"/>
      <c r="R79" s="223"/>
      <c r="S79" s="223"/>
      <c r="T79" s="223"/>
      <c r="U79" s="223"/>
      <c r="V79" s="223"/>
      <c r="W79" s="223"/>
      <c r="X79" s="223"/>
    </row>
    <row r="80" ht="15.75" customHeight="1">
      <c r="A80" s="221" t="s">
        <v>2331</v>
      </c>
      <c r="B80" s="222"/>
      <c r="C80" s="222"/>
      <c r="D80" s="222"/>
      <c r="E80" s="222"/>
      <c r="F80" s="222"/>
      <c r="G80" s="222"/>
      <c r="H80" s="222"/>
      <c r="I80" s="222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</row>
    <row r="81" ht="15.75" customHeight="1">
      <c r="A81" s="221" t="s">
        <v>422</v>
      </c>
      <c r="B81" s="222"/>
      <c r="C81" s="222"/>
      <c r="D81" s="222"/>
      <c r="E81" s="222"/>
      <c r="F81" s="222"/>
      <c r="G81" s="222"/>
      <c r="H81" s="222"/>
      <c r="I81" s="222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</row>
    <row r="82" ht="15.75" customHeight="1">
      <c r="A82" s="221" t="s">
        <v>2332</v>
      </c>
      <c r="B82" s="222"/>
      <c r="C82" s="222"/>
      <c r="D82" s="222"/>
      <c r="E82" s="222"/>
      <c r="F82" s="222"/>
      <c r="G82" s="222"/>
      <c r="H82" s="222"/>
      <c r="I82" s="222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</row>
    <row r="83" ht="15.75" customHeight="1">
      <c r="A83" s="225" t="s">
        <v>434</v>
      </c>
      <c r="B83" s="222"/>
      <c r="C83" s="222">
        <v>100.0</v>
      </c>
      <c r="D83" s="222"/>
      <c r="E83" s="222"/>
      <c r="F83" s="222"/>
      <c r="G83" s="222"/>
      <c r="H83" s="222"/>
      <c r="I83" s="222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</row>
    <row r="84" ht="15.75" customHeight="1">
      <c r="A84" s="216" t="s">
        <v>432</v>
      </c>
      <c r="B84" s="222"/>
      <c r="C84" s="222"/>
      <c r="D84" s="222"/>
      <c r="E84" s="222"/>
      <c r="F84" s="222"/>
      <c r="G84" s="222"/>
      <c r="H84" s="222"/>
      <c r="I84" s="222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</row>
    <row r="85" ht="15.75" customHeight="1">
      <c r="A85" s="216" t="s">
        <v>433</v>
      </c>
      <c r="B85" s="222"/>
      <c r="C85" s="222"/>
      <c r="D85" s="222"/>
      <c r="E85" s="222"/>
      <c r="F85" s="222"/>
      <c r="G85" s="222"/>
      <c r="H85" s="222"/>
      <c r="I85" s="222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</row>
    <row r="86" ht="15.75" customHeight="1">
      <c r="A86" s="221" t="s">
        <v>444</v>
      </c>
      <c r="B86" s="222"/>
      <c r="C86" s="222"/>
      <c r="D86" s="222"/>
      <c r="E86" s="222"/>
      <c r="F86" s="222"/>
      <c r="G86" s="222"/>
      <c r="H86" s="222"/>
      <c r="I86" s="222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</row>
    <row r="87" ht="15.75" customHeight="1">
      <c r="A87" s="221" t="s">
        <v>446</v>
      </c>
      <c r="B87" s="222"/>
      <c r="C87" s="222"/>
      <c r="D87" s="222"/>
      <c r="E87" s="222"/>
      <c r="F87" s="222"/>
      <c r="G87" s="222"/>
      <c r="H87" s="222"/>
      <c r="I87" s="222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</row>
    <row r="88" ht="15.75" customHeight="1">
      <c r="A88" s="221" t="s">
        <v>453</v>
      </c>
      <c r="B88" s="222"/>
      <c r="C88" s="222"/>
      <c r="D88" s="222"/>
      <c r="E88" s="222"/>
      <c r="F88" s="222"/>
      <c r="G88" s="222"/>
      <c r="H88" s="222"/>
      <c r="I88" s="222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</row>
    <row r="89" ht="15.75" customHeight="1">
      <c r="A89" s="225" t="s">
        <v>2105</v>
      </c>
      <c r="B89" s="222"/>
      <c r="C89" s="222"/>
      <c r="D89" s="222">
        <v>200.0</v>
      </c>
      <c r="E89" s="222"/>
      <c r="F89" s="222"/>
      <c r="G89" s="222"/>
      <c r="H89" s="222"/>
      <c r="I89" s="222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</row>
    <row r="90" ht="15.75" customHeight="1">
      <c r="A90" s="221" t="s">
        <v>2006</v>
      </c>
      <c r="B90" s="222"/>
      <c r="C90" s="222"/>
      <c r="D90" s="222"/>
      <c r="E90" s="222"/>
      <c r="F90" s="222"/>
      <c r="G90" s="222"/>
      <c r="H90" s="222"/>
      <c r="I90" s="222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</row>
    <row r="91" ht="15.75" customHeight="1">
      <c r="A91" s="221" t="s">
        <v>2333</v>
      </c>
      <c r="B91" s="222"/>
      <c r="C91" s="222"/>
      <c r="D91" s="222"/>
      <c r="E91" s="222"/>
      <c r="F91" s="222"/>
      <c r="G91" s="222"/>
      <c r="H91" s="222"/>
      <c r="I91" s="222"/>
      <c r="K91" s="223"/>
      <c r="L91" s="223"/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</row>
    <row r="92" ht="15.75" customHeight="1">
      <c r="A92" s="221" t="s">
        <v>2164</v>
      </c>
      <c r="B92" s="222"/>
      <c r="C92" s="222"/>
      <c r="D92" s="222"/>
      <c r="E92" s="222"/>
      <c r="F92" s="222"/>
      <c r="G92" s="222"/>
      <c r="H92" s="222"/>
      <c r="I92" s="222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</row>
    <row r="93" ht="15.75" customHeight="1">
      <c r="A93" s="221" t="s">
        <v>474</v>
      </c>
      <c r="B93" s="222"/>
      <c r="C93" s="222"/>
      <c r="D93" s="222"/>
      <c r="E93" s="222"/>
      <c r="F93" s="222"/>
      <c r="G93" s="222"/>
      <c r="H93" s="222"/>
      <c r="I93" s="222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</row>
    <row r="94" ht="15.75" customHeight="1">
      <c r="A94" s="221" t="s">
        <v>2165</v>
      </c>
      <c r="B94" s="222"/>
      <c r="C94" s="222"/>
      <c r="D94" s="222"/>
      <c r="E94" s="222"/>
      <c r="F94" s="222"/>
      <c r="G94" s="222"/>
      <c r="H94" s="222"/>
      <c r="I94" s="222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</row>
    <row r="95" ht="15.75" customHeight="1">
      <c r="A95" s="221" t="s">
        <v>476</v>
      </c>
      <c r="B95" s="222"/>
      <c r="C95" s="222"/>
      <c r="D95" s="222"/>
      <c r="E95" s="222"/>
      <c r="F95" s="222"/>
      <c r="G95" s="222"/>
      <c r="H95" s="222"/>
      <c r="I95" s="222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</row>
    <row r="96" ht="15.75" customHeight="1">
      <c r="A96" s="221" t="s">
        <v>2334</v>
      </c>
      <c r="B96" s="222"/>
      <c r="C96" s="222"/>
      <c r="D96" s="222"/>
      <c r="E96" s="222"/>
      <c r="F96" s="222"/>
      <c r="G96" s="222"/>
      <c r="H96" s="222"/>
      <c r="I96" s="222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</row>
    <row r="97" ht="15.75" customHeight="1">
      <c r="A97" s="221" t="s">
        <v>478</v>
      </c>
      <c r="B97" s="222"/>
      <c r="C97" s="222"/>
      <c r="D97" s="222"/>
      <c r="E97" s="222"/>
      <c r="F97" s="222"/>
      <c r="G97" s="222"/>
      <c r="H97" s="222"/>
      <c r="I97" s="222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</row>
    <row r="98" ht="15.75" customHeight="1">
      <c r="A98" s="221" t="s">
        <v>481</v>
      </c>
      <c r="B98" s="222"/>
      <c r="C98" s="222"/>
      <c r="D98" s="222"/>
      <c r="E98" s="222"/>
      <c r="F98" s="222"/>
      <c r="G98" s="222"/>
      <c r="H98" s="222"/>
      <c r="I98" s="222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</row>
    <row r="99" ht="15.75" customHeight="1">
      <c r="A99" s="226" t="s">
        <v>482</v>
      </c>
      <c r="B99" s="222"/>
      <c r="C99" s="222"/>
      <c r="D99" s="222"/>
      <c r="E99" s="222"/>
      <c r="F99" s="222"/>
      <c r="G99" s="222"/>
      <c r="H99" s="222"/>
      <c r="I99" s="222"/>
      <c r="K99" s="223"/>
      <c r="L99" s="223"/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</row>
    <row r="100" ht="15.75" customHeight="1">
      <c r="A100" s="227" t="s">
        <v>484</v>
      </c>
      <c r="B100" s="222"/>
      <c r="C100" s="222"/>
      <c r="D100" s="222"/>
      <c r="E100" s="222"/>
      <c r="F100" s="222">
        <v>220.0</v>
      </c>
      <c r="G100" s="222"/>
      <c r="H100" s="222"/>
      <c r="I100" s="222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</row>
    <row r="101" ht="15.75" customHeight="1">
      <c r="A101" s="221" t="s">
        <v>486</v>
      </c>
      <c r="B101" s="222"/>
      <c r="C101" s="222"/>
      <c r="D101" s="222"/>
      <c r="E101" s="222"/>
      <c r="F101" s="222"/>
      <c r="G101" s="222"/>
      <c r="H101" s="222"/>
      <c r="I101" s="222"/>
      <c r="K101" s="223"/>
      <c r="L101" s="223"/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</row>
    <row r="102" ht="15.75" customHeight="1">
      <c r="A102" s="221" t="s">
        <v>489</v>
      </c>
      <c r="B102" s="222"/>
      <c r="C102" s="222"/>
      <c r="D102" s="222"/>
      <c r="E102" s="222"/>
      <c r="F102" s="222"/>
      <c r="G102" s="222"/>
      <c r="H102" s="222"/>
      <c r="I102" s="222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</row>
    <row r="103" ht="15.75" customHeight="1">
      <c r="A103" s="221" t="s">
        <v>493</v>
      </c>
      <c r="B103" s="222"/>
      <c r="C103" s="222"/>
      <c r="D103" s="222"/>
      <c r="E103" s="222"/>
      <c r="F103" s="222"/>
      <c r="G103" s="222"/>
      <c r="H103" s="222"/>
      <c r="I103" s="222"/>
      <c r="K103" s="223"/>
      <c r="L103" s="223"/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</row>
    <row r="104" ht="15.75" customHeight="1">
      <c r="A104" s="221" t="s">
        <v>2335</v>
      </c>
      <c r="B104" s="222"/>
      <c r="C104" s="222"/>
      <c r="D104" s="222"/>
      <c r="E104" s="222"/>
      <c r="F104" s="222"/>
      <c r="G104" s="222"/>
      <c r="H104" s="222"/>
      <c r="I104" s="222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</row>
    <row r="105" ht="15.75" customHeight="1">
      <c r="A105" s="225" t="s">
        <v>504</v>
      </c>
      <c r="B105" s="222"/>
      <c r="C105" s="222"/>
      <c r="D105" s="222"/>
      <c r="E105" s="222"/>
      <c r="F105" s="222"/>
      <c r="G105" s="222">
        <v>72.0</v>
      </c>
      <c r="H105" s="222"/>
      <c r="I105" s="222"/>
      <c r="K105" s="223"/>
      <c r="L105" s="223"/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</row>
    <row r="106" ht="15.75" customHeight="1">
      <c r="A106" s="221" t="s">
        <v>505</v>
      </c>
      <c r="B106" s="222"/>
      <c r="C106" s="222"/>
      <c r="D106" s="222"/>
      <c r="E106" s="222"/>
      <c r="F106" s="222"/>
      <c r="G106" s="222"/>
      <c r="H106" s="222"/>
      <c r="I106" s="222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</row>
    <row r="107" ht="15.75" customHeight="1">
      <c r="A107" s="221" t="s">
        <v>506</v>
      </c>
      <c r="B107" s="222"/>
      <c r="C107" s="222"/>
      <c r="D107" s="222"/>
      <c r="E107" s="222"/>
      <c r="F107" s="222"/>
      <c r="G107" s="222"/>
      <c r="H107" s="222"/>
      <c r="I107" s="222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</row>
    <row r="108" ht="15.75" customHeight="1">
      <c r="A108" s="221" t="s">
        <v>514</v>
      </c>
      <c r="B108" s="222"/>
      <c r="C108" s="222"/>
      <c r="D108" s="222"/>
      <c r="E108" s="222"/>
      <c r="F108" s="222"/>
      <c r="G108" s="222"/>
      <c r="H108" s="222"/>
      <c r="I108" s="222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</row>
    <row r="109" ht="15.75" customHeight="1">
      <c r="A109" s="221" t="s">
        <v>2336</v>
      </c>
      <c r="B109" s="222"/>
      <c r="C109" s="222"/>
      <c r="D109" s="222"/>
      <c r="E109" s="222"/>
      <c r="F109" s="222"/>
      <c r="G109" s="222"/>
      <c r="H109" s="222"/>
      <c r="I109" s="222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</row>
    <row r="110" ht="15.75" customHeight="1">
      <c r="A110" s="221" t="s">
        <v>2337</v>
      </c>
      <c r="B110" s="222"/>
      <c r="C110" s="222"/>
      <c r="D110" s="222"/>
      <c r="E110" s="222"/>
      <c r="F110" s="222"/>
      <c r="G110" s="222"/>
      <c r="H110" s="222"/>
      <c r="I110" s="222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</row>
    <row r="111" ht="15.75" customHeight="1">
      <c r="A111" s="221" t="s">
        <v>520</v>
      </c>
      <c r="B111" s="222"/>
      <c r="C111" s="222"/>
      <c r="D111" s="222"/>
      <c r="E111" s="222"/>
      <c r="F111" s="222"/>
      <c r="G111" s="222"/>
      <c r="H111" s="222"/>
      <c r="I111" s="222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</row>
    <row r="112" ht="15.75" customHeight="1">
      <c r="A112" s="221" t="s">
        <v>2338</v>
      </c>
      <c r="B112" s="222"/>
      <c r="C112" s="222"/>
      <c r="D112" s="222"/>
      <c r="E112" s="222"/>
      <c r="F112" s="222"/>
      <c r="G112" s="222"/>
      <c r="H112" s="222"/>
      <c r="I112" s="222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</row>
    <row r="113" ht="15.75" customHeight="1">
      <c r="A113" s="221" t="s">
        <v>2339</v>
      </c>
      <c r="B113" s="222"/>
      <c r="C113" s="222"/>
      <c r="D113" s="222"/>
      <c r="E113" s="222"/>
      <c r="F113" s="222"/>
      <c r="G113" s="222"/>
      <c r="H113" s="222"/>
      <c r="I113" s="222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</row>
    <row r="114" ht="15.75" customHeight="1">
      <c r="A114" s="221" t="s">
        <v>529</v>
      </c>
      <c r="B114" s="222"/>
      <c r="C114" s="222"/>
      <c r="D114" s="222"/>
      <c r="E114" s="222"/>
      <c r="F114" s="222"/>
      <c r="G114" s="222"/>
      <c r="H114" s="222"/>
      <c r="I114" s="222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</row>
    <row r="115" ht="15.75" customHeight="1">
      <c r="A115" s="225" t="s">
        <v>530</v>
      </c>
      <c r="B115" s="222"/>
      <c r="C115" s="222"/>
      <c r="D115" s="222"/>
      <c r="E115" s="222"/>
      <c r="F115" s="222">
        <v>55.0</v>
      </c>
      <c r="G115" s="222"/>
      <c r="H115" s="222"/>
      <c r="I115" s="222"/>
      <c r="K115" s="223"/>
      <c r="L115" s="223"/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</row>
    <row r="116" ht="15.75" customHeight="1">
      <c r="A116" s="221" t="s">
        <v>550</v>
      </c>
      <c r="B116" s="222"/>
      <c r="C116" s="222"/>
      <c r="D116" s="222"/>
      <c r="E116" s="222"/>
      <c r="F116" s="222"/>
      <c r="G116" s="222"/>
      <c r="H116" s="222"/>
      <c r="I116" s="222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</row>
    <row r="117" ht="15.75" customHeight="1">
      <c r="A117" s="221" t="s">
        <v>566</v>
      </c>
      <c r="B117" s="222"/>
      <c r="C117" s="222"/>
      <c r="D117" s="222"/>
      <c r="E117" s="222"/>
      <c r="F117" s="222"/>
      <c r="G117" s="222"/>
      <c r="H117" s="222"/>
      <c r="I117" s="222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</row>
    <row r="118" ht="15.75" customHeight="1">
      <c r="A118" s="221" t="s">
        <v>569</v>
      </c>
      <c r="B118" s="222"/>
      <c r="C118" s="222"/>
      <c r="D118" s="222"/>
      <c r="E118" s="222"/>
      <c r="F118" s="222"/>
      <c r="G118" s="222"/>
      <c r="H118" s="222"/>
      <c r="I118" s="222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</row>
    <row r="119" ht="15.75" customHeight="1">
      <c r="A119" s="221" t="s">
        <v>570</v>
      </c>
      <c r="B119" s="222"/>
      <c r="C119" s="222"/>
      <c r="D119" s="222"/>
      <c r="E119" s="222"/>
      <c r="F119" s="222"/>
      <c r="G119" s="222"/>
      <c r="H119" s="222"/>
      <c r="I119" s="222"/>
      <c r="K119" s="223"/>
      <c r="L119" s="223"/>
      <c r="M119" s="223"/>
      <c r="N119" s="223"/>
      <c r="O119" s="223"/>
      <c r="P119" s="223"/>
      <c r="Q119" s="223"/>
      <c r="R119" s="223"/>
      <c r="S119" s="223"/>
      <c r="T119" s="223"/>
      <c r="U119" s="223"/>
      <c r="V119" s="223"/>
      <c r="W119" s="223"/>
      <c r="X119" s="223"/>
    </row>
    <row r="120" ht="15.75" customHeight="1">
      <c r="A120" s="221" t="s">
        <v>574</v>
      </c>
      <c r="B120" s="222"/>
      <c r="C120" s="222"/>
      <c r="D120" s="222"/>
      <c r="E120" s="222"/>
      <c r="F120" s="222"/>
      <c r="G120" s="222"/>
      <c r="H120" s="222"/>
      <c r="I120" s="222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</row>
    <row r="121" ht="15.75" customHeight="1">
      <c r="A121" s="221" t="s">
        <v>584</v>
      </c>
      <c r="B121" s="222"/>
      <c r="C121" s="222"/>
      <c r="D121" s="222"/>
      <c r="E121" s="222"/>
      <c r="F121" s="222"/>
      <c r="G121" s="222"/>
      <c r="H121" s="222"/>
      <c r="I121" s="222"/>
      <c r="K121" s="223"/>
      <c r="L121" s="223"/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3"/>
      <c r="X121" s="223"/>
    </row>
    <row r="122" ht="15.75" customHeight="1">
      <c r="A122" s="221" t="s">
        <v>596</v>
      </c>
      <c r="B122" s="222"/>
      <c r="C122" s="222"/>
      <c r="D122" s="222"/>
      <c r="E122" s="222"/>
      <c r="F122" s="222"/>
      <c r="G122" s="222"/>
      <c r="H122" s="222"/>
      <c r="I122" s="222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</row>
    <row r="123" ht="15.75" customHeight="1">
      <c r="A123" s="221" t="s">
        <v>2130</v>
      </c>
      <c r="B123" s="222"/>
      <c r="C123" s="222"/>
      <c r="D123" s="222"/>
      <c r="E123" s="222"/>
      <c r="F123" s="222"/>
      <c r="G123" s="222"/>
      <c r="H123" s="222"/>
      <c r="I123" s="222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</row>
    <row r="124" ht="15.75" customHeight="1">
      <c r="A124" s="221" t="s">
        <v>618</v>
      </c>
      <c r="B124" s="222"/>
      <c r="C124" s="222"/>
      <c r="D124" s="222"/>
      <c r="E124" s="222"/>
      <c r="F124" s="222"/>
      <c r="G124" s="222"/>
      <c r="H124" s="222"/>
      <c r="I124" s="222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</row>
    <row r="125" ht="15.75" customHeight="1">
      <c r="A125" s="221" t="s">
        <v>625</v>
      </c>
      <c r="B125" s="222"/>
      <c r="C125" s="222"/>
      <c r="D125" s="222"/>
      <c r="E125" s="222"/>
      <c r="F125" s="222"/>
      <c r="G125" s="222"/>
      <c r="H125" s="222"/>
      <c r="I125" s="222"/>
      <c r="K125" s="223"/>
      <c r="L125" s="223"/>
      <c r="M125" s="223"/>
      <c r="N125" s="223"/>
      <c r="O125" s="223"/>
      <c r="P125" s="223"/>
      <c r="Q125" s="223"/>
      <c r="R125" s="223"/>
      <c r="S125" s="223"/>
      <c r="T125" s="223"/>
      <c r="U125" s="223"/>
      <c r="V125" s="223"/>
      <c r="W125" s="223"/>
      <c r="X125" s="223"/>
    </row>
    <row r="126" ht="15.75" customHeight="1">
      <c r="A126" s="221" t="s">
        <v>2155</v>
      </c>
      <c r="B126" s="222"/>
      <c r="C126" s="222"/>
      <c r="D126" s="222"/>
      <c r="E126" s="222"/>
      <c r="F126" s="222"/>
      <c r="G126" s="222"/>
      <c r="H126" s="222"/>
      <c r="I126" s="222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</row>
    <row r="127" ht="15.75" customHeight="1">
      <c r="A127" s="221" t="s">
        <v>2104</v>
      </c>
      <c r="B127" s="222"/>
      <c r="C127" s="222"/>
      <c r="D127" s="222"/>
      <c r="E127" s="222"/>
      <c r="F127" s="222"/>
      <c r="G127" s="222"/>
      <c r="H127" s="222"/>
      <c r="I127" s="222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</row>
    <row r="128" ht="15.75" customHeight="1">
      <c r="A128" s="221" t="s">
        <v>2340</v>
      </c>
      <c r="B128" s="222"/>
      <c r="C128" s="222"/>
      <c r="D128" s="222"/>
      <c r="E128" s="222"/>
      <c r="F128" s="222"/>
      <c r="G128" s="222"/>
      <c r="H128" s="222"/>
      <c r="I128" s="222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</row>
    <row r="129" ht="15.75" customHeight="1">
      <c r="A129" s="221" t="s">
        <v>1977</v>
      </c>
      <c r="B129" s="222"/>
      <c r="C129" s="222"/>
      <c r="D129" s="222"/>
      <c r="E129" s="222"/>
      <c r="F129" s="222"/>
      <c r="G129" s="222"/>
      <c r="H129" s="222"/>
      <c r="I129" s="222"/>
      <c r="K129" s="223"/>
      <c r="L129" s="223"/>
      <c r="M129" s="223"/>
      <c r="N129" s="223"/>
      <c r="O129" s="223"/>
      <c r="P129" s="223"/>
      <c r="Q129" s="223"/>
      <c r="R129" s="223"/>
      <c r="S129" s="223"/>
      <c r="T129" s="223"/>
      <c r="U129" s="223"/>
      <c r="V129" s="223"/>
      <c r="W129" s="223"/>
      <c r="X129" s="223"/>
    </row>
    <row r="130" ht="15.75" customHeight="1">
      <c r="A130" s="216" t="s">
        <v>2341</v>
      </c>
      <c r="B130" s="222"/>
      <c r="C130" s="222"/>
      <c r="D130" s="222"/>
      <c r="E130" s="222"/>
      <c r="F130" s="222"/>
      <c r="G130" s="222"/>
      <c r="H130" s="222"/>
      <c r="I130" s="222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</row>
    <row r="131" ht="15.75" customHeight="1">
      <c r="A131" s="216" t="s">
        <v>2122</v>
      </c>
      <c r="B131" s="222"/>
      <c r="C131" s="222"/>
      <c r="D131" s="222"/>
      <c r="E131" s="222"/>
      <c r="F131" s="222"/>
      <c r="G131" s="222"/>
      <c r="H131" s="222"/>
      <c r="I131" s="222"/>
    </row>
    <row r="132" ht="15.75" customHeight="1">
      <c r="A132" s="221" t="s">
        <v>656</v>
      </c>
      <c r="B132" s="222"/>
      <c r="C132" s="222"/>
      <c r="D132" s="222"/>
      <c r="E132" s="222"/>
      <c r="F132" s="222"/>
      <c r="G132" s="222"/>
      <c r="H132" s="222"/>
      <c r="I132" s="222"/>
    </row>
    <row r="133" ht="15.75" customHeight="1">
      <c r="A133" s="221" t="s">
        <v>2342</v>
      </c>
      <c r="B133" s="222"/>
      <c r="C133" s="222"/>
      <c r="D133" s="222"/>
      <c r="E133" s="222"/>
      <c r="F133" s="222"/>
      <c r="G133" s="222"/>
      <c r="H133" s="222"/>
      <c r="I133" s="222"/>
    </row>
    <row r="134" ht="15.75" customHeight="1">
      <c r="A134" s="221" t="s">
        <v>2343</v>
      </c>
      <c r="B134" s="222"/>
      <c r="C134" s="222"/>
      <c r="D134" s="222"/>
      <c r="E134" s="222"/>
      <c r="F134" s="222"/>
      <c r="G134" s="222"/>
      <c r="H134" s="222"/>
      <c r="I134" s="222"/>
    </row>
    <row r="135" ht="15.75" customHeight="1">
      <c r="A135" s="221" t="s">
        <v>669</v>
      </c>
      <c r="B135" s="222"/>
      <c r="C135" s="222"/>
      <c r="D135" s="222"/>
      <c r="E135" s="222"/>
      <c r="F135" s="222"/>
      <c r="G135" s="222"/>
      <c r="H135" s="222"/>
      <c r="I135" s="222"/>
    </row>
    <row r="136" ht="15.75" customHeight="1">
      <c r="A136" s="221" t="s">
        <v>677</v>
      </c>
      <c r="B136" s="222"/>
      <c r="C136" s="222"/>
      <c r="D136" s="222"/>
      <c r="E136" s="222"/>
      <c r="F136" s="222"/>
      <c r="G136" s="222"/>
      <c r="H136" s="222"/>
      <c r="I136" s="222"/>
    </row>
    <row r="137" ht="15.75" customHeight="1">
      <c r="A137" s="221" t="s">
        <v>680</v>
      </c>
      <c r="B137" s="222"/>
      <c r="C137" s="222"/>
      <c r="D137" s="222"/>
      <c r="E137" s="222"/>
      <c r="F137" s="222"/>
      <c r="G137" s="222"/>
      <c r="H137" s="222"/>
      <c r="I137" s="222"/>
    </row>
    <row r="138" ht="15.75" customHeight="1">
      <c r="A138" s="221" t="s">
        <v>684</v>
      </c>
      <c r="B138" s="222"/>
      <c r="C138" s="222"/>
      <c r="D138" s="222"/>
      <c r="E138" s="222"/>
      <c r="F138" s="222"/>
      <c r="G138" s="222"/>
      <c r="H138" s="222"/>
      <c r="I138" s="222"/>
    </row>
    <row r="139" ht="15.75" customHeight="1">
      <c r="A139" s="221" t="s">
        <v>685</v>
      </c>
      <c r="B139" s="222"/>
      <c r="C139" s="222"/>
      <c r="D139" s="222"/>
      <c r="E139" s="222"/>
      <c r="F139" s="222"/>
      <c r="G139" s="222"/>
      <c r="H139" s="222"/>
      <c r="I139" s="222"/>
    </row>
    <row r="140" ht="15.75" customHeight="1">
      <c r="A140" s="221" t="s">
        <v>686</v>
      </c>
      <c r="B140" s="222"/>
      <c r="C140" s="222"/>
      <c r="D140" s="222"/>
      <c r="E140" s="222"/>
      <c r="F140" s="222"/>
      <c r="G140" s="222"/>
      <c r="H140" s="222"/>
      <c r="I140" s="222"/>
    </row>
    <row r="141" ht="15.75" customHeight="1">
      <c r="A141" s="221" t="s">
        <v>696</v>
      </c>
      <c r="B141" s="222"/>
      <c r="C141" s="222"/>
      <c r="D141" s="222"/>
      <c r="E141" s="222"/>
      <c r="F141" s="222"/>
      <c r="G141" s="222"/>
      <c r="H141" s="222"/>
      <c r="I141" s="222"/>
    </row>
    <row r="142" ht="15.75" customHeight="1">
      <c r="A142" s="221" t="s">
        <v>703</v>
      </c>
      <c r="B142" s="222"/>
      <c r="C142" s="222"/>
      <c r="D142" s="222"/>
      <c r="E142" s="222"/>
      <c r="F142" s="222"/>
      <c r="G142" s="222"/>
      <c r="H142" s="222"/>
      <c r="I142" s="222"/>
    </row>
    <row r="143" ht="15.75" customHeight="1">
      <c r="A143" s="221" t="s">
        <v>2344</v>
      </c>
      <c r="B143" s="222"/>
      <c r="C143" s="222"/>
      <c r="D143" s="222"/>
      <c r="E143" s="222"/>
      <c r="F143" s="222"/>
      <c r="G143" s="222"/>
      <c r="H143" s="222"/>
      <c r="I143" s="222"/>
    </row>
    <row r="144" ht="15.75" customHeight="1">
      <c r="A144" s="221" t="s">
        <v>2345</v>
      </c>
      <c r="B144" s="222"/>
      <c r="C144" s="222"/>
      <c r="D144" s="222"/>
      <c r="E144" s="222"/>
      <c r="F144" s="222"/>
      <c r="G144" s="222"/>
      <c r="H144" s="222"/>
      <c r="I144" s="222"/>
    </row>
    <row r="145" ht="15.75" customHeight="1">
      <c r="A145" s="221" t="s">
        <v>706</v>
      </c>
      <c r="B145" s="222"/>
      <c r="C145" s="222"/>
      <c r="D145" s="222"/>
      <c r="E145" s="222"/>
      <c r="F145" s="222"/>
      <c r="G145" s="222"/>
      <c r="H145" s="222"/>
      <c r="I145" s="222"/>
    </row>
    <row r="146" ht="15.75" customHeight="1">
      <c r="A146" s="221" t="s">
        <v>715</v>
      </c>
      <c r="B146" s="222"/>
      <c r="C146" s="222"/>
      <c r="D146" s="222"/>
      <c r="E146" s="222"/>
      <c r="F146" s="222"/>
      <c r="G146" s="222"/>
      <c r="H146" s="222"/>
      <c r="I146" s="222"/>
    </row>
    <row r="147" ht="15.75" customHeight="1">
      <c r="A147" s="221" t="s">
        <v>2346</v>
      </c>
      <c r="B147" s="222"/>
      <c r="C147" s="222"/>
      <c r="D147" s="222"/>
      <c r="E147" s="222"/>
      <c r="F147" s="222"/>
      <c r="G147" s="222"/>
      <c r="H147" s="222"/>
      <c r="I147" s="222"/>
    </row>
    <row r="148" ht="15.75" customHeight="1">
      <c r="A148" s="221" t="s">
        <v>2007</v>
      </c>
      <c r="B148" s="222"/>
      <c r="C148" s="222"/>
      <c r="D148" s="222"/>
      <c r="E148" s="222"/>
      <c r="F148" s="222"/>
      <c r="G148" s="222"/>
      <c r="H148" s="222"/>
      <c r="I148" s="222"/>
    </row>
    <row r="149" ht="15.75" customHeight="1">
      <c r="A149" s="221" t="s">
        <v>719</v>
      </c>
      <c r="B149" s="222"/>
      <c r="C149" s="222"/>
      <c r="D149" s="222"/>
      <c r="E149" s="222"/>
      <c r="F149" s="222"/>
      <c r="G149" s="222"/>
      <c r="H149" s="222"/>
      <c r="I149" s="222"/>
    </row>
    <row r="150" ht="15.75" customHeight="1">
      <c r="A150" s="221" t="s">
        <v>2058</v>
      </c>
      <c r="B150" s="222"/>
      <c r="C150" s="222"/>
      <c r="D150" s="222"/>
      <c r="E150" s="222"/>
      <c r="F150" s="222"/>
      <c r="G150" s="222"/>
      <c r="H150" s="222"/>
      <c r="I150" s="222"/>
    </row>
    <row r="151" ht="15.75" customHeight="1">
      <c r="A151" s="221" t="s">
        <v>721</v>
      </c>
      <c r="B151" s="222"/>
      <c r="C151" s="222"/>
      <c r="D151" s="222"/>
      <c r="E151" s="222"/>
      <c r="F151" s="222"/>
      <c r="G151" s="222"/>
      <c r="H151" s="222"/>
      <c r="I151" s="222"/>
    </row>
    <row r="152" ht="15.75" customHeight="1">
      <c r="A152" s="225" t="s">
        <v>732</v>
      </c>
      <c r="B152" s="222"/>
      <c r="C152" s="222">
        <v>110.0</v>
      </c>
      <c r="D152" s="222"/>
      <c r="E152" s="222"/>
      <c r="F152" s="222"/>
      <c r="G152" s="222"/>
      <c r="H152" s="222"/>
      <c r="I152" s="222"/>
    </row>
    <row r="153" ht="15.75" customHeight="1">
      <c r="A153" s="221" t="s">
        <v>2075</v>
      </c>
      <c r="B153" s="222"/>
      <c r="C153" s="222"/>
      <c r="D153" s="222"/>
      <c r="E153" s="222"/>
      <c r="F153" s="222"/>
      <c r="G153" s="222"/>
      <c r="H153" s="222"/>
      <c r="I153" s="222"/>
    </row>
    <row r="154" ht="15.75" customHeight="1">
      <c r="A154" s="221" t="s">
        <v>738</v>
      </c>
      <c r="B154" s="222"/>
      <c r="C154" s="222"/>
      <c r="D154" s="222"/>
      <c r="E154" s="222"/>
      <c r="F154" s="222"/>
      <c r="G154" s="222"/>
      <c r="H154" s="222"/>
      <c r="I154" s="222"/>
    </row>
    <row r="155" ht="15.75" customHeight="1">
      <c r="A155" s="221" t="s">
        <v>2077</v>
      </c>
      <c r="B155" s="222"/>
      <c r="C155" s="222"/>
      <c r="D155" s="222"/>
      <c r="E155" s="222"/>
      <c r="F155" s="222"/>
      <c r="G155" s="222"/>
      <c r="H155" s="222"/>
      <c r="I155" s="222"/>
    </row>
    <row r="156" ht="15.75" customHeight="1">
      <c r="A156" s="225" t="s">
        <v>2111</v>
      </c>
      <c r="B156" s="222"/>
      <c r="C156" s="222"/>
      <c r="D156" s="222"/>
      <c r="E156" s="222"/>
      <c r="F156" s="222">
        <v>216.0</v>
      </c>
      <c r="G156" s="222"/>
      <c r="H156" s="222"/>
      <c r="I156" s="222"/>
    </row>
    <row r="157" ht="15.75" customHeight="1">
      <c r="A157" s="221" t="s">
        <v>745</v>
      </c>
      <c r="B157" s="222"/>
      <c r="C157" s="222"/>
      <c r="D157" s="222"/>
      <c r="E157" s="222"/>
      <c r="F157" s="222"/>
      <c r="G157" s="222"/>
      <c r="H157" s="222"/>
      <c r="I157" s="222"/>
    </row>
    <row r="158" ht="15.75" customHeight="1">
      <c r="A158" s="225" t="s">
        <v>754</v>
      </c>
      <c r="B158" s="222">
        <v>110.0</v>
      </c>
      <c r="C158" s="222"/>
      <c r="D158" s="222"/>
      <c r="E158" s="222">
        <v>189.0</v>
      </c>
      <c r="F158" s="222"/>
      <c r="G158" s="222"/>
      <c r="H158" s="222"/>
      <c r="I158" s="222"/>
    </row>
    <row r="159" ht="15.75" customHeight="1">
      <c r="A159" s="221" t="s">
        <v>767</v>
      </c>
      <c r="B159" s="222"/>
      <c r="C159" s="222"/>
      <c r="D159" s="222"/>
      <c r="E159" s="222"/>
      <c r="F159" s="222"/>
      <c r="G159" s="222"/>
      <c r="H159" s="222"/>
      <c r="I159" s="222"/>
    </row>
    <row r="160" ht="15.75" customHeight="1">
      <c r="A160" s="221" t="s">
        <v>2347</v>
      </c>
      <c r="B160" s="222"/>
      <c r="C160" s="222"/>
      <c r="D160" s="222"/>
      <c r="E160" s="222"/>
      <c r="F160" s="222"/>
      <c r="G160" s="222"/>
      <c r="H160" s="222"/>
      <c r="I160" s="222"/>
    </row>
    <row r="161" ht="15.75" customHeight="1">
      <c r="A161" s="221" t="s">
        <v>774</v>
      </c>
      <c r="B161" s="222"/>
      <c r="C161" s="222"/>
      <c r="D161" s="222"/>
      <c r="E161" s="222"/>
      <c r="F161" s="222"/>
      <c r="G161" s="222"/>
      <c r="H161" s="222"/>
      <c r="I161" s="222"/>
    </row>
    <row r="162" ht="15.75" customHeight="1">
      <c r="A162" s="225" t="s">
        <v>2210</v>
      </c>
      <c r="B162" s="222"/>
      <c r="C162" s="222"/>
      <c r="D162" s="222">
        <v>53.0</v>
      </c>
      <c r="E162" s="222"/>
      <c r="F162" s="222"/>
      <c r="G162" s="222"/>
      <c r="H162" s="222"/>
      <c r="I162" s="222"/>
    </row>
    <row r="163" ht="15.75" customHeight="1">
      <c r="A163" s="221" t="s">
        <v>2348</v>
      </c>
      <c r="B163" s="222"/>
      <c r="C163" s="222"/>
      <c r="D163" s="222"/>
      <c r="E163" s="222"/>
      <c r="F163" s="222"/>
      <c r="G163" s="222"/>
      <c r="H163" s="222"/>
      <c r="I163" s="222"/>
    </row>
    <row r="164" ht="15.75" customHeight="1">
      <c r="A164" s="221" t="s">
        <v>2349</v>
      </c>
      <c r="B164" s="222"/>
      <c r="C164" s="222"/>
      <c r="D164" s="222"/>
      <c r="E164" s="222"/>
      <c r="F164" s="222"/>
      <c r="G164" s="222"/>
      <c r="H164" s="222"/>
      <c r="I164" s="222"/>
    </row>
    <row r="165" ht="15.75" customHeight="1">
      <c r="A165" s="221" t="s">
        <v>2350</v>
      </c>
      <c r="B165" s="222"/>
      <c r="C165" s="222"/>
      <c r="D165" s="222"/>
      <c r="E165" s="222"/>
      <c r="F165" s="222"/>
      <c r="G165" s="222"/>
      <c r="H165" s="222"/>
      <c r="I165" s="222"/>
    </row>
    <row r="166" ht="15.75" customHeight="1">
      <c r="A166" s="225" t="s">
        <v>813</v>
      </c>
      <c r="B166" s="222"/>
      <c r="C166" s="222"/>
      <c r="D166" s="222"/>
      <c r="E166" s="222"/>
      <c r="F166" s="222"/>
      <c r="G166" s="222"/>
      <c r="H166" s="222"/>
      <c r="I166" s="222">
        <v>60.0</v>
      </c>
    </row>
    <row r="167" ht="15.75" customHeight="1">
      <c r="A167" s="221" t="s">
        <v>822</v>
      </c>
      <c r="B167" s="222"/>
      <c r="C167" s="222"/>
      <c r="D167" s="222"/>
      <c r="E167" s="222"/>
      <c r="F167" s="222"/>
      <c r="G167" s="222"/>
      <c r="H167" s="222"/>
      <c r="I167" s="222"/>
    </row>
    <row r="168" ht="15.75" customHeight="1">
      <c r="A168" s="221" t="s">
        <v>2351</v>
      </c>
      <c r="B168" s="222"/>
      <c r="C168" s="222"/>
      <c r="D168" s="222"/>
      <c r="E168" s="222"/>
      <c r="F168" s="222"/>
      <c r="G168" s="222"/>
      <c r="H168" s="222"/>
      <c r="I168" s="222"/>
    </row>
    <row r="169" ht="15.75" customHeight="1">
      <c r="A169" s="221" t="s">
        <v>827</v>
      </c>
      <c r="B169" s="222"/>
      <c r="C169" s="222"/>
      <c r="D169" s="222"/>
      <c r="E169" s="222"/>
      <c r="F169" s="222"/>
      <c r="G169" s="222"/>
      <c r="H169" s="222"/>
      <c r="I169" s="222"/>
    </row>
    <row r="170" ht="15.75" customHeight="1">
      <c r="A170" s="221" t="s">
        <v>2228</v>
      </c>
      <c r="B170" s="222"/>
      <c r="C170" s="222"/>
      <c r="D170" s="222"/>
      <c r="E170" s="222"/>
      <c r="F170" s="222"/>
      <c r="G170" s="222"/>
      <c r="H170" s="222"/>
      <c r="I170" s="222"/>
    </row>
    <row r="171" ht="15.75" customHeight="1">
      <c r="A171" s="221" t="s">
        <v>832</v>
      </c>
      <c r="B171" s="222"/>
      <c r="C171" s="222"/>
      <c r="D171" s="222"/>
      <c r="E171" s="222"/>
      <c r="F171" s="222"/>
      <c r="G171" s="222"/>
      <c r="H171" s="222"/>
      <c r="I171" s="222"/>
    </row>
    <row r="172" ht="15.75" customHeight="1">
      <c r="A172" s="221" t="s">
        <v>835</v>
      </c>
      <c r="B172" s="222"/>
      <c r="C172" s="222"/>
      <c r="D172" s="222"/>
      <c r="E172" s="222"/>
      <c r="F172" s="222"/>
      <c r="G172" s="222"/>
      <c r="H172" s="222"/>
      <c r="I172" s="222"/>
    </row>
    <row r="173" ht="15.75" customHeight="1">
      <c r="A173" s="221" t="s">
        <v>846</v>
      </c>
      <c r="B173" s="222"/>
      <c r="C173" s="222"/>
      <c r="D173" s="222"/>
      <c r="E173" s="222"/>
      <c r="F173" s="222"/>
      <c r="G173" s="222"/>
      <c r="H173" s="222"/>
      <c r="I173" s="222"/>
    </row>
    <row r="174" ht="15.75" customHeight="1">
      <c r="A174" s="221" t="s">
        <v>2019</v>
      </c>
      <c r="B174" s="222"/>
      <c r="C174" s="222"/>
      <c r="D174" s="222"/>
      <c r="E174" s="222"/>
      <c r="F174" s="222"/>
      <c r="G174" s="222"/>
      <c r="H174" s="222"/>
      <c r="I174" s="222"/>
    </row>
    <row r="175" ht="15.75" customHeight="1">
      <c r="A175" s="225" t="s">
        <v>2168</v>
      </c>
      <c r="B175" s="222"/>
      <c r="C175" s="222"/>
      <c r="D175" s="222">
        <v>54.0</v>
      </c>
      <c r="E175" s="222"/>
      <c r="F175" s="222"/>
      <c r="G175" s="222"/>
      <c r="H175" s="222">
        <v>22.0</v>
      </c>
      <c r="I175" s="222"/>
    </row>
    <row r="176" ht="15.75" customHeight="1">
      <c r="A176" s="221" t="s">
        <v>856</v>
      </c>
      <c r="B176" s="222"/>
      <c r="C176" s="222"/>
      <c r="D176" s="222"/>
      <c r="E176" s="222"/>
      <c r="F176" s="222"/>
      <c r="G176" s="222"/>
      <c r="H176" s="222"/>
      <c r="I176" s="222"/>
    </row>
    <row r="177" ht="15.75" customHeight="1">
      <c r="A177" s="221" t="s">
        <v>2192</v>
      </c>
      <c r="B177" s="222"/>
      <c r="C177" s="222"/>
      <c r="D177" s="222"/>
      <c r="E177" s="222"/>
      <c r="F177" s="222"/>
      <c r="G177" s="222"/>
      <c r="H177" s="222"/>
      <c r="I177" s="222"/>
    </row>
    <row r="178" ht="15.75" customHeight="1">
      <c r="A178" s="221" t="s">
        <v>865</v>
      </c>
      <c r="B178" s="222"/>
      <c r="C178" s="222"/>
      <c r="D178" s="222"/>
      <c r="E178" s="222"/>
      <c r="F178" s="222"/>
      <c r="G178" s="222"/>
      <c r="H178" s="222"/>
      <c r="I178" s="222"/>
    </row>
    <row r="179" ht="15.75" customHeight="1">
      <c r="A179" s="221" t="s">
        <v>868</v>
      </c>
      <c r="B179" s="222"/>
      <c r="C179" s="222"/>
      <c r="D179" s="222"/>
      <c r="E179" s="222"/>
      <c r="F179" s="222"/>
      <c r="G179" s="222"/>
      <c r="H179" s="222"/>
      <c r="I179" s="222"/>
    </row>
    <row r="180" ht="15.75" customHeight="1">
      <c r="A180" s="221" t="s">
        <v>870</v>
      </c>
      <c r="B180" s="222"/>
      <c r="C180" s="222"/>
      <c r="D180" s="222"/>
      <c r="E180" s="222"/>
      <c r="F180" s="222"/>
      <c r="G180" s="222"/>
      <c r="H180" s="222"/>
      <c r="I180" s="222"/>
    </row>
    <row r="181" ht="15.75" customHeight="1">
      <c r="A181" s="221" t="s">
        <v>2352</v>
      </c>
      <c r="B181" s="222"/>
      <c r="C181" s="222"/>
      <c r="D181" s="222"/>
      <c r="E181" s="222"/>
      <c r="F181" s="222"/>
      <c r="G181" s="222"/>
      <c r="H181" s="222"/>
      <c r="I181" s="222"/>
    </row>
    <row r="182" ht="15.75" customHeight="1">
      <c r="A182" s="221" t="s">
        <v>882</v>
      </c>
      <c r="B182" s="222"/>
      <c r="C182" s="222"/>
      <c r="D182" s="222"/>
      <c r="E182" s="222"/>
      <c r="F182" s="222"/>
      <c r="G182" s="222"/>
      <c r="H182" s="222"/>
      <c r="I182" s="222"/>
    </row>
    <row r="183" ht="15.75" customHeight="1">
      <c r="A183" s="221" t="s">
        <v>1978</v>
      </c>
      <c r="B183" s="222"/>
      <c r="C183" s="222"/>
      <c r="D183" s="222"/>
      <c r="E183" s="222"/>
      <c r="F183" s="222"/>
      <c r="G183" s="222"/>
      <c r="H183" s="222"/>
      <c r="I183" s="222"/>
    </row>
    <row r="184" ht="15.75" customHeight="1">
      <c r="A184" s="221" t="s">
        <v>886</v>
      </c>
      <c r="B184" s="222"/>
      <c r="C184" s="222"/>
      <c r="D184" s="222"/>
      <c r="E184" s="222"/>
      <c r="F184" s="222"/>
      <c r="G184" s="222"/>
      <c r="H184" s="222"/>
      <c r="I184" s="222"/>
    </row>
    <row r="185" ht="15.75" customHeight="1">
      <c r="A185" s="221" t="s">
        <v>887</v>
      </c>
      <c r="B185" s="222"/>
      <c r="C185" s="222"/>
      <c r="D185" s="222"/>
      <c r="E185" s="222"/>
      <c r="F185" s="222"/>
      <c r="G185" s="222"/>
      <c r="H185" s="222"/>
      <c r="I185" s="222"/>
    </row>
    <row r="186" ht="15.75" customHeight="1">
      <c r="A186" s="221" t="s">
        <v>896</v>
      </c>
      <c r="B186" s="222"/>
      <c r="C186" s="222"/>
      <c r="D186" s="222"/>
      <c r="E186" s="222"/>
      <c r="F186" s="222"/>
      <c r="G186" s="222"/>
      <c r="H186" s="222"/>
      <c r="I186" s="222"/>
    </row>
    <row r="187" ht="15.75" customHeight="1">
      <c r="A187" s="221" t="s">
        <v>899</v>
      </c>
      <c r="B187" s="222"/>
      <c r="C187" s="222"/>
      <c r="D187" s="222"/>
      <c r="E187" s="222"/>
      <c r="F187" s="222"/>
      <c r="G187" s="222"/>
      <c r="H187" s="222"/>
      <c r="I187" s="222"/>
    </row>
    <row r="188" ht="15.75" customHeight="1">
      <c r="A188" s="221" t="s">
        <v>905</v>
      </c>
      <c r="B188" s="222"/>
      <c r="C188" s="222"/>
      <c r="D188" s="222"/>
      <c r="E188" s="222"/>
      <c r="F188" s="222"/>
      <c r="G188" s="222"/>
      <c r="H188" s="222"/>
      <c r="I188" s="222"/>
    </row>
    <row r="189" ht="15.75" customHeight="1">
      <c r="A189" s="221" t="s">
        <v>915</v>
      </c>
      <c r="B189" s="222"/>
      <c r="C189" s="222"/>
      <c r="D189" s="222"/>
      <c r="E189" s="222"/>
      <c r="F189" s="222"/>
      <c r="G189" s="222"/>
      <c r="H189" s="222"/>
      <c r="I189" s="222"/>
    </row>
    <row r="190" ht="15.75" customHeight="1">
      <c r="A190" s="221" t="s">
        <v>916</v>
      </c>
      <c r="B190" s="222"/>
      <c r="C190" s="222"/>
      <c r="D190" s="222"/>
      <c r="E190" s="222"/>
      <c r="F190" s="222"/>
      <c r="G190" s="222"/>
      <c r="H190" s="222"/>
      <c r="I190" s="222"/>
    </row>
    <row r="191" ht="15.75" customHeight="1">
      <c r="A191" s="221" t="s">
        <v>2030</v>
      </c>
      <c r="B191" s="222"/>
      <c r="C191" s="222"/>
      <c r="D191" s="222"/>
      <c r="E191" s="222"/>
      <c r="F191" s="222"/>
      <c r="G191" s="222"/>
      <c r="H191" s="222"/>
      <c r="I191" s="222"/>
    </row>
    <row r="192" ht="15.75" customHeight="1">
      <c r="A192" s="221" t="s">
        <v>924</v>
      </c>
      <c r="B192" s="222"/>
      <c r="C192" s="222"/>
      <c r="D192" s="222"/>
      <c r="E192" s="222"/>
      <c r="F192" s="222"/>
      <c r="G192" s="222"/>
      <c r="H192" s="222"/>
      <c r="I192" s="222"/>
    </row>
    <row r="193" ht="15.75" customHeight="1">
      <c r="A193" s="221" t="s">
        <v>927</v>
      </c>
      <c r="B193" s="222"/>
      <c r="C193" s="222"/>
      <c r="D193" s="222"/>
      <c r="E193" s="222"/>
      <c r="F193" s="222"/>
      <c r="G193" s="222"/>
      <c r="H193" s="222"/>
      <c r="I193" s="222"/>
    </row>
    <row r="194" ht="15.75" customHeight="1">
      <c r="A194" s="221" t="s">
        <v>928</v>
      </c>
      <c r="B194" s="222"/>
      <c r="C194" s="222"/>
      <c r="D194" s="222"/>
      <c r="E194" s="222"/>
      <c r="F194" s="222"/>
      <c r="G194" s="222"/>
      <c r="H194" s="222"/>
      <c r="I194" s="222"/>
    </row>
    <row r="195" ht="15.75" customHeight="1">
      <c r="A195" s="221" t="s">
        <v>929</v>
      </c>
      <c r="B195" s="222"/>
      <c r="C195" s="222"/>
      <c r="D195" s="222"/>
      <c r="E195" s="222"/>
      <c r="F195" s="222"/>
      <c r="G195" s="222"/>
      <c r="H195" s="222"/>
      <c r="I195" s="222"/>
    </row>
    <row r="196" ht="15.75" customHeight="1">
      <c r="A196" s="221" t="s">
        <v>931</v>
      </c>
      <c r="B196" s="222"/>
      <c r="C196" s="222"/>
      <c r="D196" s="222"/>
      <c r="E196" s="222"/>
      <c r="F196" s="222"/>
      <c r="G196" s="222"/>
      <c r="H196" s="222"/>
      <c r="I196" s="222"/>
    </row>
    <row r="197" ht="15.75" customHeight="1">
      <c r="A197" s="221" t="s">
        <v>933</v>
      </c>
      <c r="B197" s="222"/>
      <c r="C197" s="222"/>
      <c r="D197" s="222"/>
      <c r="E197" s="222"/>
      <c r="F197" s="222"/>
      <c r="G197" s="222"/>
      <c r="H197" s="222"/>
      <c r="I197" s="222"/>
    </row>
    <row r="198" ht="15.75" customHeight="1">
      <c r="A198" s="221" t="s">
        <v>961</v>
      </c>
      <c r="B198" s="222"/>
      <c r="C198" s="222"/>
      <c r="D198" s="222"/>
      <c r="E198" s="222"/>
      <c r="F198" s="222"/>
      <c r="G198" s="222"/>
      <c r="H198" s="222"/>
      <c r="I198" s="222"/>
    </row>
    <row r="199" ht="15.75" customHeight="1">
      <c r="A199" s="221" t="s">
        <v>2177</v>
      </c>
      <c r="B199" s="222"/>
      <c r="C199" s="222"/>
      <c r="D199" s="222"/>
      <c r="E199" s="222"/>
      <c r="F199" s="222"/>
      <c r="G199" s="222"/>
      <c r="H199" s="222"/>
      <c r="I199" s="222"/>
    </row>
    <row r="200" ht="15.75" customHeight="1">
      <c r="A200" s="221" t="s">
        <v>2034</v>
      </c>
      <c r="B200" s="222"/>
      <c r="C200" s="222"/>
      <c r="D200" s="222"/>
      <c r="E200" s="222"/>
      <c r="F200" s="222"/>
      <c r="G200" s="222"/>
      <c r="H200" s="222"/>
      <c r="I200" s="222"/>
    </row>
    <row r="201" ht="15.75" customHeight="1">
      <c r="A201" s="221" t="s">
        <v>2143</v>
      </c>
      <c r="B201" s="222"/>
      <c r="C201" s="222"/>
      <c r="D201" s="222"/>
      <c r="E201" s="222"/>
      <c r="F201" s="222"/>
      <c r="G201" s="222"/>
      <c r="H201" s="222"/>
      <c r="I201" s="222"/>
    </row>
    <row r="202" ht="15.75" customHeight="1">
      <c r="A202" s="221" t="s">
        <v>2353</v>
      </c>
      <c r="B202" s="222"/>
      <c r="C202" s="222"/>
      <c r="D202" s="222"/>
      <c r="E202" s="222"/>
      <c r="F202" s="222"/>
      <c r="G202" s="222"/>
      <c r="H202" s="222"/>
      <c r="I202" s="222"/>
    </row>
    <row r="203" ht="15.75" customHeight="1">
      <c r="A203" s="225" t="s">
        <v>2354</v>
      </c>
      <c r="B203" s="222"/>
      <c r="C203" s="222"/>
      <c r="D203" s="222">
        <v>26.0</v>
      </c>
      <c r="E203" s="222"/>
      <c r="F203" s="222"/>
      <c r="G203" s="222"/>
      <c r="H203" s="222"/>
      <c r="I203" s="222"/>
    </row>
    <row r="204" ht="15.75" customHeight="1">
      <c r="A204" s="221" t="s">
        <v>996</v>
      </c>
      <c r="B204" s="222"/>
      <c r="C204" s="222"/>
      <c r="D204" s="222"/>
      <c r="E204" s="222"/>
      <c r="F204" s="222"/>
      <c r="G204" s="222"/>
      <c r="H204" s="222"/>
      <c r="I204" s="222"/>
    </row>
    <row r="205" ht="15.75" customHeight="1">
      <c r="A205" s="221" t="s">
        <v>999</v>
      </c>
      <c r="B205" s="222"/>
      <c r="C205" s="222"/>
      <c r="D205" s="222"/>
      <c r="E205" s="222"/>
      <c r="F205" s="222"/>
      <c r="G205" s="222"/>
      <c r="H205" s="222"/>
      <c r="I205" s="222"/>
    </row>
    <row r="206" ht="15.75" customHeight="1">
      <c r="A206" s="221" t="s">
        <v>2355</v>
      </c>
      <c r="B206" s="222"/>
      <c r="C206" s="222"/>
      <c r="D206" s="222"/>
      <c r="E206" s="222"/>
      <c r="F206" s="222"/>
      <c r="G206" s="222"/>
      <c r="H206" s="222"/>
      <c r="I206" s="222"/>
    </row>
    <row r="207" ht="15.75" customHeight="1">
      <c r="A207" s="221" t="s">
        <v>1005</v>
      </c>
      <c r="B207" s="222"/>
      <c r="C207" s="222"/>
      <c r="D207" s="222"/>
      <c r="E207" s="222"/>
      <c r="F207" s="222"/>
      <c r="G207" s="222"/>
      <c r="H207" s="222"/>
      <c r="I207" s="222"/>
    </row>
    <row r="208" ht="15.75" customHeight="1">
      <c r="A208" s="221" t="s">
        <v>2356</v>
      </c>
      <c r="B208" s="222"/>
      <c r="C208" s="222"/>
      <c r="D208" s="222"/>
      <c r="E208" s="222"/>
      <c r="F208" s="222"/>
      <c r="G208" s="222"/>
      <c r="H208" s="222"/>
      <c r="I208" s="222"/>
    </row>
    <row r="209" ht="15.75" customHeight="1">
      <c r="A209" s="221" t="s">
        <v>2357</v>
      </c>
      <c r="B209" s="222"/>
      <c r="C209" s="222"/>
      <c r="D209" s="222"/>
      <c r="E209" s="222"/>
      <c r="F209" s="222"/>
      <c r="G209" s="222"/>
      <c r="H209" s="222"/>
      <c r="I209" s="222"/>
    </row>
    <row r="210" ht="15.75" customHeight="1">
      <c r="A210" s="221" t="s">
        <v>2358</v>
      </c>
      <c r="B210" s="222"/>
      <c r="C210" s="222"/>
      <c r="D210" s="222"/>
      <c r="E210" s="222"/>
      <c r="F210" s="222"/>
      <c r="G210" s="222"/>
      <c r="H210" s="222"/>
      <c r="I210" s="222"/>
    </row>
    <row r="211" ht="15.75" customHeight="1">
      <c r="A211" s="221" t="s">
        <v>1015</v>
      </c>
      <c r="B211" s="222"/>
      <c r="C211" s="222"/>
      <c r="D211" s="222"/>
      <c r="E211" s="222"/>
      <c r="F211" s="222"/>
      <c r="G211" s="222"/>
      <c r="H211" s="222"/>
      <c r="I211" s="222"/>
    </row>
    <row r="212" ht="15.75" customHeight="1">
      <c r="A212" s="221" t="s">
        <v>1017</v>
      </c>
      <c r="B212" s="222"/>
      <c r="C212" s="222"/>
      <c r="D212" s="222"/>
      <c r="E212" s="222"/>
      <c r="F212" s="222"/>
      <c r="G212" s="222"/>
      <c r="H212" s="222"/>
      <c r="I212" s="222"/>
    </row>
    <row r="213" ht="15.75" customHeight="1">
      <c r="A213" s="221" t="s">
        <v>1018</v>
      </c>
      <c r="B213" s="222"/>
      <c r="C213" s="222"/>
      <c r="D213" s="222"/>
      <c r="E213" s="222"/>
      <c r="F213" s="222"/>
      <c r="G213" s="222"/>
      <c r="H213" s="222"/>
      <c r="I213" s="222"/>
    </row>
    <row r="214" ht="15.75" customHeight="1">
      <c r="A214" s="216" t="s">
        <v>1020</v>
      </c>
      <c r="B214" s="222"/>
      <c r="C214" s="222"/>
      <c r="D214" s="222"/>
      <c r="E214" s="222"/>
      <c r="F214" s="222"/>
      <c r="G214" s="222"/>
      <c r="H214" s="222"/>
      <c r="I214" s="222"/>
    </row>
    <row r="215" ht="15.75" customHeight="1">
      <c r="A215" s="221" t="s">
        <v>1028</v>
      </c>
      <c r="B215" s="222"/>
      <c r="C215" s="222"/>
      <c r="D215" s="222"/>
      <c r="E215" s="222"/>
      <c r="F215" s="222"/>
      <c r="G215" s="222"/>
      <c r="H215" s="222"/>
      <c r="I215" s="222"/>
    </row>
    <row r="216" ht="15.75" customHeight="1">
      <c r="A216" s="221" t="s">
        <v>1029</v>
      </c>
      <c r="B216" s="222"/>
      <c r="C216" s="222"/>
      <c r="D216" s="222"/>
      <c r="E216" s="222"/>
      <c r="F216" s="222"/>
      <c r="G216" s="222"/>
      <c r="H216" s="222"/>
      <c r="I216" s="222"/>
    </row>
    <row r="217" ht="15.75" customHeight="1">
      <c r="A217" s="221" t="s">
        <v>2359</v>
      </c>
      <c r="B217" s="222"/>
      <c r="C217" s="222"/>
      <c r="D217" s="222"/>
      <c r="E217" s="222"/>
      <c r="F217" s="222"/>
      <c r="G217" s="222"/>
      <c r="H217" s="222"/>
      <c r="I217" s="222"/>
    </row>
    <row r="218" ht="15.75" customHeight="1">
      <c r="A218" s="221" t="s">
        <v>1035</v>
      </c>
      <c r="B218" s="222"/>
      <c r="C218" s="222"/>
      <c r="D218" s="222"/>
      <c r="E218" s="222"/>
      <c r="F218" s="222"/>
      <c r="G218" s="222"/>
      <c r="H218" s="222"/>
      <c r="I218" s="222"/>
    </row>
    <row r="219" ht="15.75" customHeight="1">
      <c r="A219" s="221" t="s">
        <v>1037</v>
      </c>
      <c r="B219" s="222"/>
      <c r="C219" s="222"/>
      <c r="D219" s="222"/>
      <c r="E219" s="222"/>
      <c r="F219" s="222"/>
      <c r="G219" s="222"/>
      <c r="H219" s="222"/>
      <c r="I219" s="222"/>
    </row>
    <row r="220" ht="15.75" customHeight="1">
      <c r="A220" s="221" t="s">
        <v>1041</v>
      </c>
      <c r="B220" s="222"/>
      <c r="C220" s="222"/>
      <c r="D220" s="222"/>
      <c r="E220" s="222"/>
      <c r="F220" s="222"/>
      <c r="G220" s="222"/>
      <c r="H220" s="222"/>
      <c r="I220" s="222"/>
    </row>
    <row r="221" ht="15.75" customHeight="1">
      <c r="A221" s="221" t="s">
        <v>1042</v>
      </c>
      <c r="B221" s="222"/>
      <c r="C221" s="222"/>
      <c r="D221" s="222"/>
      <c r="E221" s="222"/>
      <c r="F221" s="222"/>
      <c r="G221" s="222"/>
      <c r="H221" s="222"/>
      <c r="I221" s="222"/>
    </row>
    <row r="222" ht="15.75" customHeight="1">
      <c r="A222" s="221" t="s">
        <v>1047</v>
      </c>
      <c r="B222" s="222"/>
      <c r="C222" s="222"/>
      <c r="D222" s="222"/>
      <c r="E222" s="222"/>
      <c r="F222" s="222"/>
      <c r="G222" s="222"/>
      <c r="H222" s="222"/>
      <c r="I222" s="222"/>
    </row>
    <row r="223" ht="15.75" customHeight="1">
      <c r="A223" s="221" t="s">
        <v>1051</v>
      </c>
      <c r="B223" s="222"/>
      <c r="C223" s="222"/>
      <c r="D223" s="222"/>
      <c r="E223" s="222"/>
      <c r="F223" s="222"/>
      <c r="G223" s="222"/>
      <c r="H223" s="222"/>
      <c r="I223" s="222"/>
    </row>
    <row r="224" ht="15.75" customHeight="1">
      <c r="A224" s="221" t="s">
        <v>1053</v>
      </c>
      <c r="B224" s="222"/>
      <c r="C224" s="222"/>
      <c r="D224" s="222"/>
      <c r="E224" s="222"/>
      <c r="F224" s="222"/>
      <c r="G224" s="222"/>
      <c r="H224" s="222"/>
      <c r="I224" s="222"/>
    </row>
    <row r="225" ht="15.75" customHeight="1">
      <c r="A225" s="221" t="s">
        <v>2360</v>
      </c>
      <c r="B225" s="222"/>
      <c r="C225" s="222"/>
      <c r="D225" s="222"/>
      <c r="E225" s="222"/>
      <c r="F225" s="222"/>
      <c r="G225" s="222"/>
      <c r="H225" s="222"/>
      <c r="I225" s="222"/>
    </row>
    <row r="226" ht="15.75" customHeight="1">
      <c r="A226" s="221" t="s">
        <v>1059</v>
      </c>
      <c r="B226" s="222"/>
      <c r="C226" s="222"/>
      <c r="D226" s="222"/>
      <c r="E226" s="222"/>
      <c r="F226" s="222"/>
      <c r="G226" s="222"/>
      <c r="H226" s="222"/>
      <c r="I226" s="222"/>
    </row>
    <row r="227" ht="15.75" customHeight="1">
      <c r="A227" s="225" t="s">
        <v>1062</v>
      </c>
      <c r="B227" s="222">
        <v>110.0</v>
      </c>
      <c r="C227" s="222"/>
      <c r="D227" s="222"/>
      <c r="E227" s="222"/>
      <c r="F227" s="222"/>
      <c r="G227" s="222"/>
      <c r="H227" s="222"/>
      <c r="I227" s="222"/>
    </row>
    <row r="228" ht="15.75" customHeight="1">
      <c r="A228" s="221" t="s">
        <v>1061</v>
      </c>
      <c r="B228" s="222"/>
      <c r="C228" s="222"/>
      <c r="D228" s="222"/>
      <c r="E228" s="222"/>
      <c r="F228" s="222"/>
      <c r="G228" s="222"/>
      <c r="H228" s="222"/>
      <c r="I228" s="222"/>
    </row>
    <row r="229" ht="15.75" customHeight="1">
      <c r="A229" s="221" t="s">
        <v>1063</v>
      </c>
      <c r="B229" s="222"/>
      <c r="C229" s="222"/>
      <c r="D229" s="222"/>
      <c r="E229" s="222"/>
      <c r="F229" s="222"/>
      <c r="G229" s="222"/>
      <c r="H229" s="222"/>
      <c r="I229" s="222"/>
    </row>
    <row r="230" ht="15.75" customHeight="1">
      <c r="A230" s="221" t="s">
        <v>1064</v>
      </c>
      <c r="B230" s="222"/>
      <c r="C230" s="222"/>
      <c r="D230" s="222"/>
      <c r="E230" s="222"/>
      <c r="F230" s="222"/>
      <c r="G230" s="222"/>
      <c r="H230" s="222"/>
      <c r="I230" s="222"/>
    </row>
    <row r="231" ht="15.75" customHeight="1">
      <c r="A231" s="221" t="s">
        <v>1066</v>
      </c>
      <c r="B231" s="222"/>
      <c r="C231" s="222"/>
      <c r="D231" s="222"/>
      <c r="E231" s="222"/>
      <c r="F231" s="222"/>
      <c r="G231" s="222"/>
      <c r="H231" s="222"/>
      <c r="I231" s="222"/>
    </row>
    <row r="232" ht="15.75" customHeight="1">
      <c r="A232" s="225" t="s">
        <v>1069</v>
      </c>
      <c r="B232" s="222"/>
      <c r="C232" s="222"/>
      <c r="D232" s="222"/>
      <c r="E232" s="222">
        <v>245.0</v>
      </c>
      <c r="F232" s="222"/>
      <c r="G232" s="222"/>
      <c r="H232" s="222"/>
      <c r="I232" s="222"/>
    </row>
    <row r="233" ht="15.75" customHeight="1">
      <c r="A233" s="225" t="s">
        <v>1071</v>
      </c>
      <c r="B233" s="222"/>
      <c r="C233" s="222">
        <v>66.0</v>
      </c>
      <c r="D233" s="222"/>
      <c r="E233" s="222"/>
      <c r="F233" s="222"/>
      <c r="G233" s="222"/>
      <c r="H233" s="222"/>
      <c r="I233" s="222"/>
    </row>
    <row r="234" ht="15.75" customHeight="1">
      <c r="A234" s="221" t="s">
        <v>1073</v>
      </c>
      <c r="B234" s="222"/>
      <c r="C234" s="222"/>
      <c r="D234" s="222"/>
      <c r="E234" s="222"/>
      <c r="F234" s="222"/>
      <c r="G234" s="222"/>
      <c r="H234" s="222"/>
      <c r="I234" s="222"/>
    </row>
    <row r="235" ht="15.75" customHeight="1">
      <c r="A235" s="221" t="s">
        <v>1085</v>
      </c>
      <c r="B235" s="222"/>
      <c r="C235" s="222"/>
      <c r="D235" s="222"/>
      <c r="E235" s="222"/>
      <c r="F235" s="222"/>
      <c r="G235" s="222"/>
      <c r="H235" s="222"/>
      <c r="I235" s="222"/>
    </row>
    <row r="236" ht="15.75" customHeight="1">
      <c r="A236" s="221" t="s">
        <v>1088</v>
      </c>
      <c r="B236" s="222"/>
      <c r="C236" s="222"/>
      <c r="D236" s="222"/>
      <c r="E236" s="222"/>
      <c r="F236" s="222"/>
      <c r="G236" s="222"/>
      <c r="H236" s="222"/>
      <c r="I236" s="222"/>
    </row>
    <row r="237" ht="15.75" customHeight="1">
      <c r="A237" s="221" t="s">
        <v>2361</v>
      </c>
      <c r="B237" s="222"/>
      <c r="C237" s="222"/>
      <c r="D237" s="222"/>
      <c r="E237" s="222"/>
      <c r="F237" s="222"/>
      <c r="G237" s="222"/>
      <c r="H237" s="222"/>
      <c r="I237" s="222"/>
    </row>
    <row r="238" ht="15.75" customHeight="1">
      <c r="A238" s="225" t="s">
        <v>1101</v>
      </c>
      <c r="B238" s="222"/>
      <c r="C238" s="222"/>
      <c r="D238" s="222">
        <v>24.0</v>
      </c>
      <c r="E238" s="222"/>
      <c r="F238" s="222">
        <v>65.0</v>
      </c>
      <c r="G238" s="222"/>
      <c r="H238" s="222"/>
      <c r="I238" s="222"/>
    </row>
    <row r="239" ht="15.75" customHeight="1">
      <c r="A239" s="221" t="s">
        <v>1102</v>
      </c>
      <c r="B239" s="222"/>
      <c r="C239" s="222"/>
      <c r="D239" s="222"/>
      <c r="E239" s="222"/>
      <c r="F239" s="222"/>
      <c r="G239" s="222"/>
      <c r="H239" s="222"/>
      <c r="I239" s="222"/>
    </row>
    <row r="240" ht="15.75" customHeight="1">
      <c r="A240" s="221" t="s">
        <v>2027</v>
      </c>
      <c r="B240" s="222"/>
      <c r="C240" s="222"/>
      <c r="D240" s="222"/>
      <c r="E240" s="222"/>
      <c r="F240" s="222"/>
      <c r="G240" s="222"/>
      <c r="H240" s="222"/>
      <c r="I240" s="222"/>
    </row>
    <row r="241" ht="15.75" customHeight="1">
      <c r="A241" s="221" t="s">
        <v>1111</v>
      </c>
      <c r="B241" s="222"/>
      <c r="C241" s="222"/>
      <c r="D241" s="222"/>
      <c r="E241" s="222"/>
      <c r="F241" s="222"/>
      <c r="G241" s="222"/>
      <c r="H241" s="222"/>
      <c r="I241" s="222"/>
    </row>
    <row r="242" ht="15.75" customHeight="1">
      <c r="A242" s="221" t="s">
        <v>1117</v>
      </c>
      <c r="B242" s="222"/>
      <c r="C242" s="222"/>
      <c r="D242" s="222"/>
      <c r="E242" s="222"/>
      <c r="F242" s="222"/>
      <c r="G242" s="222"/>
      <c r="H242" s="222"/>
      <c r="I242" s="222"/>
    </row>
    <row r="243" ht="15.75" customHeight="1">
      <c r="A243" s="225" t="s">
        <v>1122</v>
      </c>
      <c r="B243" s="222"/>
      <c r="C243" s="222"/>
      <c r="D243" s="222"/>
      <c r="E243" s="222"/>
      <c r="F243" s="222"/>
      <c r="G243" s="222">
        <v>110.0</v>
      </c>
      <c r="H243" s="222"/>
      <c r="I243" s="222"/>
    </row>
    <row r="244" ht="15.75" customHeight="1">
      <c r="A244" s="221" t="s">
        <v>1128</v>
      </c>
      <c r="B244" s="222"/>
      <c r="C244" s="222"/>
      <c r="D244" s="222"/>
      <c r="E244" s="222"/>
      <c r="F244" s="222"/>
      <c r="G244" s="222"/>
      <c r="H244" s="222"/>
      <c r="I244" s="222"/>
    </row>
    <row r="245" ht="15.75" customHeight="1">
      <c r="A245" s="225" t="s">
        <v>1129</v>
      </c>
      <c r="B245" s="222"/>
      <c r="C245" s="222"/>
      <c r="D245" s="222"/>
      <c r="E245" s="222"/>
      <c r="F245" s="222">
        <v>84.0</v>
      </c>
      <c r="G245" s="222"/>
      <c r="H245" s="222"/>
      <c r="I245" s="222"/>
    </row>
    <row r="246" ht="15.75" customHeight="1">
      <c r="A246" s="221" t="s">
        <v>2362</v>
      </c>
      <c r="B246" s="222"/>
      <c r="C246" s="222"/>
      <c r="D246" s="222"/>
      <c r="E246" s="222"/>
      <c r="F246" s="222"/>
      <c r="G246" s="222"/>
      <c r="H246" s="222"/>
      <c r="I246" s="222"/>
    </row>
    <row r="247" ht="15.75" customHeight="1">
      <c r="A247" s="221" t="s">
        <v>2363</v>
      </c>
      <c r="B247" s="222"/>
      <c r="C247" s="222"/>
      <c r="D247" s="222"/>
      <c r="E247" s="222"/>
      <c r="F247" s="222"/>
      <c r="G247" s="222"/>
      <c r="H247" s="222"/>
      <c r="I247" s="222"/>
    </row>
    <row r="248" ht="15.75" customHeight="1">
      <c r="A248" s="221" t="s">
        <v>2083</v>
      </c>
      <c r="B248" s="222"/>
      <c r="C248" s="222"/>
      <c r="D248" s="222"/>
      <c r="E248" s="222"/>
      <c r="F248" s="222"/>
      <c r="G248" s="222"/>
      <c r="H248" s="222"/>
      <c r="I248" s="222"/>
    </row>
    <row r="249" ht="15.75" customHeight="1">
      <c r="A249" s="216" t="s">
        <v>1167</v>
      </c>
      <c r="B249" s="222"/>
      <c r="C249" s="222"/>
      <c r="D249" s="222"/>
      <c r="E249" s="222"/>
      <c r="F249" s="222"/>
      <c r="G249" s="222"/>
      <c r="H249" s="222"/>
      <c r="I249" s="222"/>
    </row>
    <row r="250" ht="15.75" customHeight="1">
      <c r="A250" s="221" t="s">
        <v>1138</v>
      </c>
      <c r="B250" s="222"/>
      <c r="C250" s="222"/>
      <c r="D250" s="222"/>
      <c r="E250" s="222"/>
      <c r="F250" s="222"/>
      <c r="G250" s="222"/>
      <c r="H250" s="222"/>
      <c r="I250" s="222"/>
    </row>
    <row r="251" ht="15.75" customHeight="1">
      <c r="A251" s="221" t="s">
        <v>1145</v>
      </c>
      <c r="B251" s="222"/>
      <c r="C251" s="222"/>
      <c r="D251" s="222"/>
      <c r="E251" s="222"/>
      <c r="F251" s="222"/>
      <c r="G251" s="222"/>
      <c r="H251" s="222"/>
      <c r="I251" s="222"/>
    </row>
    <row r="252" ht="15.75" customHeight="1">
      <c r="A252" s="221" t="s">
        <v>1147</v>
      </c>
      <c r="B252" s="222"/>
      <c r="C252" s="222"/>
      <c r="D252" s="222"/>
      <c r="E252" s="222"/>
      <c r="F252" s="222"/>
      <c r="G252" s="222"/>
      <c r="H252" s="222"/>
      <c r="I252" s="222"/>
    </row>
    <row r="253" ht="15.75" customHeight="1">
      <c r="A253" s="221" t="s">
        <v>1150</v>
      </c>
      <c r="B253" s="222"/>
      <c r="C253" s="222"/>
      <c r="D253" s="222"/>
      <c r="E253" s="222"/>
      <c r="F253" s="222"/>
      <c r="G253" s="222"/>
      <c r="H253" s="222"/>
      <c r="I253" s="222"/>
    </row>
    <row r="254" ht="15.75" customHeight="1">
      <c r="A254" s="221" t="s">
        <v>2364</v>
      </c>
      <c r="B254" s="222"/>
      <c r="C254" s="222"/>
      <c r="D254" s="222"/>
      <c r="E254" s="222"/>
      <c r="F254" s="222"/>
      <c r="G254" s="222"/>
      <c r="H254" s="222"/>
      <c r="I254" s="222"/>
    </row>
    <row r="255" ht="15.75" customHeight="1">
      <c r="A255" s="216" t="s">
        <v>1152</v>
      </c>
      <c r="B255" s="222"/>
      <c r="C255" s="222"/>
      <c r="D255" s="222"/>
      <c r="E255" s="222"/>
      <c r="F255" s="222"/>
      <c r="G255" s="222"/>
      <c r="H255" s="222"/>
      <c r="I255" s="222"/>
    </row>
    <row r="256" ht="15.75" customHeight="1">
      <c r="A256" s="221" t="s">
        <v>1159</v>
      </c>
      <c r="B256" s="222"/>
      <c r="C256" s="222"/>
      <c r="D256" s="222"/>
      <c r="E256" s="222"/>
      <c r="F256" s="222"/>
      <c r="G256" s="222"/>
      <c r="H256" s="222"/>
      <c r="I256" s="222"/>
    </row>
    <row r="257" ht="15.75" customHeight="1">
      <c r="A257" s="221" t="s">
        <v>1170</v>
      </c>
      <c r="B257" s="222"/>
      <c r="C257" s="222"/>
      <c r="D257" s="222"/>
      <c r="E257" s="222"/>
      <c r="F257" s="222"/>
      <c r="G257" s="222"/>
      <c r="H257" s="222"/>
      <c r="I257" s="222"/>
    </row>
    <row r="258" ht="15.75" customHeight="1">
      <c r="A258" s="225" t="s">
        <v>2365</v>
      </c>
      <c r="B258" s="222"/>
      <c r="C258" s="222"/>
      <c r="D258" s="222"/>
      <c r="E258" s="222"/>
      <c r="F258" s="222">
        <v>16.0</v>
      </c>
      <c r="G258" s="222"/>
      <c r="H258" s="222"/>
      <c r="I258" s="222"/>
    </row>
    <row r="259" ht="15.75" customHeight="1">
      <c r="A259" s="221" t="s">
        <v>1175</v>
      </c>
      <c r="B259" s="222"/>
      <c r="C259" s="222"/>
      <c r="D259" s="222"/>
      <c r="E259" s="222"/>
      <c r="F259" s="222"/>
      <c r="G259" s="222"/>
      <c r="H259" s="222"/>
      <c r="I259" s="222"/>
    </row>
    <row r="260" ht="15.75" customHeight="1">
      <c r="A260" s="221" t="s">
        <v>2366</v>
      </c>
      <c r="B260" s="222"/>
      <c r="C260" s="222"/>
      <c r="D260" s="222"/>
      <c r="E260" s="222"/>
      <c r="F260" s="222"/>
      <c r="G260" s="222"/>
      <c r="H260" s="222"/>
      <c r="I260" s="222"/>
    </row>
    <row r="261" ht="15.75" customHeight="1">
      <c r="A261" s="225" t="s">
        <v>1176</v>
      </c>
      <c r="B261" s="222"/>
      <c r="C261" s="222"/>
      <c r="D261" s="222"/>
      <c r="E261" s="222"/>
      <c r="F261" s="222">
        <v>110.0</v>
      </c>
      <c r="G261" s="222"/>
      <c r="H261" s="222"/>
      <c r="I261" s="222"/>
    </row>
    <row r="262" ht="15.75" customHeight="1">
      <c r="A262" s="221" t="s">
        <v>1180</v>
      </c>
      <c r="B262" s="222"/>
      <c r="C262" s="222"/>
      <c r="D262" s="222"/>
      <c r="E262" s="222"/>
      <c r="F262" s="222"/>
      <c r="G262" s="222"/>
      <c r="H262" s="222"/>
      <c r="I262" s="222"/>
    </row>
    <row r="263" ht="15.75" customHeight="1">
      <c r="A263" s="221" t="s">
        <v>1181</v>
      </c>
      <c r="B263" s="222"/>
      <c r="C263" s="222"/>
      <c r="D263" s="222"/>
      <c r="E263" s="222"/>
      <c r="F263" s="222"/>
      <c r="G263" s="222"/>
      <c r="H263" s="222"/>
      <c r="I263" s="222"/>
    </row>
    <row r="264" ht="15.75" customHeight="1">
      <c r="A264" s="221" t="s">
        <v>1190</v>
      </c>
      <c r="B264" s="222"/>
      <c r="C264" s="222"/>
      <c r="D264" s="222"/>
      <c r="E264" s="222"/>
      <c r="F264" s="222"/>
      <c r="G264" s="222"/>
      <c r="H264" s="222"/>
      <c r="I264" s="222"/>
    </row>
    <row r="265" ht="15.75" customHeight="1">
      <c r="A265" s="221" t="s">
        <v>1196</v>
      </c>
      <c r="B265" s="222"/>
      <c r="C265" s="222"/>
      <c r="D265" s="222"/>
      <c r="E265" s="222"/>
      <c r="F265" s="222"/>
      <c r="G265" s="222"/>
      <c r="H265" s="222"/>
      <c r="I265" s="222"/>
    </row>
    <row r="266" ht="15.75" customHeight="1">
      <c r="A266" s="221" t="s">
        <v>1198</v>
      </c>
      <c r="B266" s="222"/>
      <c r="C266" s="222"/>
      <c r="D266" s="222"/>
      <c r="E266" s="222"/>
      <c r="F266" s="222"/>
      <c r="G266" s="222"/>
      <c r="H266" s="222"/>
      <c r="I266" s="222"/>
    </row>
    <row r="267" ht="15.75" customHeight="1">
      <c r="A267" s="221" t="s">
        <v>1204</v>
      </c>
      <c r="B267" s="222"/>
      <c r="C267" s="222"/>
      <c r="D267" s="222"/>
      <c r="E267" s="222"/>
      <c r="F267" s="222"/>
      <c r="G267" s="222"/>
      <c r="H267" s="222"/>
      <c r="I267" s="222"/>
    </row>
    <row r="268" ht="15.75" customHeight="1">
      <c r="A268" s="221" t="s">
        <v>1206</v>
      </c>
      <c r="B268" s="222"/>
      <c r="C268" s="222"/>
      <c r="D268" s="222"/>
      <c r="E268" s="222"/>
      <c r="F268" s="222"/>
      <c r="G268" s="222"/>
      <c r="H268" s="222"/>
      <c r="I268" s="222"/>
    </row>
    <row r="269" ht="15.75" customHeight="1">
      <c r="A269" s="221" t="s">
        <v>1224</v>
      </c>
      <c r="B269" s="222"/>
      <c r="C269" s="222"/>
      <c r="D269" s="222"/>
      <c r="E269" s="222"/>
      <c r="F269" s="222"/>
      <c r="G269" s="222"/>
      <c r="H269" s="222"/>
      <c r="I269" s="222"/>
    </row>
    <row r="270" ht="15.75" customHeight="1">
      <c r="A270" s="221" t="s">
        <v>1240</v>
      </c>
      <c r="B270" s="222"/>
      <c r="C270" s="222"/>
      <c r="D270" s="222"/>
      <c r="E270" s="222"/>
      <c r="F270" s="222"/>
      <c r="G270" s="222"/>
      <c r="H270" s="222"/>
      <c r="I270" s="222"/>
    </row>
    <row r="271" ht="15.75" customHeight="1">
      <c r="A271" s="221" t="s">
        <v>1243</v>
      </c>
      <c r="B271" s="222"/>
      <c r="C271" s="222"/>
      <c r="D271" s="222"/>
      <c r="E271" s="222"/>
      <c r="F271" s="222"/>
      <c r="G271" s="222"/>
      <c r="H271" s="222"/>
      <c r="I271" s="222"/>
    </row>
    <row r="272" ht="15.75" customHeight="1">
      <c r="A272" s="221" t="s">
        <v>1246</v>
      </c>
      <c r="B272" s="222"/>
      <c r="C272" s="222"/>
      <c r="D272" s="222"/>
      <c r="E272" s="222"/>
      <c r="F272" s="222"/>
      <c r="G272" s="222"/>
      <c r="H272" s="222"/>
      <c r="I272" s="222"/>
    </row>
    <row r="273" ht="15.75" customHeight="1">
      <c r="A273" s="221" t="s">
        <v>1247</v>
      </c>
      <c r="B273" s="222"/>
      <c r="C273" s="222"/>
      <c r="D273" s="222"/>
      <c r="E273" s="222"/>
      <c r="F273" s="222"/>
      <c r="G273" s="222"/>
      <c r="H273" s="222"/>
      <c r="I273" s="222"/>
    </row>
    <row r="274" ht="15.75" customHeight="1">
      <c r="A274" s="221" t="s">
        <v>2024</v>
      </c>
      <c r="B274" s="222"/>
      <c r="C274" s="222"/>
      <c r="D274" s="222"/>
      <c r="E274" s="222"/>
      <c r="F274" s="222"/>
      <c r="G274" s="222"/>
      <c r="H274" s="222"/>
      <c r="I274" s="222"/>
    </row>
    <row r="275" ht="15.75" customHeight="1">
      <c r="A275" s="221" t="s">
        <v>1257</v>
      </c>
      <c r="B275" s="222"/>
      <c r="C275" s="222"/>
      <c r="D275" s="222"/>
      <c r="E275" s="222"/>
      <c r="F275" s="222"/>
      <c r="G275" s="222"/>
      <c r="H275" s="222"/>
      <c r="I275" s="222"/>
    </row>
    <row r="276" ht="15.75" customHeight="1">
      <c r="A276" s="221" t="s">
        <v>1261</v>
      </c>
      <c r="B276" s="222"/>
      <c r="C276" s="222"/>
      <c r="D276" s="222"/>
      <c r="E276" s="222"/>
      <c r="F276" s="222"/>
      <c r="G276" s="222"/>
      <c r="H276" s="222"/>
      <c r="I276" s="222"/>
    </row>
    <row r="277" ht="15.75" customHeight="1">
      <c r="A277" s="221" t="s">
        <v>2084</v>
      </c>
      <c r="B277" s="222"/>
      <c r="C277" s="222"/>
      <c r="D277" s="222"/>
      <c r="E277" s="222"/>
      <c r="F277" s="222"/>
      <c r="G277" s="222"/>
      <c r="H277" s="222"/>
      <c r="I277" s="222"/>
    </row>
    <row r="278" ht="15.75" customHeight="1">
      <c r="A278" s="225" t="s">
        <v>1272</v>
      </c>
      <c r="B278" s="222"/>
      <c r="C278" s="222"/>
      <c r="D278" s="222"/>
      <c r="E278" s="222"/>
      <c r="F278" s="222">
        <v>385.0</v>
      </c>
      <c r="G278" s="222"/>
      <c r="H278" s="222"/>
      <c r="I278" s="222"/>
    </row>
    <row r="279" ht="15.75" customHeight="1">
      <c r="A279" s="221" t="s">
        <v>1275</v>
      </c>
      <c r="B279" s="222"/>
      <c r="C279" s="222"/>
      <c r="D279" s="222"/>
      <c r="E279" s="222"/>
      <c r="F279" s="222"/>
      <c r="G279" s="222"/>
      <c r="H279" s="222"/>
      <c r="I279" s="222"/>
    </row>
    <row r="280" ht="15.75" customHeight="1">
      <c r="A280" s="221" t="s">
        <v>1281</v>
      </c>
      <c r="B280" s="222"/>
      <c r="C280" s="222"/>
      <c r="D280" s="222"/>
      <c r="E280" s="222"/>
      <c r="F280" s="222"/>
      <c r="G280" s="222"/>
      <c r="H280" s="222"/>
      <c r="I280" s="222"/>
    </row>
    <row r="281" ht="15.75" customHeight="1">
      <c r="A281" s="225" t="s">
        <v>1282</v>
      </c>
      <c r="B281" s="222"/>
      <c r="C281" s="222"/>
      <c r="D281" s="222">
        <v>88.0</v>
      </c>
      <c r="E281" s="222"/>
      <c r="F281" s="222"/>
      <c r="G281" s="222"/>
      <c r="H281" s="222"/>
      <c r="I281" s="222"/>
    </row>
    <row r="282" ht="15.75" customHeight="1">
      <c r="A282" s="225" t="s">
        <v>2187</v>
      </c>
      <c r="B282" s="222"/>
      <c r="C282" s="222"/>
      <c r="D282" s="222"/>
      <c r="E282" s="222"/>
      <c r="F282" s="222"/>
      <c r="G282" s="222"/>
      <c r="H282" s="222">
        <v>48.0</v>
      </c>
      <c r="I282" s="222"/>
    </row>
    <row r="283" ht="15.75" customHeight="1">
      <c r="A283" s="221" t="s">
        <v>1298</v>
      </c>
      <c r="B283" s="222"/>
      <c r="C283" s="222"/>
      <c r="D283" s="222"/>
      <c r="E283" s="222"/>
      <c r="F283" s="222"/>
      <c r="G283" s="222"/>
      <c r="H283" s="222"/>
      <c r="I283" s="222"/>
    </row>
    <row r="284" ht="15.75" customHeight="1">
      <c r="A284" s="221" t="s">
        <v>1300</v>
      </c>
      <c r="B284" s="222"/>
      <c r="C284" s="222"/>
      <c r="D284" s="222"/>
      <c r="E284" s="222"/>
      <c r="F284" s="222"/>
      <c r="G284" s="222"/>
      <c r="H284" s="222"/>
      <c r="I284" s="222"/>
    </row>
    <row r="285" ht="15.75" customHeight="1">
      <c r="A285" s="221" t="s">
        <v>2028</v>
      </c>
      <c r="B285" s="222"/>
      <c r="C285" s="222"/>
      <c r="D285" s="222"/>
      <c r="E285" s="222"/>
      <c r="F285" s="222"/>
      <c r="G285" s="222"/>
      <c r="H285" s="222"/>
      <c r="I285" s="222"/>
    </row>
    <row r="286" ht="15.75" customHeight="1">
      <c r="A286" s="221" t="s">
        <v>1304</v>
      </c>
      <c r="B286" s="222"/>
      <c r="C286" s="222"/>
      <c r="D286" s="222"/>
      <c r="E286" s="222"/>
      <c r="F286" s="222"/>
      <c r="G286" s="222"/>
      <c r="H286" s="222"/>
      <c r="I286" s="222"/>
    </row>
    <row r="287" ht="15.75" customHeight="1">
      <c r="A287" s="221" t="s">
        <v>1306</v>
      </c>
      <c r="B287" s="222"/>
      <c r="C287" s="222"/>
      <c r="D287" s="222"/>
      <c r="E287" s="222"/>
      <c r="F287" s="222"/>
      <c r="G287" s="222"/>
      <c r="H287" s="222"/>
      <c r="I287" s="222"/>
    </row>
    <row r="288" ht="15.75" customHeight="1">
      <c r="A288" s="221" t="s">
        <v>1308</v>
      </c>
      <c r="B288" s="222"/>
      <c r="C288" s="222"/>
      <c r="D288" s="222"/>
      <c r="E288" s="222"/>
      <c r="F288" s="222"/>
      <c r="G288" s="222"/>
      <c r="H288" s="222"/>
      <c r="I288" s="222"/>
    </row>
    <row r="289" ht="15.75" customHeight="1">
      <c r="A289" s="225" t="s">
        <v>1312</v>
      </c>
      <c r="B289" s="222"/>
      <c r="C289" s="222"/>
      <c r="D289" s="222">
        <v>349.0</v>
      </c>
      <c r="E289" s="222"/>
      <c r="F289" s="222"/>
      <c r="G289" s="222"/>
      <c r="H289" s="222"/>
      <c r="I289" s="222"/>
    </row>
    <row r="290" ht="15.75" customHeight="1">
      <c r="A290" s="225" t="s">
        <v>1313</v>
      </c>
      <c r="B290" s="222"/>
      <c r="C290" s="222"/>
      <c r="D290" s="222"/>
      <c r="E290" s="222"/>
      <c r="F290" s="222">
        <v>234.0</v>
      </c>
      <c r="G290" s="222"/>
      <c r="H290" s="222"/>
      <c r="I290" s="222"/>
    </row>
    <row r="291" ht="15.75" customHeight="1">
      <c r="A291" s="221" t="s">
        <v>1314</v>
      </c>
      <c r="B291" s="222"/>
      <c r="C291" s="222"/>
      <c r="D291" s="222"/>
      <c r="E291" s="222"/>
      <c r="F291" s="222"/>
      <c r="G291" s="222"/>
      <c r="H291" s="222"/>
      <c r="I291" s="222"/>
    </row>
    <row r="292" ht="15.75" customHeight="1">
      <c r="A292" s="221" t="s">
        <v>2367</v>
      </c>
      <c r="B292" s="222"/>
      <c r="C292" s="222"/>
      <c r="D292" s="222"/>
      <c r="E292" s="222"/>
      <c r="F292" s="222"/>
      <c r="G292" s="222"/>
      <c r="H292" s="222"/>
      <c r="I292" s="222"/>
    </row>
    <row r="293" ht="15.75" customHeight="1">
      <c r="A293" s="221" t="s">
        <v>1319</v>
      </c>
      <c r="B293" s="222"/>
      <c r="C293" s="222"/>
      <c r="D293" s="222"/>
      <c r="E293" s="222"/>
      <c r="F293" s="222"/>
      <c r="G293" s="222"/>
      <c r="H293" s="222"/>
      <c r="I293" s="222"/>
    </row>
    <row r="294" ht="15.75" customHeight="1">
      <c r="A294" s="221" t="s">
        <v>1327</v>
      </c>
      <c r="B294" s="222"/>
      <c r="C294" s="222"/>
      <c r="D294" s="222"/>
      <c r="E294" s="222"/>
      <c r="F294" s="222"/>
      <c r="G294" s="222"/>
      <c r="H294" s="222"/>
      <c r="I294" s="222"/>
    </row>
    <row r="295" ht="15.75" customHeight="1">
      <c r="A295" s="221" t="s">
        <v>1335</v>
      </c>
      <c r="B295" s="222"/>
      <c r="C295" s="222"/>
      <c r="D295" s="222"/>
      <c r="E295" s="222"/>
      <c r="F295" s="222"/>
      <c r="G295" s="222"/>
      <c r="H295" s="222"/>
      <c r="I295" s="222"/>
    </row>
    <row r="296" ht="15.75" customHeight="1">
      <c r="A296" s="225" t="s">
        <v>1341</v>
      </c>
      <c r="B296" s="222"/>
      <c r="C296" s="222"/>
      <c r="D296" s="222"/>
      <c r="E296" s="222"/>
      <c r="F296" s="222"/>
      <c r="G296" s="222">
        <v>66.0</v>
      </c>
      <c r="H296" s="222"/>
      <c r="I296" s="222"/>
    </row>
    <row r="297" ht="15.75" customHeight="1">
      <c r="A297" s="221" t="s">
        <v>2035</v>
      </c>
      <c r="B297" s="222"/>
      <c r="C297" s="222"/>
      <c r="D297" s="222"/>
      <c r="E297" s="222"/>
      <c r="F297" s="222"/>
      <c r="G297" s="222"/>
      <c r="H297" s="222"/>
      <c r="I297" s="222"/>
    </row>
    <row r="298" ht="15.75" customHeight="1">
      <c r="A298" s="221" t="s">
        <v>2039</v>
      </c>
      <c r="B298" s="222"/>
      <c r="C298" s="222"/>
      <c r="D298" s="222"/>
      <c r="E298" s="222"/>
      <c r="F298" s="222"/>
      <c r="G298" s="222"/>
      <c r="H298" s="222"/>
      <c r="I298" s="222"/>
    </row>
    <row r="299" ht="15.75" customHeight="1">
      <c r="A299" s="221" t="s">
        <v>1349</v>
      </c>
      <c r="B299" s="222"/>
      <c r="C299" s="222"/>
      <c r="D299" s="222"/>
      <c r="E299" s="222"/>
      <c r="F299" s="222"/>
      <c r="G299" s="222"/>
      <c r="H299" s="222"/>
      <c r="I299" s="222"/>
    </row>
    <row r="300" ht="15.75" customHeight="1">
      <c r="A300" s="221" t="s">
        <v>1356</v>
      </c>
      <c r="B300" s="222"/>
      <c r="C300" s="222"/>
      <c r="D300" s="222"/>
      <c r="E300" s="222"/>
      <c r="F300" s="222"/>
      <c r="G300" s="222"/>
      <c r="H300" s="222"/>
      <c r="I300" s="222"/>
    </row>
    <row r="301" ht="15.75" customHeight="1">
      <c r="A301" s="221" t="s">
        <v>1371</v>
      </c>
      <c r="B301" s="222"/>
      <c r="C301" s="222"/>
      <c r="D301" s="222"/>
      <c r="E301" s="222"/>
      <c r="F301" s="222"/>
      <c r="G301" s="222"/>
      <c r="H301" s="222"/>
      <c r="I301" s="222"/>
    </row>
    <row r="302" ht="15.75" customHeight="1">
      <c r="A302" s="221" t="s">
        <v>1372</v>
      </c>
      <c r="B302" s="222"/>
      <c r="C302" s="222"/>
      <c r="D302" s="222"/>
      <c r="E302" s="222"/>
      <c r="F302" s="222"/>
      <c r="G302" s="222"/>
      <c r="H302" s="222"/>
      <c r="I302" s="222"/>
    </row>
    <row r="303" ht="15.75" customHeight="1">
      <c r="A303" s="221" t="s">
        <v>1373</v>
      </c>
      <c r="B303" s="222"/>
      <c r="C303" s="222"/>
      <c r="D303" s="222"/>
      <c r="E303" s="222"/>
      <c r="F303" s="222"/>
      <c r="G303" s="222"/>
      <c r="H303" s="222"/>
      <c r="I303" s="222"/>
    </row>
    <row r="304" ht="15.75" customHeight="1">
      <c r="A304" s="225" t="s">
        <v>1377</v>
      </c>
      <c r="B304" s="222"/>
      <c r="C304" s="222"/>
      <c r="D304" s="222"/>
      <c r="E304" s="222"/>
      <c r="F304" s="222">
        <v>111.0</v>
      </c>
      <c r="G304" s="222"/>
      <c r="H304" s="222"/>
      <c r="I304" s="222"/>
    </row>
    <row r="305" ht="15.75" customHeight="1">
      <c r="A305" s="221" t="s">
        <v>1383</v>
      </c>
      <c r="B305" s="222"/>
      <c r="C305" s="222"/>
      <c r="D305" s="222"/>
      <c r="E305" s="222"/>
      <c r="F305" s="222"/>
      <c r="G305" s="222"/>
      <c r="H305" s="222"/>
      <c r="I305" s="222"/>
    </row>
    <row r="306" ht="15.75" customHeight="1">
      <c r="A306" s="221" t="s">
        <v>1385</v>
      </c>
      <c r="B306" s="222"/>
      <c r="C306" s="222"/>
      <c r="D306" s="222"/>
      <c r="E306" s="222"/>
      <c r="F306" s="222"/>
      <c r="G306" s="222"/>
      <c r="H306" s="222"/>
      <c r="I306" s="222"/>
    </row>
    <row r="307" ht="15.75" customHeight="1">
      <c r="A307" s="221" t="s">
        <v>1394</v>
      </c>
      <c r="B307" s="222"/>
      <c r="C307" s="222"/>
      <c r="D307" s="222"/>
      <c r="E307" s="222"/>
      <c r="F307" s="222"/>
      <c r="G307" s="222"/>
      <c r="H307" s="222"/>
      <c r="I307" s="222"/>
    </row>
    <row r="308" ht="15.75" customHeight="1">
      <c r="A308" s="221" t="s">
        <v>1397</v>
      </c>
      <c r="B308" s="222"/>
      <c r="C308" s="222"/>
      <c r="D308" s="222"/>
      <c r="E308" s="222"/>
      <c r="F308" s="222"/>
      <c r="G308" s="222"/>
      <c r="H308" s="222"/>
      <c r="I308" s="222"/>
    </row>
    <row r="309" ht="15.75" customHeight="1">
      <c r="A309" s="221" t="s">
        <v>1403</v>
      </c>
      <c r="B309" s="222"/>
      <c r="C309" s="222"/>
      <c r="D309" s="222"/>
      <c r="E309" s="222"/>
      <c r="F309" s="222"/>
      <c r="G309" s="222"/>
      <c r="H309" s="222"/>
      <c r="I309" s="222"/>
    </row>
    <row r="310" ht="15.75" customHeight="1">
      <c r="A310" s="221" t="s">
        <v>1412</v>
      </c>
      <c r="B310" s="222"/>
      <c r="C310" s="222"/>
      <c r="D310" s="222"/>
      <c r="E310" s="222"/>
      <c r="F310" s="222"/>
      <c r="G310" s="222"/>
      <c r="H310" s="222"/>
      <c r="I310" s="222"/>
    </row>
    <row r="311" ht="15.75" customHeight="1">
      <c r="A311" s="221" t="s">
        <v>2368</v>
      </c>
      <c r="B311" s="222"/>
      <c r="C311" s="222"/>
      <c r="D311" s="222"/>
      <c r="E311" s="222"/>
      <c r="F311" s="222"/>
      <c r="G311" s="222"/>
      <c r="H311" s="222"/>
      <c r="I311" s="222"/>
    </row>
    <row r="312" ht="15.75" customHeight="1">
      <c r="A312" s="221" t="s">
        <v>1433</v>
      </c>
      <c r="B312" s="222"/>
      <c r="C312" s="222"/>
      <c r="D312" s="222"/>
      <c r="E312" s="222"/>
      <c r="F312" s="222"/>
      <c r="G312" s="222"/>
      <c r="H312" s="222"/>
      <c r="I312" s="222"/>
    </row>
    <row r="313" ht="15.75" customHeight="1">
      <c r="A313" s="221" t="s">
        <v>2211</v>
      </c>
      <c r="B313" s="222"/>
      <c r="C313" s="222"/>
      <c r="D313" s="222"/>
      <c r="E313" s="222"/>
      <c r="F313" s="222"/>
      <c r="G313" s="222"/>
      <c r="H313" s="222"/>
      <c r="I313" s="222"/>
    </row>
    <row r="314" ht="15.75" customHeight="1">
      <c r="A314" s="221" t="s">
        <v>2212</v>
      </c>
      <c r="B314" s="222"/>
      <c r="C314" s="222"/>
      <c r="D314" s="222"/>
      <c r="E314" s="222"/>
      <c r="F314" s="222"/>
      <c r="G314" s="222"/>
      <c r="H314" s="222"/>
      <c r="I314" s="222"/>
    </row>
    <row r="315" ht="15.75" customHeight="1">
      <c r="A315" s="221" t="s">
        <v>1436</v>
      </c>
      <c r="B315" s="222"/>
      <c r="C315" s="222"/>
      <c r="D315" s="222"/>
      <c r="E315" s="222"/>
      <c r="F315" s="222"/>
      <c r="G315" s="222"/>
      <c r="H315" s="222"/>
      <c r="I315" s="222"/>
    </row>
    <row r="316" ht="15.75" customHeight="1">
      <c r="A316" s="221" t="s">
        <v>1455</v>
      </c>
      <c r="B316" s="222"/>
      <c r="C316" s="222"/>
      <c r="D316" s="222"/>
      <c r="E316" s="222"/>
      <c r="F316" s="222"/>
      <c r="G316" s="222"/>
      <c r="H316" s="222"/>
      <c r="I316" s="222"/>
    </row>
    <row r="317" ht="15.75" customHeight="1">
      <c r="A317" s="221" t="s">
        <v>2369</v>
      </c>
      <c r="B317" s="222"/>
      <c r="C317" s="222"/>
      <c r="D317" s="222"/>
      <c r="E317" s="222"/>
      <c r="F317" s="222"/>
      <c r="G317" s="222"/>
      <c r="H317" s="222"/>
      <c r="I317" s="222"/>
    </row>
    <row r="318" ht="15.75" customHeight="1">
      <c r="A318" s="228" t="s">
        <v>1457</v>
      </c>
      <c r="B318" s="222"/>
      <c r="C318" s="222"/>
      <c r="D318" s="222"/>
      <c r="E318" s="222"/>
      <c r="F318" s="222"/>
      <c r="G318" s="222"/>
      <c r="H318" s="222"/>
      <c r="I318" s="222"/>
    </row>
    <row r="319" ht="15.75" customHeight="1">
      <c r="A319" s="221" t="s">
        <v>1459</v>
      </c>
      <c r="B319" s="222"/>
      <c r="C319" s="222"/>
      <c r="D319" s="222"/>
      <c r="E319" s="222"/>
      <c r="F319" s="222"/>
      <c r="G319" s="222"/>
      <c r="H319" s="222"/>
      <c r="I319" s="222"/>
    </row>
    <row r="320" ht="15.75" customHeight="1">
      <c r="A320" s="221" t="s">
        <v>1461</v>
      </c>
      <c r="B320" s="222"/>
      <c r="C320" s="222"/>
      <c r="D320" s="222"/>
      <c r="E320" s="222"/>
      <c r="F320" s="222"/>
      <c r="G320" s="222"/>
      <c r="H320" s="222"/>
      <c r="I320" s="222"/>
    </row>
    <row r="321" ht="15.75" customHeight="1">
      <c r="A321" s="221" t="s">
        <v>1473</v>
      </c>
      <c r="B321" s="222"/>
      <c r="C321" s="222"/>
      <c r="D321" s="222"/>
      <c r="E321" s="222"/>
      <c r="F321" s="222"/>
      <c r="G321" s="222"/>
      <c r="H321" s="222"/>
      <c r="I321" s="222"/>
    </row>
    <row r="322" ht="15.75" customHeight="1">
      <c r="A322" s="221" t="s">
        <v>1481</v>
      </c>
      <c r="B322" s="222"/>
      <c r="C322" s="222"/>
      <c r="D322" s="222"/>
      <c r="E322" s="222"/>
      <c r="F322" s="222"/>
      <c r="G322" s="222"/>
      <c r="H322" s="222"/>
      <c r="I322" s="222"/>
    </row>
    <row r="323" ht="15.75" customHeight="1">
      <c r="A323" s="221" t="s">
        <v>1490</v>
      </c>
      <c r="B323" s="222"/>
      <c r="C323" s="222"/>
      <c r="D323" s="222"/>
      <c r="E323" s="222"/>
      <c r="F323" s="222"/>
      <c r="G323" s="222"/>
      <c r="H323" s="222"/>
      <c r="I323" s="222"/>
    </row>
    <row r="324" ht="15.75" customHeight="1">
      <c r="A324" s="221" t="s">
        <v>1492</v>
      </c>
      <c r="B324" s="222"/>
      <c r="C324" s="222"/>
      <c r="D324" s="222"/>
      <c r="E324" s="222"/>
      <c r="F324" s="222"/>
      <c r="G324" s="222"/>
      <c r="H324" s="222"/>
      <c r="I324" s="222"/>
    </row>
    <row r="325" ht="15.75" customHeight="1">
      <c r="A325" s="225" t="s">
        <v>1498</v>
      </c>
      <c r="B325" s="222"/>
      <c r="C325" s="222"/>
      <c r="D325" s="222"/>
      <c r="E325" s="222"/>
      <c r="F325" s="222">
        <v>145.0</v>
      </c>
      <c r="G325" s="222"/>
      <c r="H325" s="222"/>
      <c r="I325" s="222"/>
    </row>
    <row r="326" ht="15.75" customHeight="1">
      <c r="A326" s="221" t="s">
        <v>1503</v>
      </c>
      <c r="B326" s="222"/>
      <c r="C326" s="222"/>
      <c r="D326" s="222"/>
      <c r="E326" s="222"/>
      <c r="F326" s="222"/>
      <c r="G326" s="222"/>
      <c r="H326" s="222"/>
      <c r="I326" s="222"/>
    </row>
    <row r="327" ht="15.75" customHeight="1">
      <c r="A327" s="221" t="s">
        <v>1506</v>
      </c>
      <c r="B327" s="222"/>
      <c r="C327" s="222"/>
      <c r="D327" s="222"/>
      <c r="E327" s="222"/>
      <c r="F327" s="222"/>
      <c r="G327" s="222"/>
      <c r="H327" s="222"/>
      <c r="I327" s="222"/>
    </row>
    <row r="328" ht="15.75" customHeight="1">
      <c r="A328" s="221" t="s">
        <v>1507</v>
      </c>
      <c r="B328" s="222"/>
      <c r="C328" s="222"/>
      <c r="D328" s="222"/>
      <c r="E328" s="222"/>
      <c r="F328" s="222"/>
      <c r="G328" s="222"/>
      <c r="H328" s="222"/>
      <c r="I328" s="222"/>
    </row>
    <row r="329" ht="15.75" customHeight="1">
      <c r="A329" s="221" t="s">
        <v>1991</v>
      </c>
      <c r="B329" s="222"/>
      <c r="C329" s="222"/>
      <c r="D329" s="222"/>
      <c r="E329" s="222"/>
      <c r="F329" s="222"/>
      <c r="G329" s="222"/>
      <c r="H329" s="222"/>
      <c r="I329" s="222"/>
    </row>
    <row r="330" ht="15.75" customHeight="1">
      <c r="A330" s="221" t="s">
        <v>1536</v>
      </c>
      <c r="B330" s="222"/>
      <c r="C330" s="222"/>
      <c r="D330" s="222"/>
      <c r="E330" s="222"/>
      <c r="F330" s="222"/>
      <c r="G330" s="222"/>
      <c r="H330" s="222"/>
      <c r="I330" s="222"/>
    </row>
    <row r="331" ht="15.75" customHeight="1">
      <c r="A331" s="221" t="s">
        <v>1538</v>
      </c>
      <c r="B331" s="222"/>
      <c r="C331" s="222"/>
      <c r="D331" s="222"/>
      <c r="E331" s="222"/>
      <c r="F331" s="222"/>
      <c r="G331" s="222"/>
      <c r="H331" s="222"/>
      <c r="I331" s="222"/>
    </row>
    <row r="332" ht="15.75" customHeight="1">
      <c r="A332" s="221" t="s">
        <v>1540</v>
      </c>
      <c r="B332" s="222"/>
      <c r="C332" s="222"/>
      <c r="D332" s="222"/>
      <c r="E332" s="222"/>
      <c r="F332" s="222"/>
      <c r="G332" s="222"/>
      <c r="H332" s="222"/>
      <c r="I332" s="222"/>
    </row>
    <row r="333" ht="15.75" customHeight="1">
      <c r="A333" s="221" t="s">
        <v>1542</v>
      </c>
      <c r="B333" s="222"/>
      <c r="C333" s="222"/>
      <c r="D333" s="222"/>
      <c r="E333" s="222"/>
      <c r="F333" s="222"/>
      <c r="G333" s="222"/>
      <c r="H333" s="222"/>
      <c r="I333" s="222"/>
    </row>
    <row r="334" ht="15.75" customHeight="1">
      <c r="A334" s="221" t="s">
        <v>2016</v>
      </c>
      <c r="B334" s="222"/>
      <c r="C334" s="222"/>
      <c r="D334" s="222"/>
      <c r="E334" s="222"/>
      <c r="F334" s="222"/>
      <c r="G334" s="222"/>
      <c r="H334" s="222"/>
      <c r="I334" s="222"/>
    </row>
    <row r="335" ht="15.75" customHeight="1">
      <c r="A335" s="225" t="s">
        <v>2156</v>
      </c>
      <c r="B335" s="222"/>
      <c r="C335" s="222"/>
      <c r="D335" s="222">
        <v>56.0</v>
      </c>
      <c r="E335" s="222">
        <v>218.0</v>
      </c>
      <c r="F335" s="222"/>
      <c r="G335" s="222"/>
      <c r="H335" s="222"/>
      <c r="I335" s="222"/>
    </row>
    <row r="336" ht="15.75" customHeight="1">
      <c r="A336" s="221" t="s">
        <v>1547</v>
      </c>
      <c r="B336" s="222"/>
      <c r="C336" s="222"/>
      <c r="D336" s="222"/>
      <c r="E336" s="222"/>
      <c r="F336" s="222"/>
      <c r="G336" s="222"/>
      <c r="H336" s="222"/>
      <c r="I336" s="222"/>
    </row>
    <row r="337" ht="15.75" customHeight="1">
      <c r="A337" s="221" t="s">
        <v>1559</v>
      </c>
      <c r="B337" s="222"/>
      <c r="C337" s="222"/>
      <c r="D337" s="222"/>
      <c r="E337" s="222"/>
      <c r="F337" s="222"/>
      <c r="G337" s="222"/>
      <c r="H337" s="222"/>
      <c r="I337" s="222"/>
    </row>
    <row r="338" ht="15.75" customHeight="1">
      <c r="A338" s="221" t="s">
        <v>1560</v>
      </c>
      <c r="B338" s="222"/>
      <c r="C338" s="222"/>
      <c r="D338" s="222"/>
      <c r="E338" s="222"/>
      <c r="F338" s="222"/>
      <c r="G338" s="222"/>
      <c r="H338" s="222"/>
      <c r="I338" s="222"/>
    </row>
    <row r="339" ht="15.75" customHeight="1">
      <c r="A339" s="221" t="s">
        <v>2370</v>
      </c>
      <c r="B339" s="222"/>
      <c r="C339" s="222"/>
      <c r="D339" s="222"/>
      <c r="E339" s="222"/>
      <c r="F339" s="222"/>
      <c r="G339" s="222"/>
      <c r="H339" s="222"/>
      <c r="I339" s="222"/>
    </row>
    <row r="340" ht="15.75" customHeight="1">
      <c r="A340" s="221" t="s">
        <v>1562</v>
      </c>
      <c r="B340" s="222"/>
      <c r="C340" s="222"/>
      <c r="D340" s="222"/>
      <c r="E340" s="222"/>
      <c r="F340" s="222"/>
      <c r="G340" s="222"/>
      <c r="H340" s="222"/>
      <c r="I340" s="222"/>
    </row>
    <row r="341" ht="15.75" customHeight="1">
      <c r="A341" s="216" t="s">
        <v>1564</v>
      </c>
      <c r="B341" s="222"/>
      <c r="C341" s="222"/>
      <c r="D341" s="222"/>
      <c r="E341" s="222"/>
      <c r="F341" s="222"/>
      <c r="G341" s="222"/>
      <c r="H341" s="222"/>
      <c r="I341" s="222"/>
    </row>
    <row r="342" ht="15.75" customHeight="1">
      <c r="A342" s="221" t="s">
        <v>1567</v>
      </c>
      <c r="B342" s="222"/>
      <c r="C342" s="222"/>
      <c r="D342" s="222"/>
      <c r="E342" s="222"/>
      <c r="F342" s="222"/>
      <c r="G342" s="222"/>
      <c r="H342" s="222"/>
      <c r="I342" s="222"/>
    </row>
    <row r="343" ht="15.75" customHeight="1">
      <c r="A343" s="221" t="s">
        <v>1569</v>
      </c>
      <c r="B343" s="222"/>
      <c r="C343" s="222"/>
      <c r="D343" s="222"/>
      <c r="E343" s="222"/>
      <c r="F343" s="222"/>
      <c r="G343" s="222"/>
      <c r="H343" s="222"/>
      <c r="I343" s="222"/>
    </row>
    <row r="344" ht="15.75" customHeight="1">
      <c r="A344" s="221" t="s">
        <v>1573</v>
      </c>
      <c r="B344" s="222"/>
      <c r="C344" s="222"/>
      <c r="D344" s="222"/>
      <c r="E344" s="222"/>
      <c r="F344" s="222"/>
      <c r="G344" s="222"/>
      <c r="H344" s="222"/>
      <c r="I344" s="222"/>
    </row>
    <row r="345" ht="15.75" customHeight="1">
      <c r="A345" s="221" t="s">
        <v>1577</v>
      </c>
      <c r="B345" s="222"/>
      <c r="C345" s="222"/>
      <c r="D345" s="222"/>
      <c r="E345" s="222"/>
      <c r="F345" s="222"/>
      <c r="G345" s="222"/>
      <c r="H345" s="222"/>
      <c r="I345" s="222"/>
    </row>
    <row r="346" ht="15.75" customHeight="1">
      <c r="A346" s="221" t="s">
        <v>1578</v>
      </c>
      <c r="B346" s="222"/>
      <c r="C346" s="222"/>
      <c r="D346" s="222"/>
      <c r="E346" s="222"/>
      <c r="F346" s="222"/>
      <c r="G346" s="222"/>
      <c r="H346" s="222"/>
      <c r="I346" s="222"/>
    </row>
    <row r="347" ht="15.75" customHeight="1">
      <c r="A347" s="225" t="s">
        <v>2371</v>
      </c>
      <c r="B347" s="222"/>
      <c r="C347" s="222"/>
      <c r="D347" s="222">
        <v>120.0</v>
      </c>
      <c r="E347" s="222"/>
      <c r="F347" s="222"/>
      <c r="G347" s="222"/>
      <c r="H347" s="222"/>
      <c r="I347" s="222"/>
    </row>
    <row r="348" ht="15.75" customHeight="1">
      <c r="A348" s="221" t="s">
        <v>1584</v>
      </c>
      <c r="B348" s="222"/>
      <c r="C348" s="222"/>
      <c r="D348" s="222"/>
      <c r="E348" s="222"/>
      <c r="F348" s="222"/>
      <c r="G348" s="222"/>
      <c r="H348" s="222"/>
      <c r="I348" s="222"/>
    </row>
    <row r="349" ht="15.75" customHeight="1">
      <c r="A349" s="221" t="s">
        <v>1590</v>
      </c>
      <c r="B349" s="222"/>
      <c r="C349" s="222"/>
      <c r="D349" s="222"/>
      <c r="E349" s="222"/>
      <c r="F349" s="222"/>
      <c r="G349" s="222"/>
      <c r="H349" s="222"/>
      <c r="I349" s="222"/>
    </row>
    <row r="350" ht="15.75" customHeight="1">
      <c r="A350" s="225" t="s">
        <v>1602</v>
      </c>
      <c r="B350" s="222"/>
      <c r="C350" s="222"/>
      <c r="D350" s="222"/>
      <c r="E350" s="222"/>
      <c r="F350" s="222"/>
      <c r="G350" s="222"/>
      <c r="H350" s="222"/>
      <c r="I350" s="222"/>
    </row>
    <row r="351" ht="15.75" customHeight="1">
      <c r="A351" s="221" t="s">
        <v>1607</v>
      </c>
      <c r="B351" s="222"/>
      <c r="C351" s="222"/>
      <c r="D351" s="222"/>
      <c r="E351" s="222"/>
      <c r="F351" s="222"/>
      <c r="G351" s="222"/>
      <c r="H351" s="222"/>
      <c r="I351" s="222"/>
    </row>
    <row r="352" ht="15.75" customHeight="1">
      <c r="A352" s="221" t="s">
        <v>1609</v>
      </c>
      <c r="B352" s="222"/>
      <c r="C352" s="222"/>
      <c r="D352" s="222"/>
      <c r="E352" s="222"/>
      <c r="F352" s="222"/>
      <c r="G352" s="222"/>
      <c r="H352" s="222"/>
      <c r="I352" s="222"/>
    </row>
    <row r="353" ht="15.75" customHeight="1">
      <c r="A353" s="221" t="s">
        <v>1994</v>
      </c>
      <c r="B353" s="222"/>
      <c r="C353" s="222"/>
      <c r="D353" s="222"/>
      <c r="E353" s="222"/>
      <c r="F353" s="222"/>
      <c r="G353" s="222"/>
      <c r="H353" s="222"/>
      <c r="I353" s="222"/>
    </row>
    <row r="354" ht="15.75" customHeight="1">
      <c r="A354" s="221" t="s">
        <v>1613</v>
      </c>
      <c r="B354" s="222"/>
      <c r="C354" s="222"/>
      <c r="D354" s="222"/>
      <c r="E354" s="222"/>
      <c r="F354" s="222"/>
      <c r="G354" s="222"/>
      <c r="H354" s="222"/>
      <c r="I354" s="222"/>
    </row>
    <row r="355" ht="15.75" customHeight="1">
      <c r="A355" s="221" t="s">
        <v>1600</v>
      </c>
      <c r="B355" s="222"/>
      <c r="C355" s="222"/>
      <c r="D355" s="222"/>
      <c r="E355" s="222"/>
      <c r="F355" s="222"/>
      <c r="G355" s="222"/>
      <c r="H355" s="222"/>
      <c r="I355" s="222"/>
    </row>
    <row r="356" ht="15.75" customHeight="1">
      <c r="A356" s="216" t="s">
        <v>1619</v>
      </c>
      <c r="B356" s="222"/>
      <c r="C356" s="222"/>
      <c r="D356" s="222"/>
      <c r="E356" s="222"/>
      <c r="F356" s="222"/>
      <c r="G356" s="222"/>
      <c r="H356" s="222"/>
      <c r="I356" s="222"/>
    </row>
    <row r="357" ht="15.75" customHeight="1">
      <c r="A357" s="229" t="s">
        <v>2372</v>
      </c>
      <c r="B357" s="222"/>
      <c r="C357" s="222"/>
      <c r="D357" s="222"/>
      <c r="E357" s="222"/>
      <c r="F357" s="222"/>
      <c r="G357" s="222"/>
      <c r="H357" s="222"/>
      <c r="I357" s="222"/>
    </row>
    <row r="358" ht="15.75" customHeight="1">
      <c r="A358" s="221" t="s">
        <v>1633</v>
      </c>
      <c r="B358" s="222"/>
      <c r="C358" s="222"/>
      <c r="D358" s="222"/>
      <c r="E358" s="222"/>
      <c r="F358" s="222"/>
      <c r="G358" s="222"/>
      <c r="H358" s="222"/>
      <c r="I358" s="222"/>
    </row>
    <row r="359" ht="15.75" customHeight="1">
      <c r="A359" s="221" t="s">
        <v>2136</v>
      </c>
      <c r="B359" s="222"/>
      <c r="C359" s="222"/>
      <c r="D359" s="222"/>
      <c r="E359" s="222"/>
      <c r="F359" s="222"/>
      <c r="G359" s="222"/>
      <c r="H359" s="222"/>
      <c r="I359" s="222"/>
    </row>
    <row r="360" ht="15.75" customHeight="1">
      <c r="A360" s="221" t="s">
        <v>1637</v>
      </c>
      <c r="B360" s="222"/>
      <c r="C360" s="222"/>
      <c r="D360" s="222"/>
      <c r="E360" s="222"/>
      <c r="F360" s="222"/>
      <c r="G360" s="222"/>
      <c r="H360" s="222"/>
      <c r="I360" s="222"/>
    </row>
    <row r="361" ht="15.75" customHeight="1">
      <c r="A361" s="221" t="s">
        <v>1639</v>
      </c>
      <c r="B361" s="222"/>
      <c r="C361" s="222"/>
      <c r="D361" s="222"/>
      <c r="E361" s="222"/>
      <c r="F361" s="222"/>
      <c r="G361" s="222"/>
      <c r="H361" s="222"/>
      <c r="I361" s="222"/>
    </row>
    <row r="362" ht="15.75" customHeight="1">
      <c r="A362" s="221" t="s">
        <v>1641</v>
      </c>
      <c r="B362" s="222"/>
      <c r="C362" s="222"/>
      <c r="D362" s="222"/>
      <c r="E362" s="222"/>
      <c r="F362" s="222"/>
      <c r="G362" s="222"/>
      <c r="H362" s="222"/>
      <c r="I362" s="222"/>
    </row>
    <row r="363" ht="15.75" customHeight="1">
      <c r="A363" s="225" t="s">
        <v>1646</v>
      </c>
      <c r="B363" s="222"/>
      <c r="C363" s="222">
        <v>66.0</v>
      </c>
      <c r="D363" s="222"/>
      <c r="E363" s="222"/>
      <c r="F363" s="222"/>
      <c r="G363" s="222"/>
      <c r="H363" s="222"/>
      <c r="I363" s="222"/>
    </row>
    <row r="364" ht="15.75" customHeight="1">
      <c r="A364" s="221" t="s">
        <v>1659</v>
      </c>
      <c r="B364" s="222"/>
      <c r="C364" s="222"/>
      <c r="D364" s="222"/>
      <c r="E364" s="222"/>
      <c r="F364" s="222"/>
      <c r="G364" s="222"/>
      <c r="H364" s="222"/>
      <c r="I364" s="222"/>
    </row>
    <row r="365" ht="15.75" customHeight="1">
      <c r="A365" s="221" t="s">
        <v>1661</v>
      </c>
      <c r="B365" s="222"/>
      <c r="C365" s="222"/>
      <c r="D365" s="222"/>
      <c r="E365" s="222"/>
      <c r="F365" s="222"/>
      <c r="G365" s="222"/>
      <c r="H365" s="222"/>
      <c r="I365" s="222"/>
    </row>
    <row r="366" ht="15.75" customHeight="1">
      <c r="A366" s="221" t="s">
        <v>1667</v>
      </c>
      <c r="B366" s="222"/>
      <c r="C366" s="222"/>
      <c r="D366" s="222"/>
      <c r="E366" s="222"/>
      <c r="F366" s="222"/>
      <c r="G366" s="222"/>
      <c r="H366" s="222"/>
      <c r="I366" s="222"/>
    </row>
    <row r="367" ht="15.75" customHeight="1">
      <c r="A367" s="221" t="s">
        <v>2026</v>
      </c>
      <c r="B367" s="222"/>
      <c r="C367" s="222"/>
      <c r="D367" s="222"/>
      <c r="E367" s="222"/>
      <c r="F367" s="222"/>
      <c r="G367" s="222"/>
      <c r="H367" s="222"/>
      <c r="I367" s="222"/>
    </row>
    <row r="368" ht="15.75" customHeight="1">
      <c r="A368" s="221" t="s">
        <v>2373</v>
      </c>
      <c r="B368" s="222"/>
      <c r="C368" s="222"/>
      <c r="D368" s="222"/>
      <c r="E368" s="222"/>
      <c r="F368" s="222"/>
      <c r="G368" s="222"/>
      <c r="H368" s="222"/>
      <c r="I368" s="222"/>
    </row>
    <row r="369" ht="15.75" customHeight="1">
      <c r="A369" s="221" t="s">
        <v>1683</v>
      </c>
      <c r="B369" s="222"/>
      <c r="C369" s="222"/>
      <c r="D369" s="222"/>
      <c r="E369" s="222"/>
      <c r="F369" s="222"/>
      <c r="G369" s="222"/>
      <c r="H369" s="222"/>
      <c r="I369" s="222"/>
    </row>
    <row r="370" ht="15.75" customHeight="1">
      <c r="A370" s="221" t="s">
        <v>1686</v>
      </c>
      <c r="B370" s="222"/>
      <c r="C370" s="222"/>
      <c r="D370" s="222"/>
      <c r="E370" s="222"/>
      <c r="F370" s="222"/>
      <c r="G370" s="222"/>
      <c r="H370" s="222"/>
      <c r="I370" s="222"/>
    </row>
    <row r="371" ht="15.75" customHeight="1">
      <c r="A371" s="221" t="s">
        <v>1693</v>
      </c>
      <c r="B371" s="222"/>
      <c r="C371" s="222"/>
      <c r="D371" s="222"/>
      <c r="E371" s="222"/>
      <c r="F371" s="222"/>
      <c r="G371" s="222"/>
      <c r="H371" s="222"/>
      <c r="I371" s="222"/>
    </row>
    <row r="372" ht="15.75" customHeight="1">
      <c r="A372" s="221" t="s">
        <v>2018</v>
      </c>
      <c r="B372" s="222"/>
      <c r="C372" s="222"/>
      <c r="D372" s="222"/>
      <c r="E372" s="222"/>
      <c r="F372" s="222"/>
      <c r="G372" s="222"/>
      <c r="H372" s="222"/>
      <c r="I372" s="222"/>
    </row>
    <row r="373" ht="15.75" customHeight="1">
      <c r="A373" s="221" t="s">
        <v>2374</v>
      </c>
      <c r="B373" s="222"/>
      <c r="C373" s="222"/>
      <c r="D373" s="222"/>
      <c r="E373" s="222"/>
      <c r="F373" s="222"/>
      <c r="G373" s="222"/>
      <c r="H373" s="222"/>
      <c r="I373" s="222"/>
    </row>
    <row r="374" ht="15.75" customHeight="1">
      <c r="A374" s="221" t="s">
        <v>2375</v>
      </c>
      <c r="B374" s="222"/>
      <c r="C374" s="222"/>
      <c r="D374" s="222"/>
      <c r="E374" s="222"/>
      <c r="F374" s="222"/>
      <c r="G374" s="222"/>
      <c r="H374" s="222"/>
      <c r="I374" s="222"/>
    </row>
    <row r="375" ht="15.75" customHeight="1">
      <c r="A375" s="225" t="s">
        <v>1712</v>
      </c>
      <c r="B375" s="222"/>
      <c r="C375" s="222"/>
      <c r="D375" s="222"/>
      <c r="E375" s="222"/>
      <c r="F375" s="222"/>
      <c r="G375" s="222">
        <v>36.0</v>
      </c>
      <c r="H375" s="222"/>
      <c r="I375" s="222"/>
    </row>
    <row r="376" ht="15.75" customHeight="1">
      <c r="A376" s="221" t="s">
        <v>2096</v>
      </c>
      <c r="B376" s="222"/>
      <c r="C376" s="222"/>
      <c r="D376" s="222"/>
      <c r="E376" s="222"/>
      <c r="F376" s="222"/>
      <c r="G376" s="222"/>
      <c r="H376" s="222"/>
      <c r="I376" s="222"/>
    </row>
    <row r="377" ht="15.75" customHeight="1">
      <c r="A377" s="221" t="s">
        <v>1714</v>
      </c>
      <c r="B377" s="222"/>
      <c r="C377" s="222"/>
      <c r="D377" s="222"/>
      <c r="E377" s="222"/>
      <c r="F377" s="222"/>
      <c r="G377" s="222"/>
      <c r="H377" s="222"/>
      <c r="I377" s="222"/>
    </row>
    <row r="378" ht="15.75" customHeight="1">
      <c r="A378" s="221" t="s">
        <v>1716</v>
      </c>
      <c r="B378" s="222"/>
      <c r="C378" s="222"/>
      <c r="D378" s="222"/>
      <c r="E378" s="222"/>
      <c r="F378" s="222"/>
      <c r="G378" s="222"/>
      <c r="H378" s="222"/>
      <c r="I378" s="222"/>
    </row>
    <row r="379" ht="15.75" customHeight="1">
      <c r="A379" s="221" t="s">
        <v>1717</v>
      </c>
      <c r="B379" s="222"/>
      <c r="C379" s="222"/>
      <c r="D379" s="222"/>
      <c r="E379" s="222"/>
      <c r="F379" s="222"/>
      <c r="G379" s="222"/>
      <c r="H379" s="222"/>
      <c r="I379" s="222"/>
    </row>
    <row r="380" ht="15.75" customHeight="1">
      <c r="A380" s="225" t="s">
        <v>2376</v>
      </c>
      <c r="B380" s="222"/>
      <c r="C380" s="222">
        <v>108.0</v>
      </c>
      <c r="D380" s="222"/>
      <c r="E380" s="222"/>
      <c r="F380" s="222"/>
      <c r="G380" s="222"/>
      <c r="H380" s="222"/>
      <c r="I380" s="222"/>
    </row>
    <row r="381" ht="15.75" customHeight="1">
      <c r="A381" s="221" t="s">
        <v>1725</v>
      </c>
      <c r="B381" s="222"/>
      <c r="C381" s="222"/>
      <c r="D381" s="222"/>
      <c r="E381" s="222"/>
      <c r="F381" s="222"/>
      <c r="G381" s="222"/>
      <c r="H381" s="222"/>
      <c r="I381" s="222"/>
    </row>
    <row r="382" ht="15.75" customHeight="1">
      <c r="A382" s="221" t="s">
        <v>1731</v>
      </c>
      <c r="B382" s="222"/>
      <c r="C382" s="222"/>
      <c r="D382" s="222"/>
      <c r="E382" s="222"/>
      <c r="F382" s="222"/>
      <c r="G382" s="222"/>
      <c r="H382" s="222"/>
      <c r="I382" s="222"/>
    </row>
    <row r="383" ht="15.75" customHeight="1">
      <c r="A383" s="225" t="s">
        <v>2377</v>
      </c>
      <c r="B383" s="222"/>
      <c r="C383" s="222"/>
      <c r="D383" s="222"/>
      <c r="E383" s="222"/>
      <c r="F383" s="222"/>
      <c r="G383" s="222"/>
      <c r="H383" s="222"/>
      <c r="I383" s="222"/>
    </row>
    <row r="384" ht="15.75" customHeight="1">
      <c r="A384" s="221" t="s">
        <v>1748</v>
      </c>
      <c r="B384" s="222"/>
      <c r="C384" s="222"/>
      <c r="D384" s="222"/>
      <c r="E384" s="222"/>
      <c r="F384" s="222"/>
      <c r="G384" s="222"/>
      <c r="H384" s="222"/>
      <c r="I384" s="222"/>
    </row>
    <row r="385" ht="15.75" customHeight="1">
      <c r="A385" s="221" t="s">
        <v>1750</v>
      </c>
      <c r="B385" s="222"/>
      <c r="C385" s="222"/>
      <c r="D385" s="222"/>
      <c r="E385" s="222"/>
      <c r="F385" s="222"/>
      <c r="G385" s="222"/>
      <c r="H385" s="222"/>
      <c r="I385" s="222"/>
    </row>
    <row r="386" ht="15.75" customHeight="1">
      <c r="A386" s="221" t="s">
        <v>1751</v>
      </c>
      <c r="B386" s="222"/>
      <c r="C386" s="222"/>
      <c r="D386" s="222"/>
      <c r="E386" s="222"/>
      <c r="F386" s="222"/>
      <c r="G386" s="222"/>
      <c r="H386" s="222"/>
      <c r="I386" s="222"/>
    </row>
    <row r="387" ht="15.75" customHeight="1">
      <c r="A387" s="221" t="s">
        <v>1764</v>
      </c>
      <c r="B387" s="222"/>
      <c r="C387" s="222"/>
      <c r="D387" s="222"/>
      <c r="E387" s="222"/>
      <c r="F387" s="222"/>
      <c r="G387" s="222"/>
      <c r="H387" s="222"/>
      <c r="I387" s="222"/>
    </row>
    <row r="388" ht="15.75" customHeight="1">
      <c r="A388" s="221" t="s">
        <v>2183</v>
      </c>
      <c r="B388" s="222"/>
      <c r="C388" s="222"/>
      <c r="D388" s="222"/>
      <c r="E388" s="222"/>
      <c r="F388" s="222"/>
      <c r="G388" s="222"/>
      <c r="H388" s="222"/>
      <c r="I388" s="222"/>
    </row>
    <row r="389" ht="15.75" customHeight="1">
      <c r="A389" s="225" t="s">
        <v>1776</v>
      </c>
      <c r="B389" s="222"/>
      <c r="C389" s="222"/>
      <c r="D389" s="222"/>
      <c r="E389" s="222"/>
      <c r="F389" s="222"/>
      <c r="G389" s="222"/>
      <c r="H389" s="222"/>
      <c r="I389" s="222"/>
    </row>
    <row r="390" ht="15.75" customHeight="1">
      <c r="A390" s="225" t="s">
        <v>1778</v>
      </c>
      <c r="B390" s="222"/>
      <c r="C390" s="222"/>
      <c r="D390" s="222"/>
      <c r="E390" s="222"/>
      <c r="F390" s="222"/>
      <c r="G390" s="222"/>
      <c r="H390" s="222"/>
      <c r="I390" s="222"/>
    </row>
    <row r="391" ht="15.75" customHeight="1">
      <c r="A391" s="225" t="s">
        <v>1799</v>
      </c>
      <c r="B391" s="222"/>
      <c r="C391" s="222"/>
      <c r="D391" s="222"/>
      <c r="E391" s="222"/>
      <c r="F391" s="222"/>
      <c r="G391" s="222"/>
      <c r="H391" s="222"/>
      <c r="I391" s="222"/>
    </row>
    <row r="392" ht="15.75" customHeight="1">
      <c r="A392" s="221" t="s">
        <v>1803</v>
      </c>
      <c r="B392" s="222"/>
      <c r="C392" s="222"/>
      <c r="D392" s="222"/>
      <c r="E392" s="222"/>
      <c r="F392" s="222"/>
      <c r="G392" s="222"/>
      <c r="H392" s="222"/>
      <c r="I392" s="222"/>
    </row>
    <row r="393" ht="15.75" customHeight="1">
      <c r="A393" s="221" t="s">
        <v>1807</v>
      </c>
      <c r="B393" s="222"/>
      <c r="C393" s="222"/>
      <c r="D393" s="222"/>
      <c r="E393" s="222"/>
      <c r="F393" s="222"/>
      <c r="G393" s="222"/>
      <c r="H393" s="222"/>
      <c r="I393" s="222"/>
    </row>
    <row r="394" ht="15.75" customHeight="1">
      <c r="A394" s="221" t="s">
        <v>1808</v>
      </c>
      <c r="B394" s="222"/>
      <c r="C394" s="222"/>
      <c r="D394" s="222"/>
      <c r="E394" s="222"/>
      <c r="F394" s="222"/>
      <c r="G394" s="222"/>
      <c r="H394" s="222"/>
      <c r="I394" s="222"/>
    </row>
    <row r="395" ht="15.75" customHeight="1">
      <c r="A395" s="221" t="s">
        <v>1809</v>
      </c>
      <c r="B395" s="222"/>
      <c r="C395" s="222"/>
      <c r="D395" s="222"/>
      <c r="E395" s="222"/>
      <c r="F395" s="222"/>
      <c r="G395" s="222"/>
      <c r="H395" s="222"/>
      <c r="I395" s="222"/>
    </row>
    <row r="396" ht="15.75" customHeight="1">
      <c r="A396" s="221" t="s">
        <v>1811</v>
      </c>
      <c r="B396" s="222"/>
      <c r="C396" s="222"/>
      <c r="D396" s="222"/>
      <c r="E396" s="222"/>
      <c r="F396" s="222"/>
      <c r="G396" s="222"/>
      <c r="H396" s="222"/>
      <c r="I396" s="222"/>
    </row>
    <row r="397" ht="15.75" customHeight="1">
      <c r="A397" s="221" t="s">
        <v>1812</v>
      </c>
      <c r="B397" s="222"/>
      <c r="C397" s="222"/>
      <c r="D397" s="222"/>
      <c r="E397" s="222"/>
      <c r="F397" s="222"/>
      <c r="G397" s="222"/>
      <c r="H397" s="222"/>
      <c r="I397" s="222"/>
    </row>
    <row r="398" ht="15.75" customHeight="1">
      <c r="A398" s="221" t="s">
        <v>1814</v>
      </c>
      <c r="B398" s="222"/>
      <c r="C398" s="222"/>
      <c r="D398" s="222"/>
      <c r="E398" s="222"/>
      <c r="F398" s="222"/>
      <c r="G398" s="222"/>
      <c r="H398" s="222"/>
      <c r="I398" s="222"/>
    </row>
    <row r="399" ht="15.75" customHeight="1">
      <c r="A399" s="221" t="s">
        <v>1815</v>
      </c>
      <c r="B399" s="222"/>
      <c r="C399" s="222"/>
      <c r="D399" s="222"/>
      <c r="E399" s="222"/>
      <c r="F399" s="222"/>
      <c r="G399" s="222"/>
      <c r="H399" s="222"/>
      <c r="I399" s="222"/>
    </row>
    <row r="400" ht="15.75" customHeight="1">
      <c r="A400" s="225" t="s">
        <v>1816</v>
      </c>
      <c r="B400" s="222"/>
      <c r="C400" s="222"/>
      <c r="D400" s="222"/>
      <c r="E400" s="222"/>
      <c r="F400" s="222"/>
      <c r="G400" s="222"/>
      <c r="H400" s="222"/>
      <c r="I400" s="222"/>
    </row>
    <row r="401" ht="15.75" customHeight="1">
      <c r="A401" s="225" t="s">
        <v>1818</v>
      </c>
      <c r="B401" s="222"/>
      <c r="C401" s="222"/>
      <c r="D401" s="222">
        <v>82.0</v>
      </c>
      <c r="E401" s="222"/>
      <c r="F401" s="222"/>
      <c r="G401" s="222"/>
      <c r="H401" s="222"/>
      <c r="I401" s="222"/>
    </row>
    <row r="402" ht="15.75" customHeight="1">
      <c r="A402" s="221" t="s">
        <v>1823</v>
      </c>
      <c r="B402" s="222"/>
      <c r="C402" s="222"/>
      <c r="D402" s="222"/>
      <c r="E402" s="222"/>
      <c r="F402" s="222"/>
      <c r="G402" s="222"/>
      <c r="H402" s="222"/>
      <c r="I402" s="222"/>
    </row>
    <row r="403" ht="15.75" customHeight="1">
      <c r="A403" s="225" t="s">
        <v>2378</v>
      </c>
      <c r="B403" s="222"/>
      <c r="C403" s="222"/>
      <c r="D403" s="222"/>
      <c r="E403" s="222"/>
      <c r="F403" s="222"/>
      <c r="G403" s="222"/>
      <c r="H403" s="222"/>
      <c r="I403" s="222"/>
    </row>
    <row r="404" ht="15.75" customHeight="1">
      <c r="A404" s="221" t="s">
        <v>1826</v>
      </c>
      <c r="B404" s="222"/>
      <c r="C404" s="222"/>
      <c r="D404" s="222"/>
      <c r="E404" s="222"/>
      <c r="F404" s="222"/>
      <c r="G404" s="222"/>
      <c r="H404" s="222"/>
      <c r="I404" s="222"/>
    </row>
    <row r="405" ht="15.75" customHeight="1">
      <c r="A405" s="225" t="s">
        <v>1833</v>
      </c>
      <c r="B405" s="222"/>
      <c r="C405" s="222"/>
      <c r="D405" s="222">
        <v>60.0</v>
      </c>
      <c r="E405" s="222"/>
      <c r="F405" s="222"/>
      <c r="G405" s="222"/>
      <c r="H405" s="222"/>
      <c r="I405" s="222"/>
    </row>
    <row r="406" ht="15.75" customHeight="1">
      <c r="A406" s="225" t="s">
        <v>1838</v>
      </c>
      <c r="B406" s="222"/>
      <c r="C406" s="222"/>
      <c r="D406" s="222"/>
      <c r="E406" s="222"/>
      <c r="F406" s="222"/>
      <c r="G406" s="222"/>
      <c r="H406" s="222"/>
      <c r="I406" s="222"/>
    </row>
    <row r="407" ht="15.75" customHeight="1">
      <c r="A407" s="225" t="s">
        <v>1841</v>
      </c>
      <c r="B407" s="222"/>
      <c r="C407" s="222"/>
      <c r="D407" s="222"/>
      <c r="E407" s="222"/>
      <c r="F407" s="222"/>
      <c r="G407" s="222">
        <v>54.0</v>
      </c>
      <c r="H407" s="222"/>
      <c r="I407" s="222"/>
    </row>
    <row r="408" ht="15.75" customHeight="1">
      <c r="A408" s="221" t="s">
        <v>1843</v>
      </c>
      <c r="B408" s="222"/>
      <c r="C408" s="222"/>
      <c r="D408" s="222"/>
      <c r="E408" s="222"/>
      <c r="F408" s="222"/>
      <c r="G408" s="222"/>
      <c r="H408" s="222"/>
      <c r="I408" s="222"/>
    </row>
    <row r="409" ht="15.75" customHeight="1">
      <c r="A409" s="225" t="s">
        <v>1847</v>
      </c>
      <c r="B409" s="222"/>
      <c r="C409" s="222"/>
      <c r="D409" s="222"/>
      <c r="E409" s="222"/>
      <c r="F409" s="222"/>
      <c r="G409" s="222"/>
      <c r="H409" s="222"/>
      <c r="I409" s="222"/>
    </row>
    <row r="410" ht="15.75" customHeight="1">
      <c r="A410" s="221" t="s">
        <v>2137</v>
      </c>
      <c r="B410" s="222"/>
      <c r="C410" s="222"/>
      <c r="D410" s="222"/>
      <c r="E410" s="222"/>
      <c r="F410" s="222"/>
      <c r="G410" s="222"/>
      <c r="H410" s="222"/>
      <c r="I410" s="222"/>
    </row>
    <row r="411" ht="15.75" customHeight="1">
      <c r="A411" s="221" t="s">
        <v>1850</v>
      </c>
      <c r="B411" s="222"/>
      <c r="C411" s="222"/>
      <c r="D411" s="222"/>
      <c r="E411" s="222"/>
      <c r="F411" s="222"/>
      <c r="G411" s="222"/>
      <c r="H411" s="222"/>
      <c r="I411" s="222"/>
    </row>
    <row r="412" ht="15.75" customHeight="1">
      <c r="A412" s="221" t="s">
        <v>1851</v>
      </c>
      <c r="B412" s="222"/>
      <c r="C412" s="222"/>
      <c r="D412" s="222"/>
      <c r="E412" s="222"/>
      <c r="F412" s="222"/>
      <c r="G412" s="222"/>
      <c r="H412" s="222"/>
      <c r="I412" s="222"/>
    </row>
    <row r="413" ht="15.75" customHeight="1">
      <c r="A413" s="225" t="s">
        <v>1854</v>
      </c>
      <c r="B413" s="222"/>
      <c r="C413" s="222"/>
      <c r="D413" s="222"/>
      <c r="E413" s="222"/>
      <c r="F413" s="222"/>
      <c r="G413" s="222"/>
      <c r="H413" s="222"/>
      <c r="I413" s="222"/>
    </row>
    <row r="414" ht="15.75" customHeight="1">
      <c r="A414" s="225" t="s">
        <v>1855</v>
      </c>
      <c r="B414" s="222"/>
      <c r="C414" s="222"/>
      <c r="D414" s="222"/>
      <c r="E414" s="222"/>
      <c r="F414" s="222"/>
      <c r="G414" s="222"/>
      <c r="H414" s="222"/>
      <c r="I414" s="222"/>
    </row>
    <row r="415" ht="15.75" customHeight="1">
      <c r="A415" s="221" t="s">
        <v>1859</v>
      </c>
      <c r="B415" s="222"/>
      <c r="C415" s="222"/>
      <c r="D415" s="222"/>
      <c r="E415" s="222"/>
      <c r="F415" s="222"/>
      <c r="G415" s="222"/>
      <c r="H415" s="222"/>
      <c r="I415" s="222"/>
    </row>
    <row r="416" ht="15.75" customHeight="1">
      <c r="A416" s="225" t="s">
        <v>2379</v>
      </c>
      <c r="B416" s="222"/>
      <c r="C416" s="222"/>
      <c r="D416" s="222"/>
      <c r="E416" s="222"/>
      <c r="F416" s="222"/>
      <c r="G416" s="222"/>
      <c r="H416" s="222"/>
      <c r="I416" s="222"/>
    </row>
    <row r="417" ht="15.75" customHeight="1">
      <c r="A417" s="221" t="s">
        <v>1892</v>
      </c>
      <c r="B417" s="222"/>
      <c r="C417" s="222"/>
      <c r="D417" s="222"/>
      <c r="E417" s="222"/>
      <c r="F417" s="222"/>
      <c r="G417" s="222"/>
      <c r="H417" s="222"/>
      <c r="I417" s="222"/>
    </row>
    <row r="418" ht="15.75" customHeight="1">
      <c r="A418" s="221" t="s">
        <v>1894</v>
      </c>
      <c r="B418" s="222"/>
      <c r="C418" s="222"/>
      <c r="D418" s="222"/>
      <c r="E418" s="222"/>
      <c r="F418" s="222"/>
      <c r="G418" s="222"/>
      <c r="H418" s="222"/>
      <c r="I418" s="222"/>
    </row>
    <row r="419" ht="15.75" customHeight="1">
      <c r="A419" s="221" t="s">
        <v>1896</v>
      </c>
      <c r="B419" s="222"/>
      <c r="C419" s="222"/>
      <c r="D419" s="222"/>
      <c r="E419" s="222"/>
      <c r="F419" s="222"/>
      <c r="G419" s="222"/>
      <c r="H419" s="222"/>
      <c r="I419" s="222"/>
    </row>
    <row r="420" ht="15.75" customHeight="1">
      <c r="A420" s="221" t="s">
        <v>1898</v>
      </c>
      <c r="B420" s="222"/>
      <c r="C420" s="222"/>
      <c r="D420" s="222"/>
      <c r="E420" s="222"/>
      <c r="F420" s="222"/>
      <c r="G420" s="222"/>
      <c r="H420" s="222"/>
      <c r="I420" s="222"/>
    </row>
    <row r="421" ht="15.75" customHeight="1">
      <c r="A421" s="221" t="s">
        <v>1899</v>
      </c>
      <c r="B421" s="222"/>
      <c r="C421" s="222"/>
      <c r="D421" s="222"/>
      <c r="E421" s="222"/>
      <c r="F421" s="222"/>
      <c r="G421" s="222"/>
      <c r="H421" s="222"/>
      <c r="I421" s="222"/>
    </row>
    <row r="422" ht="15.75" customHeight="1">
      <c r="A422" s="225" t="s">
        <v>1905</v>
      </c>
      <c r="B422" s="222"/>
      <c r="C422" s="222"/>
      <c r="D422" s="222"/>
      <c r="E422" s="222"/>
      <c r="F422" s="222"/>
      <c r="G422" s="222"/>
      <c r="H422" s="222"/>
      <c r="I422" s="222"/>
    </row>
    <row r="423" ht="15.75" customHeight="1">
      <c r="A423" s="221" t="s">
        <v>1914</v>
      </c>
      <c r="B423" s="222"/>
      <c r="C423" s="222"/>
      <c r="D423" s="222"/>
      <c r="E423" s="222"/>
      <c r="F423" s="222"/>
      <c r="G423" s="222"/>
      <c r="H423" s="222"/>
      <c r="I423" s="222"/>
    </row>
    <row r="424" ht="15.75" customHeight="1">
      <c r="A424" s="221" t="s">
        <v>1922</v>
      </c>
      <c r="B424" s="222"/>
      <c r="C424" s="222"/>
      <c r="D424" s="222"/>
      <c r="E424" s="222"/>
      <c r="F424" s="222"/>
      <c r="G424" s="222"/>
      <c r="H424" s="222"/>
      <c r="I424" s="222"/>
    </row>
    <row r="425" ht="15.75" customHeight="1">
      <c r="A425" s="221" t="s">
        <v>1924</v>
      </c>
      <c r="B425" s="222"/>
      <c r="C425" s="222"/>
      <c r="D425" s="222"/>
      <c r="E425" s="222"/>
      <c r="F425" s="222">
        <v>47.0</v>
      </c>
      <c r="G425" s="222"/>
      <c r="H425" s="222"/>
      <c r="I425" s="222"/>
    </row>
    <row r="426" ht="15.75" customHeight="1">
      <c r="A426" s="221" t="s">
        <v>1925</v>
      </c>
      <c r="B426" s="222"/>
      <c r="C426" s="222"/>
      <c r="D426" s="222"/>
      <c r="E426" s="222"/>
      <c r="F426" s="222"/>
      <c r="G426" s="222"/>
      <c r="H426" s="222"/>
      <c r="I426" s="222"/>
    </row>
    <row r="427" ht="15.75" customHeight="1">
      <c r="A427" s="225" t="s">
        <v>1928</v>
      </c>
      <c r="B427" s="222"/>
      <c r="C427" s="222"/>
      <c r="D427" s="222"/>
      <c r="E427" s="222"/>
      <c r="F427" s="222"/>
      <c r="G427" s="222"/>
      <c r="H427" s="222"/>
      <c r="I427" s="222"/>
    </row>
    <row r="428" ht="15.75" customHeight="1">
      <c r="A428" s="221" t="s">
        <v>2002</v>
      </c>
      <c r="B428" s="222"/>
      <c r="C428" s="222"/>
      <c r="D428" s="222"/>
      <c r="E428" s="222"/>
      <c r="F428" s="222"/>
      <c r="G428" s="222"/>
      <c r="H428" s="222"/>
      <c r="I428" s="222"/>
    </row>
    <row r="429" ht="15.75" customHeight="1">
      <c r="A429" s="225" t="s">
        <v>1943</v>
      </c>
      <c r="B429" s="222"/>
      <c r="C429" s="222"/>
      <c r="D429" s="222"/>
      <c r="E429" s="222"/>
      <c r="F429" s="222"/>
      <c r="G429" s="222"/>
      <c r="H429" s="222"/>
      <c r="I429" s="222"/>
    </row>
    <row r="430" ht="15.75" customHeight="1">
      <c r="A430" s="221" t="s">
        <v>1947</v>
      </c>
      <c r="B430" s="222"/>
      <c r="C430" s="222"/>
      <c r="D430" s="222"/>
      <c r="E430" s="222"/>
      <c r="F430" s="222"/>
      <c r="G430" s="222"/>
      <c r="H430" s="222"/>
      <c r="I430" s="222"/>
    </row>
    <row r="431" ht="15.75" customHeight="1">
      <c r="A431" s="221" t="s">
        <v>1957</v>
      </c>
      <c r="B431" s="222"/>
      <c r="C431" s="222"/>
      <c r="D431" s="222"/>
      <c r="E431" s="222"/>
      <c r="F431" s="222"/>
      <c r="G431" s="222"/>
      <c r="H431" s="222"/>
      <c r="I431" s="222"/>
    </row>
    <row r="432" ht="15.75" customHeight="1">
      <c r="A432" s="221" t="s">
        <v>1959</v>
      </c>
      <c r="B432" s="222"/>
      <c r="C432" s="222"/>
      <c r="D432" s="222"/>
      <c r="E432" s="222"/>
      <c r="F432" s="222"/>
      <c r="G432" s="222"/>
      <c r="H432" s="222"/>
      <c r="I432" s="222"/>
    </row>
    <row r="433" ht="15.75" customHeight="1">
      <c r="A433" s="221" t="s">
        <v>1960</v>
      </c>
      <c r="B433" s="222"/>
      <c r="C433" s="222"/>
      <c r="D433" s="222"/>
      <c r="E433" s="222"/>
      <c r="F433" s="222"/>
      <c r="G433" s="222"/>
      <c r="H433" s="222"/>
      <c r="I433" s="222"/>
    </row>
    <row r="434" ht="15.75" customHeight="1">
      <c r="A434" s="222"/>
      <c r="B434" s="230">
        <v>220.0</v>
      </c>
      <c r="C434" s="230">
        <v>670.0</v>
      </c>
      <c r="D434" s="230">
        <v>1112.0</v>
      </c>
      <c r="E434" s="230">
        <v>407.0</v>
      </c>
      <c r="F434" s="230">
        <v>1879.0</v>
      </c>
      <c r="G434" s="230">
        <v>383.0</v>
      </c>
      <c r="H434" s="230">
        <v>70.0</v>
      </c>
      <c r="I434" s="230">
        <v>60.0</v>
      </c>
      <c r="J434" s="155">
        <f>SUM(B434:I434)</f>
        <v>4801</v>
      </c>
    </row>
    <row r="435" ht="15.75" customHeight="1">
      <c r="A435" s="231"/>
      <c r="B435" s="231"/>
      <c r="C435" s="231"/>
      <c r="D435" s="231"/>
      <c r="E435" s="231"/>
      <c r="F435" s="231"/>
      <c r="G435" s="231"/>
      <c r="H435" s="231"/>
      <c r="I435" s="231"/>
    </row>
    <row r="436" ht="15.75" customHeight="1">
      <c r="A436" s="231"/>
      <c r="B436" s="231"/>
      <c r="C436" s="231"/>
      <c r="D436" s="231"/>
      <c r="E436" s="231"/>
      <c r="F436" s="231"/>
      <c r="G436" s="231"/>
      <c r="H436" s="231"/>
      <c r="I436" s="231"/>
    </row>
    <row r="437" ht="15.75" customHeight="1">
      <c r="A437" s="231"/>
      <c r="B437" s="231"/>
      <c r="C437" s="231"/>
      <c r="D437" s="231"/>
      <c r="E437" s="231"/>
      <c r="F437" s="231"/>
      <c r="G437" s="231"/>
      <c r="H437" s="231"/>
      <c r="I437" s="231"/>
    </row>
    <row r="438" ht="15.75" customHeight="1">
      <c r="A438" s="231"/>
      <c r="B438" s="231"/>
      <c r="C438" s="231"/>
      <c r="D438" s="231"/>
      <c r="E438" s="231"/>
      <c r="F438" s="231"/>
      <c r="G438" s="231"/>
      <c r="H438" s="231"/>
      <c r="I438" s="231"/>
    </row>
    <row r="439" ht="15.75" customHeight="1">
      <c r="A439" s="231"/>
      <c r="B439" s="231"/>
      <c r="C439" s="231"/>
      <c r="D439" s="231"/>
      <c r="E439" s="231"/>
      <c r="F439" s="231"/>
      <c r="G439" s="231"/>
      <c r="H439" s="231"/>
      <c r="I439" s="231"/>
    </row>
    <row r="440" ht="15.75" customHeight="1">
      <c r="A440" s="231"/>
      <c r="B440" s="231"/>
      <c r="C440" s="231"/>
      <c r="D440" s="231"/>
      <c r="E440" s="231"/>
      <c r="F440" s="231"/>
      <c r="G440" s="231"/>
      <c r="H440" s="231"/>
      <c r="I440" s="231"/>
    </row>
    <row r="441" ht="15.75" customHeight="1">
      <c r="A441" s="231"/>
      <c r="B441" s="231"/>
      <c r="C441" s="231"/>
      <c r="D441" s="231"/>
      <c r="E441" s="231"/>
      <c r="F441" s="231"/>
      <c r="G441" s="231"/>
      <c r="H441" s="231"/>
      <c r="I441" s="231"/>
    </row>
    <row r="442" ht="15.75" customHeight="1">
      <c r="A442" s="231"/>
      <c r="B442" s="231"/>
      <c r="C442" s="231"/>
      <c r="D442" s="231"/>
      <c r="E442" s="231"/>
      <c r="F442" s="231"/>
      <c r="G442" s="231"/>
      <c r="H442" s="231"/>
      <c r="I442" s="231"/>
    </row>
    <row r="443" ht="15.75" customHeight="1">
      <c r="A443" s="231"/>
      <c r="B443" s="231"/>
      <c r="C443" s="231"/>
      <c r="D443" s="231"/>
      <c r="E443" s="231"/>
      <c r="F443" s="231"/>
      <c r="G443" s="231"/>
      <c r="H443" s="231"/>
      <c r="I443" s="231"/>
    </row>
    <row r="444" ht="15.75" customHeight="1">
      <c r="A444" s="231"/>
      <c r="B444" s="231"/>
      <c r="C444" s="231"/>
      <c r="D444" s="231"/>
      <c r="E444" s="231"/>
      <c r="F444" s="231"/>
      <c r="G444" s="231"/>
      <c r="H444" s="231"/>
      <c r="I444" s="231"/>
    </row>
    <row r="445" ht="15.75" customHeight="1">
      <c r="A445" s="231"/>
      <c r="B445" s="231"/>
      <c r="C445" s="231"/>
      <c r="D445" s="231"/>
      <c r="E445" s="231"/>
      <c r="F445" s="231"/>
      <c r="G445" s="231"/>
      <c r="H445" s="231"/>
      <c r="I445" s="231"/>
    </row>
    <row r="446" ht="15.75" customHeight="1">
      <c r="A446" s="231"/>
      <c r="B446" s="231"/>
      <c r="C446" s="231"/>
      <c r="D446" s="231"/>
      <c r="E446" s="231"/>
      <c r="F446" s="231"/>
      <c r="G446" s="231"/>
      <c r="H446" s="231"/>
      <c r="I446" s="231"/>
    </row>
    <row r="447" ht="15.75" customHeight="1">
      <c r="A447" s="231"/>
      <c r="B447" s="231"/>
      <c r="C447" s="231"/>
      <c r="D447" s="231"/>
      <c r="E447" s="231"/>
      <c r="F447" s="231"/>
      <c r="G447" s="231"/>
      <c r="H447" s="231"/>
      <c r="I447" s="231"/>
    </row>
    <row r="448" ht="15.75" customHeight="1">
      <c r="A448" s="231"/>
      <c r="B448" s="231"/>
      <c r="C448" s="231"/>
      <c r="D448" s="231"/>
      <c r="E448" s="231"/>
      <c r="F448" s="231"/>
      <c r="G448" s="231"/>
      <c r="H448" s="231"/>
      <c r="I448" s="231"/>
    </row>
    <row r="449" ht="15.75" customHeight="1">
      <c r="A449" s="231"/>
      <c r="B449" s="231"/>
      <c r="C449" s="231"/>
      <c r="D449" s="231"/>
      <c r="E449" s="231"/>
      <c r="F449" s="231"/>
      <c r="G449" s="231"/>
      <c r="H449" s="231"/>
      <c r="I449" s="231"/>
    </row>
    <row r="450" ht="15.75" customHeight="1">
      <c r="A450" s="231"/>
      <c r="B450" s="231"/>
      <c r="C450" s="231"/>
      <c r="D450" s="231"/>
      <c r="E450" s="231"/>
      <c r="F450" s="231"/>
      <c r="G450" s="231"/>
      <c r="H450" s="231"/>
      <c r="I450" s="231"/>
    </row>
    <row r="451" ht="15.75" customHeight="1">
      <c r="A451" s="231"/>
      <c r="B451" s="231"/>
      <c r="C451" s="231"/>
      <c r="D451" s="231"/>
      <c r="E451" s="231"/>
      <c r="F451" s="231"/>
      <c r="G451" s="231"/>
      <c r="H451" s="231"/>
      <c r="I451" s="231"/>
    </row>
    <row r="452" ht="15.75" customHeight="1">
      <c r="A452" s="231"/>
      <c r="B452" s="231"/>
      <c r="C452" s="231"/>
      <c r="D452" s="231"/>
      <c r="E452" s="231"/>
      <c r="F452" s="231"/>
      <c r="G452" s="231"/>
      <c r="H452" s="231"/>
      <c r="I452" s="231"/>
    </row>
    <row r="453" ht="15.75" customHeight="1">
      <c r="A453" s="231"/>
      <c r="B453" s="231"/>
      <c r="C453" s="231"/>
      <c r="D453" s="231"/>
      <c r="E453" s="231"/>
      <c r="F453" s="231"/>
      <c r="G453" s="231"/>
      <c r="H453" s="231"/>
      <c r="I453" s="231"/>
    </row>
    <row r="454" ht="15.75" customHeight="1">
      <c r="A454" s="231"/>
      <c r="B454" s="231"/>
      <c r="C454" s="231"/>
      <c r="D454" s="231"/>
      <c r="E454" s="231"/>
      <c r="F454" s="231"/>
      <c r="G454" s="231"/>
      <c r="H454" s="231"/>
      <c r="I454" s="231"/>
    </row>
    <row r="455" ht="15.75" customHeight="1">
      <c r="A455" s="231"/>
      <c r="B455" s="231"/>
      <c r="C455" s="231"/>
      <c r="D455" s="231"/>
      <c r="E455" s="231"/>
      <c r="F455" s="231"/>
      <c r="G455" s="231"/>
      <c r="H455" s="231"/>
      <c r="I455" s="231"/>
    </row>
    <row r="456" ht="15.75" customHeight="1">
      <c r="A456" s="231"/>
      <c r="B456" s="231"/>
      <c r="C456" s="231"/>
      <c r="D456" s="231"/>
      <c r="E456" s="231"/>
      <c r="F456" s="231"/>
      <c r="G456" s="231"/>
      <c r="H456" s="231"/>
      <c r="I456" s="231"/>
    </row>
    <row r="457" ht="15.75" customHeight="1">
      <c r="A457" s="231"/>
      <c r="B457" s="231"/>
      <c r="C457" s="231"/>
      <c r="D457" s="231"/>
      <c r="E457" s="231"/>
      <c r="F457" s="231"/>
      <c r="G457" s="231"/>
      <c r="H457" s="231"/>
      <c r="I457" s="231"/>
    </row>
    <row r="458" ht="15.75" customHeight="1">
      <c r="A458" s="231"/>
      <c r="B458" s="231"/>
      <c r="C458" s="231"/>
      <c r="D458" s="231"/>
      <c r="E458" s="231"/>
      <c r="F458" s="231"/>
      <c r="G458" s="231"/>
      <c r="H458" s="231"/>
      <c r="I458" s="231"/>
    </row>
    <row r="459" ht="15.75" customHeight="1">
      <c r="A459" s="231"/>
      <c r="B459" s="231"/>
      <c r="C459" s="231"/>
      <c r="D459" s="231"/>
      <c r="E459" s="231"/>
      <c r="F459" s="231"/>
      <c r="G459" s="231"/>
      <c r="H459" s="231"/>
      <c r="I459" s="231"/>
    </row>
    <row r="460" ht="15.75" customHeight="1">
      <c r="A460" s="231"/>
      <c r="B460" s="231"/>
      <c r="C460" s="231"/>
      <c r="D460" s="231"/>
      <c r="E460" s="231"/>
      <c r="F460" s="231"/>
      <c r="G460" s="231"/>
      <c r="H460" s="231"/>
      <c r="I460" s="231"/>
    </row>
    <row r="461" ht="15.75" customHeight="1">
      <c r="A461" s="231"/>
      <c r="B461" s="231"/>
      <c r="C461" s="231"/>
      <c r="D461" s="231"/>
      <c r="E461" s="231"/>
      <c r="F461" s="231"/>
      <c r="G461" s="231"/>
      <c r="H461" s="231"/>
      <c r="I461" s="231"/>
    </row>
    <row r="462" ht="15.75" customHeight="1">
      <c r="A462" s="231"/>
      <c r="B462" s="231"/>
      <c r="C462" s="231"/>
      <c r="D462" s="231"/>
      <c r="E462" s="231"/>
      <c r="F462" s="231"/>
      <c r="G462" s="231"/>
      <c r="H462" s="231"/>
      <c r="I462" s="231"/>
    </row>
    <row r="463" ht="15.75" customHeight="1">
      <c r="A463" s="231"/>
      <c r="B463" s="231"/>
      <c r="C463" s="231"/>
      <c r="D463" s="231"/>
      <c r="E463" s="231"/>
      <c r="F463" s="231"/>
      <c r="G463" s="231"/>
      <c r="H463" s="231"/>
      <c r="I463" s="231"/>
    </row>
    <row r="464" ht="15.75" customHeight="1">
      <c r="A464" s="231"/>
      <c r="B464" s="231"/>
      <c r="C464" s="231"/>
      <c r="D464" s="231"/>
      <c r="E464" s="231"/>
      <c r="F464" s="231"/>
      <c r="G464" s="231"/>
      <c r="H464" s="231"/>
      <c r="I464" s="231"/>
    </row>
    <row r="465" ht="15.75" customHeight="1">
      <c r="A465" s="231"/>
      <c r="B465" s="231"/>
      <c r="C465" s="231"/>
      <c r="D465" s="231"/>
      <c r="E465" s="231"/>
      <c r="F465" s="231"/>
      <c r="G465" s="231"/>
      <c r="H465" s="231"/>
      <c r="I465" s="231"/>
    </row>
    <row r="466" ht="15.75" customHeight="1">
      <c r="A466" s="231"/>
      <c r="B466" s="231"/>
      <c r="C466" s="231"/>
      <c r="D466" s="231"/>
      <c r="E466" s="231"/>
      <c r="F466" s="231"/>
      <c r="G466" s="231"/>
      <c r="H466" s="231"/>
      <c r="I466" s="231"/>
    </row>
    <row r="467" ht="15.75" customHeight="1">
      <c r="A467" s="231"/>
      <c r="B467" s="231"/>
      <c r="C467" s="231"/>
      <c r="D467" s="231"/>
      <c r="E467" s="231"/>
      <c r="F467" s="231"/>
      <c r="G467" s="231"/>
      <c r="H467" s="231"/>
      <c r="I467" s="231"/>
    </row>
    <row r="468" ht="15.75" customHeight="1">
      <c r="A468" s="231"/>
      <c r="B468" s="231"/>
      <c r="C468" s="231"/>
      <c r="D468" s="231"/>
      <c r="E468" s="231"/>
      <c r="F468" s="231"/>
      <c r="G468" s="231"/>
      <c r="H468" s="231"/>
      <c r="I468" s="231"/>
    </row>
    <row r="469" ht="15.75" customHeight="1">
      <c r="A469" s="231"/>
      <c r="B469" s="231"/>
      <c r="C469" s="231"/>
      <c r="D469" s="231"/>
      <c r="E469" s="231"/>
      <c r="F469" s="231"/>
      <c r="G469" s="231"/>
      <c r="H469" s="231"/>
      <c r="I469" s="231"/>
    </row>
    <row r="470" ht="15.75" customHeight="1">
      <c r="A470" s="231"/>
      <c r="B470" s="231"/>
      <c r="C470" s="231"/>
      <c r="D470" s="231"/>
      <c r="E470" s="231"/>
      <c r="F470" s="231"/>
      <c r="G470" s="231"/>
      <c r="H470" s="231"/>
      <c r="I470" s="231"/>
    </row>
    <row r="471" ht="15.75" customHeight="1">
      <c r="A471" s="231"/>
      <c r="B471" s="231"/>
      <c r="C471" s="231"/>
      <c r="D471" s="231"/>
      <c r="E471" s="231"/>
      <c r="F471" s="231"/>
      <c r="G471" s="231"/>
      <c r="H471" s="231"/>
      <c r="I471" s="231"/>
    </row>
    <row r="472" ht="15.75" customHeight="1">
      <c r="A472" s="231"/>
      <c r="B472" s="231"/>
      <c r="C472" s="231"/>
      <c r="D472" s="231"/>
      <c r="E472" s="231"/>
      <c r="F472" s="231"/>
      <c r="G472" s="231"/>
      <c r="H472" s="231"/>
      <c r="I472" s="231"/>
    </row>
    <row r="473" ht="15.75" customHeight="1">
      <c r="A473" s="231"/>
      <c r="B473" s="231"/>
      <c r="C473" s="231"/>
      <c r="D473" s="231"/>
      <c r="E473" s="231"/>
      <c r="F473" s="231"/>
      <c r="G473" s="231"/>
      <c r="H473" s="231"/>
      <c r="I473" s="231"/>
    </row>
    <row r="474" ht="15.75" customHeight="1">
      <c r="A474" s="231"/>
      <c r="B474" s="231"/>
      <c r="C474" s="231"/>
      <c r="D474" s="231"/>
      <c r="E474" s="231"/>
      <c r="F474" s="231"/>
      <c r="G474" s="231"/>
      <c r="H474" s="231"/>
      <c r="I474" s="231"/>
    </row>
    <row r="475" ht="15.75" customHeight="1">
      <c r="A475" s="231"/>
      <c r="B475" s="231"/>
      <c r="C475" s="231"/>
      <c r="D475" s="231"/>
      <c r="E475" s="231"/>
      <c r="F475" s="231"/>
      <c r="G475" s="231"/>
      <c r="H475" s="231"/>
      <c r="I475" s="231"/>
    </row>
    <row r="476" ht="15.75" customHeight="1">
      <c r="A476" s="231"/>
      <c r="B476" s="231"/>
      <c r="C476" s="231"/>
      <c r="D476" s="231"/>
      <c r="E476" s="231"/>
      <c r="F476" s="231"/>
      <c r="G476" s="231"/>
      <c r="H476" s="231"/>
      <c r="I476" s="231"/>
    </row>
    <row r="477" ht="15.75" customHeight="1">
      <c r="A477" s="231"/>
      <c r="B477" s="231"/>
      <c r="C477" s="231"/>
      <c r="D477" s="231"/>
      <c r="E477" s="231"/>
      <c r="F477" s="231"/>
      <c r="G477" s="231"/>
      <c r="H477" s="231"/>
      <c r="I477" s="231"/>
    </row>
    <row r="478" ht="15.75" customHeight="1">
      <c r="A478" s="231"/>
      <c r="B478" s="231"/>
      <c r="C478" s="231"/>
      <c r="D478" s="231"/>
      <c r="E478" s="231"/>
      <c r="F478" s="231"/>
      <c r="G478" s="231"/>
      <c r="H478" s="231"/>
      <c r="I478" s="231"/>
    </row>
    <row r="479" ht="15.75" customHeight="1">
      <c r="A479" s="231"/>
      <c r="B479" s="231"/>
      <c r="C479" s="231"/>
      <c r="D479" s="231"/>
      <c r="E479" s="231"/>
      <c r="F479" s="231"/>
      <c r="G479" s="231"/>
      <c r="H479" s="231"/>
      <c r="I479" s="231"/>
    </row>
    <row r="480" ht="15.75" customHeight="1">
      <c r="A480" s="231"/>
      <c r="B480" s="231"/>
      <c r="C480" s="231"/>
      <c r="D480" s="231"/>
      <c r="E480" s="231"/>
      <c r="F480" s="231"/>
      <c r="G480" s="231"/>
      <c r="H480" s="231"/>
      <c r="I480" s="231"/>
    </row>
    <row r="481" ht="15.75" customHeight="1">
      <c r="A481" s="231"/>
      <c r="B481" s="231"/>
      <c r="C481" s="231"/>
      <c r="D481" s="231"/>
      <c r="E481" s="231"/>
      <c r="F481" s="231"/>
      <c r="G481" s="231"/>
      <c r="H481" s="231"/>
      <c r="I481" s="231"/>
    </row>
    <row r="482" ht="15.75" customHeight="1">
      <c r="A482" s="231"/>
      <c r="B482" s="231"/>
      <c r="C482" s="231"/>
      <c r="D482" s="231"/>
      <c r="E482" s="231"/>
      <c r="F482" s="231"/>
      <c r="G482" s="231"/>
      <c r="H482" s="231"/>
      <c r="I482" s="231"/>
    </row>
    <row r="483" ht="15.75" customHeight="1">
      <c r="A483" s="231"/>
      <c r="B483" s="231"/>
      <c r="C483" s="231"/>
      <c r="D483" s="231"/>
      <c r="E483" s="231"/>
      <c r="F483" s="231"/>
      <c r="G483" s="231"/>
      <c r="H483" s="231"/>
      <c r="I483" s="231"/>
    </row>
    <row r="484" ht="15.75" customHeight="1">
      <c r="A484" s="231"/>
      <c r="B484" s="231"/>
      <c r="C484" s="231"/>
      <c r="D484" s="231"/>
      <c r="E484" s="231"/>
      <c r="F484" s="231"/>
      <c r="G484" s="231"/>
      <c r="H484" s="231"/>
      <c r="I484" s="231"/>
    </row>
    <row r="485" ht="15.75" customHeight="1">
      <c r="A485" s="231"/>
      <c r="B485" s="231"/>
      <c r="C485" s="231"/>
      <c r="D485" s="231"/>
      <c r="E485" s="231"/>
      <c r="F485" s="231"/>
      <c r="G485" s="231"/>
      <c r="H485" s="231"/>
      <c r="I485" s="231"/>
    </row>
    <row r="486" ht="15.75" customHeight="1">
      <c r="A486" s="231"/>
      <c r="B486" s="231"/>
      <c r="C486" s="231"/>
      <c r="D486" s="231"/>
      <c r="E486" s="231"/>
      <c r="F486" s="231"/>
      <c r="G486" s="231"/>
      <c r="H486" s="231"/>
      <c r="I486" s="231"/>
    </row>
    <row r="487" ht="15.75" customHeight="1">
      <c r="A487" s="231"/>
      <c r="B487" s="231"/>
      <c r="C487" s="231"/>
      <c r="D487" s="231"/>
      <c r="E487" s="231"/>
      <c r="F487" s="231"/>
      <c r="G487" s="231"/>
      <c r="H487" s="231"/>
      <c r="I487" s="231"/>
    </row>
    <row r="488" ht="15.75" customHeight="1">
      <c r="A488" s="231"/>
      <c r="B488" s="231"/>
      <c r="C488" s="231"/>
      <c r="D488" s="231"/>
      <c r="E488" s="231"/>
      <c r="F488" s="231"/>
      <c r="G488" s="231"/>
      <c r="H488" s="231"/>
      <c r="I488" s="231"/>
    </row>
    <row r="489" ht="15.75" customHeight="1">
      <c r="A489" s="231"/>
      <c r="B489" s="231"/>
      <c r="C489" s="231"/>
      <c r="D489" s="231"/>
      <c r="E489" s="231"/>
      <c r="F489" s="231"/>
      <c r="G489" s="231"/>
      <c r="H489" s="231"/>
      <c r="I489" s="231"/>
    </row>
    <row r="490" ht="15.75" customHeight="1">
      <c r="A490" s="231"/>
      <c r="B490" s="231"/>
      <c r="C490" s="231"/>
      <c r="D490" s="231"/>
      <c r="E490" s="231"/>
      <c r="F490" s="231"/>
      <c r="G490" s="231"/>
      <c r="H490" s="231"/>
      <c r="I490" s="231"/>
    </row>
    <row r="491" ht="15.75" customHeight="1">
      <c r="A491" s="231"/>
      <c r="B491" s="231"/>
      <c r="C491" s="231"/>
      <c r="D491" s="231"/>
      <c r="E491" s="231"/>
      <c r="F491" s="231"/>
      <c r="G491" s="231"/>
      <c r="H491" s="231"/>
      <c r="I491" s="231"/>
    </row>
    <row r="492" ht="15.75" customHeight="1">
      <c r="A492" s="231"/>
      <c r="B492" s="231"/>
      <c r="C492" s="231"/>
      <c r="D492" s="231"/>
      <c r="E492" s="231"/>
      <c r="F492" s="231"/>
      <c r="G492" s="231"/>
      <c r="H492" s="231"/>
      <c r="I492" s="231"/>
    </row>
    <row r="493" ht="15.75" customHeight="1">
      <c r="A493" s="231"/>
      <c r="B493" s="231"/>
      <c r="C493" s="231"/>
      <c r="D493" s="231"/>
      <c r="E493" s="231"/>
      <c r="F493" s="231"/>
      <c r="G493" s="231"/>
      <c r="H493" s="231"/>
      <c r="I493" s="231"/>
    </row>
    <row r="494" ht="15.75" customHeight="1">
      <c r="A494" s="231"/>
      <c r="B494" s="231"/>
      <c r="C494" s="231"/>
      <c r="D494" s="231"/>
      <c r="E494" s="231"/>
      <c r="F494" s="231"/>
      <c r="G494" s="231"/>
      <c r="H494" s="231"/>
      <c r="I494" s="231"/>
    </row>
    <row r="495" ht="15.75" customHeight="1">
      <c r="A495" s="231"/>
      <c r="B495" s="231"/>
      <c r="C495" s="231"/>
      <c r="D495" s="231"/>
      <c r="E495" s="231"/>
      <c r="F495" s="231"/>
      <c r="G495" s="231"/>
      <c r="H495" s="231"/>
      <c r="I495" s="231"/>
    </row>
    <row r="496" ht="15.75" customHeight="1">
      <c r="A496" s="231"/>
      <c r="B496" s="231"/>
      <c r="C496" s="231"/>
      <c r="D496" s="231"/>
      <c r="E496" s="231"/>
      <c r="F496" s="231"/>
      <c r="G496" s="231"/>
      <c r="H496" s="231"/>
      <c r="I496" s="231"/>
    </row>
    <row r="497" ht="15.75" customHeight="1">
      <c r="A497" s="231"/>
      <c r="B497" s="231"/>
      <c r="C497" s="231"/>
      <c r="D497" s="231"/>
      <c r="E497" s="231"/>
      <c r="F497" s="231"/>
      <c r="G497" s="231"/>
      <c r="H497" s="231"/>
      <c r="I497" s="231"/>
    </row>
    <row r="498" ht="15.75" customHeight="1">
      <c r="A498" s="231"/>
      <c r="B498" s="231"/>
      <c r="C498" s="231"/>
      <c r="D498" s="231"/>
      <c r="E498" s="231"/>
      <c r="F498" s="231"/>
      <c r="G498" s="231"/>
      <c r="H498" s="231"/>
      <c r="I498" s="231"/>
    </row>
    <row r="499" ht="15.75" customHeight="1">
      <c r="A499" s="231"/>
      <c r="B499" s="231"/>
      <c r="C499" s="231"/>
      <c r="D499" s="231"/>
      <c r="E499" s="231"/>
      <c r="F499" s="231"/>
      <c r="G499" s="231"/>
      <c r="H499" s="231"/>
      <c r="I499" s="231"/>
    </row>
    <row r="500" ht="15.75" customHeight="1">
      <c r="A500" s="231"/>
      <c r="B500" s="231"/>
      <c r="C500" s="231"/>
      <c r="D500" s="231"/>
      <c r="E500" s="231"/>
      <c r="F500" s="231"/>
      <c r="G500" s="231"/>
      <c r="H500" s="231"/>
      <c r="I500" s="231"/>
    </row>
    <row r="501" ht="15.75" customHeight="1">
      <c r="A501" s="231"/>
      <c r="B501" s="231"/>
      <c r="C501" s="231"/>
      <c r="D501" s="231"/>
      <c r="E501" s="231"/>
      <c r="F501" s="231"/>
      <c r="G501" s="231"/>
      <c r="H501" s="231"/>
      <c r="I501" s="231"/>
    </row>
    <row r="502" ht="15.75" customHeight="1">
      <c r="A502" s="231"/>
      <c r="B502" s="231"/>
      <c r="C502" s="231"/>
      <c r="D502" s="231"/>
      <c r="E502" s="231"/>
      <c r="F502" s="231"/>
      <c r="G502" s="231"/>
      <c r="H502" s="231"/>
      <c r="I502" s="231"/>
    </row>
    <row r="503" ht="15.75" customHeight="1">
      <c r="A503" s="231"/>
      <c r="B503" s="231"/>
      <c r="C503" s="231"/>
      <c r="D503" s="231"/>
      <c r="E503" s="231"/>
      <c r="F503" s="231"/>
      <c r="G503" s="231"/>
      <c r="H503" s="231"/>
      <c r="I503" s="231"/>
    </row>
    <row r="504" ht="15.75" customHeight="1">
      <c r="A504" s="231"/>
      <c r="B504" s="231"/>
      <c r="C504" s="231"/>
      <c r="D504" s="231"/>
      <c r="E504" s="231"/>
      <c r="F504" s="231"/>
      <c r="G504" s="231"/>
      <c r="H504" s="231"/>
      <c r="I504" s="231"/>
    </row>
    <row r="505" ht="15.75" customHeight="1">
      <c r="A505" s="231"/>
      <c r="B505" s="231"/>
      <c r="C505" s="231"/>
      <c r="D505" s="231"/>
      <c r="E505" s="231"/>
      <c r="F505" s="231"/>
      <c r="G505" s="231"/>
      <c r="H505" s="231"/>
      <c r="I505" s="231"/>
    </row>
    <row r="506" ht="15.75" customHeight="1">
      <c r="A506" s="231"/>
      <c r="B506" s="231"/>
      <c r="C506" s="231"/>
      <c r="D506" s="231"/>
      <c r="E506" s="231"/>
      <c r="F506" s="231"/>
      <c r="G506" s="231"/>
      <c r="H506" s="231"/>
      <c r="I506" s="231"/>
    </row>
    <row r="507" ht="15.75" customHeight="1">
      <c r="A507" s="231"/>
      <c r="B507" s="231"/>
      <c r="C507" s="231"/>
      <c r="D507" s="231"/>
      <c r="E507" s="231"/>
      <c r="F507" s="231"/>
      <c r="G507" s="231"/>
      <c r="H507" s="231"/>
      <c r="I507" s="231"/>
    </row>
    <row r="508" ht="15.75" customHeight="1">
      <c r="A508" s="231"/>
      <c r="B508" s="231"/>
      <c r="C508" s="231"/>
      <c r="D508" s="231"/>
      <c r="E508" s="231"/>
      <c r="F508" s="231"/>
      <c r="G508" s="231"/>
      <c r="H508" s="231"/>
      <c r="I508" s="231"/>
    </row>
    <row r="509" ht="15.75" customHeight="1">
      <c r="A509" s="231"/>
      <c r="B509" s="231"/>
      <c r="C509" s="231"/>
      <c r="D509" s="231"/>
      <c r="E509" s="231"/>
      <c r="F509" s="231"/>
      <c r="G509" s="231"/>
      <c r="H509" s="231"/>
      <c r="I509" s="231"/>
    </row>
    <row r="510" ht="15.75" customHeight="1">
      <c r="A510" s="231"/>
      <c r="B510" s="231"/>
      <c r="C510" s="231"/>
      <c r="D510" s="231"/>
      <c r="E510" s="231"/>
      <c r="F510" s="231"/>
      <c r="G510" s="231"/>
      <c r="H510" s="231"/>
      <c r="I510" s="231"/>
    </row>
    <row r="511" ht="15.75" customHeight="1">
      <c r="A511" s="231"/>
      <c r="B511" s="231"/>
      <c r="C511" s="231"/>
      <c r="D511" s="231"/>
      <c r="E511" s="231"/>
      <c r="F511" s="231"/>
      <c r="G511" s="231"/>
      <c r="H511" s="231"/>
      <c r="I511" s="231"/>
    </row>
    <row r="512" ht="15.75" customHeight="1">
      <c r="A512" s="231"/>
      <c r="B512" s="231"/>
      <c r="C512" s="231"/>
      <c r="D512" s="231"/>
      <c r="E512" s="231"/>
      <c r="F512" s="231"/>
      <c r="G512" s="231"/>
      <c r="H512" s="231"/>
      <c r="I512" s="231"/>
    </row>
    <row r="513" ht="15.75" customHeight="1">
      <c r="A513" s="231"/>
      <c r="B513" s="231"/>
      <c r="C513" s="231"/>
      <c r="D513" s="231"/>
      <c r="E513" s="231"/>
      <c r="F513" s="231"/>
      <c r="G513" s="231"/>
      <c r="H513" s="231"/>
      <c r="I513" s="231"/>
    </row>
    <row r="514" ht="15.75" customHeight="1">
      <c r="A514" s="231"/>
      <c r="B514" s="231"/>
      <c r="C514" s="231"/>
      <c r="D514" s="231"/>
      <c r="E514" s="231"/>
      <c r="F514" s="231"/>
      <c r="G514" s="231"/>
      <c r="H514" s="231"/>
      <c r="I514" s="231"/>
    </row>
    <row r="515" ht="15.75" customHeight="1">
      <c r="A515" s="231"/>
      <c r="B515" s="231"/>
      <c r="C515" s="231"/>
      <c r="D515" s="231"/>
      <c r="E515" s="231"/>
      <c r="F515" s="231"/>
      <c r="G515" s="231"/>
      <c r="H515" s="231"/>
      <c r="I515" s="231"/>
    </row>
    <row r="516" ht="15.75" customHeight="1">
      <c r="A516" s="231"/>
      <c r="B516" s="231"/>
      <c r="C516" s="231"/>
      <c r="D516" s="231"/>
      <c r="E516" s="231"/>
      <c r="F516" s="231"/>
      <c r="G516" s="231"/>
      <c r="H516" s="231"/>
      <c r="I516" s="231"/>
    </row>
    <row r="517" ht="15.75" customHeight="1">
      <c r="A517" s="231"/>
      <c r="B517" s="231"/>
      <c r="C517" s="231"/>
      <c r="D517" s="231"/>
      <c r="E517" s="231"/>
      <c r="F517" s="231"/>
      <c r="G517" s="231"/>
      <c r="H517" s="231"/>
      <c r="I517" s="231"/>
    </row>
    <row r="518" ht="15.75" customHeight="1">
      <c r="A518" s="231"/>
      <c r="B518" s="231"/>
      <c r="C518" s="231"/>
      <c r="D518" s="231"/>
      <c r="E518" s="231"/>
      <c r="F518" s="231"/>
      <c r="G518" s="231"/>
      <c r="H518" s="231"/>
      <c r="I518" s="231"/>
    </row>
    <row r="519" ht="15.75" customHeight="1">
      <c r="A519" s="231"/>
      <c r="B519" s="231"/>
      <c r="C519" s="231"/>
      <c r="D519" s="231"/>
      <c r="E519" s="231"/>
      <c r="F519" s="231"/>
      <c r="G519" s="231"/>
      <c r="H519" s="231"/>
      <c r="I519" s="231"/>
    </row>
    <row r="520" ht="15.75" customHeight="1">
      <c r="A520" s="231"/>
      <c r="B520" s="231"/>
      <c r="C520" s="231"/>
      <c r="D520" s="231"/>
      <c r="E520" s="231"/>
      <c r="F520" s="231"/>
      <c r="G520" s="231"/>
      <c r="H520" s="231"/>
      <c r="I520" s="231"/>
    </row>
    <row r="521" ht="15.75" customHeight="1">
      <c r="A521" s="231"/>
      <c r="B521" s="231"/>
      <c r="C521" s="231"/>
      <c r="D521" s="231"/>
      <c r="E521" s="231"/>
      <c r="F521" s="231"/>
      <c r="G521" s="231"/>
      <c r="H521" s="231"/>
      <c r="I521" s="231"/>
    </row>
    <row r="522" ht="15.75" customHeight="1">
      <c r="A522" s="231"/>
      <c r="B522" s="231"/>
      <c r="C522" s="231"/>
      <c r="D522" s="231"/>
      <c r="E522" s="231"/>
      <c r="F522" s="231"/>
      <c r="G522" s="231"/>
      <c r="H522" s="231"/>
      <c r="I522" s="231"/>
    </row>
    <row r="523" ht="15.75" customHeight="1">
      <c r="A523" s="231"/>
      <c r="B523" s="231"/>
      <c r="C523" s="231"/>
      <c r="D523" s="231"/>
      <c r="E523" s="231"/>
      <c r="F523" s="231"/>
      <c r="G523" s="231"/>
      <c r="H523" s="231"/>
      <c r="I523" s="231"/>
    </row>
    <row r="524" ht="15.75" customHeight="1">
      <c r="A524" s="231"/>
      <c r="B524" s="231"/>
      <c r="C524" s="231"/>
      <c r="D524" s="231"/>
      <c r="E524" s="231"/>
      <c r="F524" s="231"/>
      <c r="G524" s="231"/>
      <c r="H524" s="231"/>
      <c r="I524" s="231"/>
    </row>
    <row r="525" ht="15.75" customHeight="1">
      <c r="A525" s="231"/>
      <c r="B525" s="231"/>
      <c r="C525" s="231"/>
      <c r="D525" s="231"/>
      <c r="E525" s="231"/>
      <c r="F525" s="231"/>
      <c r="G525" s="231"/>
      <c r="H525" s="231"/>
      <c r="I525" s="231"/>
    </row>
    <row r="526" ht="15.75" customHeight="1">
      <c r="A526" s="231"/>
      <c r="B526" s="231"/>
      <c r="C526" s="231"/>
      <c r="D526" s="231"/>
      <c r="E526" s="231"/>
      <c r="F526" s="231"/>
      <c r="G526" s="231"/>
      <c r="H526" s="231"/>
      <c r="I526" s="231"/>
    </row>
    <row r="527" ht="15.75" customHeight="1">
      <c r="A527" s="231"/>
      <c r="B527" s="231"/>
      <c r="C527" s="231"/>
      <c r="D527" s="231"/>
      <c r="E527" s="231"/>
      <c r="F527" s="231"/>
      <c r="G527" s="231"/>
      <c r="H527" s="231"/>
      <c r="I527" s="231"/>
    </row>
    <row r="528" ht="15.75" customHeight="1">
      <c r="A528" s="231"/>
      <c r="B528" s="231"/>
      <c r="C528" s="231"/>
      <c r="D528" s="231"/>
      <c r="E528" s="231"/>
      <c r="F528" s="231"/>
      <c r="G528" s="231"/>
      <c r="H528" s="231"/>
      <c r="I528" s="231"/>
    </row>
    <row r="529" ht="15.75" customHeight="1">
      <c r="A529" s="231"/>
      <c r="B529" s="231"/>
      <c r="C529" s="231"/>
      <c r="D529" s="231"/>
      <c r="E529" s="231"/>
      <c r="F529" s="231"/>
      <c r="G529" s="231"/>
      <c r="H529" s="231"/>
      <c r="I529" s="231"/>
    </row>
    <row r="530" ht="15.75" customHeight="1">
      <c r="A530" s="231"/>
      <c r="B530" s="231"/>
      <c r="C530" s="231"/>
      <c r="D530" s="231"/>
      <c r="E530" s="231"/>
      <c r="F530" s="231"/>
      <c r="G530" s="231"/>
      <c r="H530" s="231"/>
      <c r="I530" s="231"/>
    </row>
    <row r="531" ht="15.75" customHeight="1">
      <c r="A531" s="231"/>
      <c r="B531" s="231"/>
      <c r="C531" s="231"/>
      <c r="D531" s="231"/>
      <c r="E531" s="231"/>
      <c r="F531" s="231"/>
      <c r="G531" s="231"/>
      <c r="H531" s="231"/>
      <c r="I531" s="231"/>
    </row>
    <row r="532" ht="15.75" customHeight="1">
      <c r="A532" s="231"/>
      <c r="B532" s="231"/>
      <c r="C532" s="231"/>
      <c r="D532" s="231"/>
      <c r="E532" s="231"/>
      <c r="F532" s="231"/>
      <c r="G532" s="231"/>
      <c r="H532" s="231"/>
      <c r="I532" s="231"/>
    </row>
    <row r="533" ht="15.75" customHeight="1">
      <c r="A533" s="231"/>
      <c r="B533" s="231"/>
      <c r="C533" s="231"/>
      <c r="D533" s="231"/>
      <c r="E533" s="231"/>
      <c r="F533" s="231"/>
      <c r="G533" s="231"/>
      <c r="H533" s="231"/>
      <c r="I533" s="231"/>
    </row>
    <row r="534" ht="15.75" customHeight="1">
      <c r="A534" s="231"/>
      <c r="B534" s="231"/>
      <c r="C534" s="231"/>
      <c r="D534" s="231"/>
      <c r="E534" s="231"/>
      <c r="F534" s="231"/>
      <c r="G534" s="231"/>
      <c r="H534" s="231"/>
      <c r="I534" s="231"/>
    </row>
    <row r="535" ht="15.75" customHeight="1">
      <c r="A535" s="231"/>
      <c r="B535" s="231"/>
      <c r="C535" s="231"/>
      <c r="D535" s="231"/>
      <c r="E535" s="231"/>
      <c r="F535" s="231"/>
      <c r="G535" s="231"/>
      <c r="H535" s="231"/>
      <c r="I535" s="231"/>
    </row>
    <row r="536" ht="15.75" customHeight="1">
      <c r="A536" s="231"/>
      <c r="B536" s="231"/>
      <c r="C536" s="231"/>
      <c r="D536" s="231"/>
      <c r="E536" s="231"/>
      <c r="F536" s="231"/>
      <c r="G536" s="231"/>
      <c r="H536" s="231"/>
      <c r="I536" s="231"/>
    </row>
    <row r="537" ht="15.75" customHeight="1">
      <c r="A537" s="231"/>
      <c r="B537" s="231"/>
      <c r="C537" s="231"/>
      <c r="D537" s="231"/>
      <c r="E537" s="231"/>
      <c r="F537" s="231"/>
      <c r="G537" s="231"/>
      <c r="H537" s="231"/>
      <c r="I537" s="231"/>
    </row>
    <row r="538" ht="15.75" customHeight="1">
      <c r="A538" s="231"/>
      <c r="B538" s="231"/>
      <c r="C538" s="231"/>
      <c r="D538" s="231"/>
      <c r="E538" s="231"/>
      <c r="F538" s="231"/>
      <c r="G538" s="231"/>
      <c r="H538" s="231"/>
      <c r="I538" s="231"/>
    </row>
    <row r="539" ht="15.75" customHeight="1">
      <c r="A539" s="231"/>
      <c r="B539" s="231"/>
      <c r="C539" s="231"/>
      <c r="D539" s="231"/>
      <c r="E539" s="231"/>
      <c r="F539" s="231"/>
      <c r="G539" s="231"/>
      <c r="H539" s="231"/>
      <c r="I539" s="231"/>
    </row>
    <row r="540" ht="15.75" customHeight="1">
      <c r="A540" s="231"/>
      <c r="B540" s="231"/>
      <c r="C540" s="231"/>
      <c r="D540" s="231"/>
      <c r="E540" s="231"/>
      <c r="F540" s="231"/>
      <c r="G540" s="231"/>
      <c r="H540" s="231"/>
      <c r="I540" s="231"/>
    </row>
    <row r="541" ht="15.75" customHeight="1">
      <c r="A541" s="231"/>
      <c r="B541" s="231"/>
      <c r="C541" s="231"/>
      <c r="D541" s="231"/>
      <c r="E541" s="231"/>
      <c r="F541" s="231"/>
      <c r="G541" s="231"/>
      <c r="H541" s="231"/>
      <c r="I541" s="231"/>
    </row>
    <row r="542" ht="15.75" customHeight="1">
      <c r="A542" s="231"/>
      <c r="B542" s="231"/>
      <c r="C542" s="231"/>
      <c r="D542" s="231"/>
      <c r="E542" s="231"/>
      <c r="F542" s="231"/>
      <c r="G542" s="231"/>
      <c r="H542" s="231"/>
      <c r="I542" s="231"/>
    </row>
    <row r="543" ht="15.75" customHeight="1">
      <c r="A543" s="231"/>
      <c r="B543" s="231"/>
      <c r="C543" s="231"/>
      <c r="D543" s="231"/>
      <c r="E543" s="231"/>
      <c r="F543" s="231"/>
      <c r="G543" s="231"/>
      <c r="H543" s="231"/>
      <c r="I543" s="231"/>
    </row>
    <row r="544" ht="15.75" customHeight="1">
      <c r="A544" s="231"/>
      <c r="B544" s="231"/>
      <c r="C544" s="231"/>
      <c r="D544" s="231"/>
      <c r="E544" s="231"/>
      <c r="F544" s="231"/>
      <c r="G544" s="231"/>
      <c r="H544" s="231"/>
      <c r="I544" s="231"/>
    </row>
    <row r="545" ht="15.75" customHeight="1">
      <c r="A545" s="231"/>
      <c r="B545" s="231"/>
      <c r="C545" s="231"/>
      <c r="D545" s="231"/>
      <c r="E545" s="231"/>
      <c r="F545" s="231"/>
      <c r="G545" s="231"/>
      <c r="H545" s="231"/>
      <c r="I545" s="231"/>
    </row>
    <row r="546" ht="15.75" customHeight="1">
      <c r="A546" s="231"/>
      <c r="B546" s="231"/>
      <c r="C546" s="231"/>
      <c r="D546" s="231"/>
      <c r="E546" s="231"/>
      <c r="F546" s="231"/>
      <c r="G546" s="231"/>
      <c r="H546" s="231"/>
      <c r="I546" s="231"/>
    </row>
    <row r="547" ht="15.75" customHeight="1">
      <c r="A547" s="231"/>
      <c r="B547" s="231"/>
      <c r="C547" s="231"/>
      <c r="D547" s="231"/>
      <c r="E547" s="231"/>
      <c r="F547" s="231"/>
      <c r="G547" s="231"/>
      <c r="H547" s="231"/>
      <c r="I547" s="231"/>
    </row>
    <row r="548" ht="15.75" customHeight="1">
      <c r="A548" s="231"/>
      <c r="B548" s="231"/>
      <c r="C548" s="231"/>
      <c r="D548" s="231"/>
      <c r="E548" s="231"/>
      <c r="F548" s="231"/>
      <c r="G548" s="231"/>
      <c r="H548" s="231"/>
      <c r="I548" s="231"/>
    </row>
    <row r="549" ht="15.75" customHeight="1">
      <c r="A549" s="231"/>
      <c r="B549" s="231"/>
      <c r="C549" s="231"/>
      <c r="D549" s="231"/>
      <c r="E549" s="231"/>
      <c r="F549" s="231"/>
      <c r="G549" s="231"/>
      <c r="H549" s="231"/>
      <c r="I549" s="231"/>
    </row>
    <row r="550" ht="15.75" customHeight="1">
      <c r="A550" s="231"/>
      <c r="B550" s="231"/>
      <c r="C550" s="231"/>
      <c r="D550" s="231"/>
      <c r="E550" s="231"/>
      <c r="F550" s="231"/>
      <c r="G550" s="231"/>
      <c r="H550" s="231"/>
      <c r="I550" s="231"/>
    </row>
    <row r="551" ht="15.75" customHeight="1">
      <c r="A551" s="231"/>
      <c r="B551" s="231"/>
      <c r="C551" s="231"/>
      <c r="D551" s="231"/>
      <c r="E551" s="231"/>
      <c r="F551" s="231"/>
      <c r="G551" s="231"/>
      <c r="H551" s="231"/>
      <c r="I551" s="231"/>
    </row>
    <row r="552" ht="15.75" customHeight="1">
      <c r="A552" s="231"/>
      <c r="B552" s="231"/>
      <c r="C552" s="231"/>
      <c r="D552" s="231"/>
      <c r="E552" s="231"/>
      <c r="F552" s="231"/>
      <c r="G552" s="231"/>
      <c r="H552" s="231"/>
      <c r="I552" s="231"/>
    </row>
    <row r="553" ht="15.75" customHeight="1">
      <c r="A553" s="231"/>
      <c r="B553" s="231"/>
      <c r="C553" s="231"/>
      <c r="D553" s="231"/>
      <c r="E553" s="231"/>
      <c r="F553" s="231"/>
      <c r="G553" s="231"/>
      <c r="H553" s="231"/>
      <c r="I553" s="231"/>
    </row>
    <row r="554" ht="15.75" customHeight="1">
      <c r="A554" s="231"/>
      <c r="B554" s="231"/>
      <c r="C554" s="231"/>
      <c r="D554" s="231"/>
      <c r="E554" s="231"/>
      <c r="F554" s="231"/>
      <c r="G554" s="231"/>
      <c r="H554" s="231"/>
      <c r="I554" s="231"/>
    </row>
    <row r="555" ht="15.75" customHeight="1">
      <c r="A555" s="231"/>
      <c r="B555" s="231"/>
      <c r="C555" s="231"/>
      <c r="D555" s="231"/>
      <c r="E555" s="231"/>
      <c r="F555" s="231"/>
      <c r="G555" s="231"/>
      <c r="H555" s="231"/>
      <c r="I555" s="231"/>
    </row>
    <row r="556" ht="15.75" customHeight="1">
      <c r="A556" s="231"/>
      <c r="B556" s="231"/>
      <c r="C556" s="231"/>
      <c r="D556" s="231"/>
      <c r="E556" s="231"/>
      <c r="F556" s="231"/>
      <c r="G556" s="231"/>
      <c r="H556" s="231"/>
      <c r="I556" s="231"/>
    </row>
    <row r="557" ht="15.75" customHeight="1">
      <c r="A557" s="231"/>
      <c r="B557" s="231"/>
      <c r="C557" s="231"/>
      <c r="D557" s="231"/>
      <c r="E557" s="231"/>
      <c r="F557" s="231"/>
      <c r="G557" s="231"/>
      <c r="H557" s="231"/>
      <c r="I557" s="231"/>
    </row>
    <row r="558" ht="15.75" customHeight="1">
      <c r="A558" s="231"/>
      <c r="B558" s="231"/>
      <c r="C558" s="231"/>
      <c r="D558" s="231"/>
      <c r="E558" s="231"/>
      <c r="F558" s="231"/>
      <c r="G558" s="231"/>
      <c r="H558" s="231"/>
      <c r="I558" s="231"/>
    </row>
    <row r="559" ht="15.75" customHeight="1">
      <c r="A559" s="231"/>
      <c r="B559" s="231"/>
      <c r="C559" s="231"/>
      <c r="D559" s="231"/>
      <c r="E559" s="231"/>
      <c r="F559" s="231"/>
      <c r="G559" s="231"/>
      <c r="H559" s="231"/>
      <c r="I559" s="231"/>
    </row>
    <row r="560" ht="15.75" customHeight="1">
      <c r="A560" s="231"/>
      <c r="B560" s="231"/>
      <c r="C560" s="231"/>
      <c r="D560" s="231"/>
      <c r="E560" s="231"/>
      <c r="F560" s="231"/>
      <c r="G560" s="231"/>
      <c r="H560" s="231"/>
      <c r="I560" s="231"/>
    </row>
    <row r="561" ht="15.75" customHeight="1">
      <c r="A561" s="231"/>
      <c r="B561" s="231"/>
      <c r="C561" s="231"/>
      <c r="D561" s="231"/>
      <c r="E561" s="231"/>
      <c r="F561" s="231"/>
      <c r="G561" s="231"/>
      <c r="H561" s="231"/>
      <c r="I561" s="231"/>
    </row>
    <row r="562" ht="15.75" customHeight="1">
      <c r="A562" s="231"/>
      <c r="B562" s="231"/>
      <c r="C562" s="231"/>
      <c r="D562" s="231"/>
      <c r="E562" s="231"/>
      <c r="F562" s="231"/>
      <c r="G562" s="231"/>
      <c r="H562" s="231"/>
      <c r="I562" s="231"/>
    </row>
    <row r="563" ht="15.75" customHeight="1">
      <c r="A563" s="231"/>
      <c r="B563" s="231"/>
      <c r="C563" s="231"/>
      <c r="D563" s="231"/>
      <c r="E563" s="231"/>
      <c r="F563" s="231"/>
      <c r="G563" s="231"/>
      <c r="H563" s="231"/>
      <c r="I563" s="231"/>
    </row>
    <row r="564" ht="15.75" customHeight="1">
      <c r="A564" s="231"/>
      <c r="B564" s="231"/>
      <c r="C564" s="231"/>
      <c r="D564" s="231"/>
      <c r="E564" s="231"/>
      <c r="F564" s="231"/>
      <c r="G564" s="231"/>
      <c r="H564" s="231"/>
      <c r="I564" s="231"/>
    </row>
    <row r="565" ht="15.75" customHeight="1">
      <c r="A565" s="231"/>
      <c r="B565" s="231"/>
      <c r="C565" s="231"/>
      <c r="D565" s="231"/>
      <c r="E565" s="231"/>
      <c r="F565" s="231"/>
      <c r="G565" s="231"/>
      <c r="H565" s="231"/>
      <c r="I565" s="231"/>
    </row>
    <row r="566" ht="15.75" customHeight="1">
      <c r="A566" s="231"/>
      <c r="B566" s="231"/>
      <c r="C566" s="231"/>
      <c r="D566" s="231"/>
      <c r="E566" s="231"/>
      <c r="F566" s="231"/>
      <c r="G566" s="231"/>
      <c r="H566" s="231"/>
      <c r="I566" s="231"/>
    </row>
    <row r="567" ht="15.75" customHeight="1">
      <c r="A567" s="231"/>
      <c r="B567" s="231"/>
      <c r="C567" s="231"/>
      <c r="D567" s="231"/>
      <c r="E567" s="231"/>
      <c r="F567" s="231"/>
      <c r="G567" s="231"/>
      <c r="H567" s="231"/>
      <c r="I567" s="231"/>
    </row>
    <row r="568" ht="15.75" customHeight="1">
      <c r="A568" s="231"/>
      <c r="B568" s="231"/>
      <c r="C568" s="231"/>
      <c r="D568" s="231"/>
      <c r="E568" s="231"/>
      <c r="F568" s="231"/>
      <c r="G568" s="231"/>
      <c r="H568" s="231"/>
      <c r="I568" s="231"/>
    </row>
    <row r="569" ht="15.75" customHeight="1">
      <c r="A569" s="231"/>
      <c r="B569" s="231"/>
      <c r="C569" s="231"/>
      <c r="D569" s="231"/>
      <c r="E569" s="231"/>
      <c r="F569" s="231"/>
      <c r="G569" s="231"/>
      <c r="H569" s="231"/>
      <c r="I569" s="231"/>
    </row>
    <row r="570" ht="15.75" customHeight="1">
      <c r="A570" s="231"/>
      <c r="B570" s="231"/>
      <c r="C570" s="231"/>
      <c r="D570" s="231"/>
      <c r="E570" s="231"/>
      <c r="F570" s="231"/>
      <c r="G570" s="231"/>
      <c r="H570" s="231"/>
      <c r="I570" s="231"/>
    </row>
    <row r="571" ht="15.75" customHeight="1">
      <c r="A571" s="231"/>
      <c r="B571" s="231"/>
      <c r="C571" s="231"/>
      <c r="D571" s="231"/>
      <c r="E571" s="231"/>
      <c r="F571" s="231"/>
      <c r="G571" s="231"/>
      <c r="H571" s="231"/>
      <c r="I571" s="231"/>
    </row>
    <row r="572" ht="15.75" customHeight="1">
      <c r="A572" s="231"/>
      <c r="B572" s="231"/>
      <c r="C572" s="231"/>
      <c r="D572" s="231"/>
      <c r="E572" s="231"/>
      <c r="F572" s="231"/>
      <c r="G572" s="231"/>
      <c r="H572" s="231"/>
      <c r="I572" s="231"/>
    </row>
    <row r="573" ht="15.75" customHeight="1">
      <c r="A573" s="231"/>
      <c r="B573" s="231"/>
      <c r="C573" s="231"/>
      <c r="D573" s="231"/>
      <c r="E573" s="231"/>
      <c r="F573" s="231"/>
      <c r="G573" s="231"/>
      <c r="H573" s="231"/>
      <c r="I573" s="231"/>
    </row>
    <row r="574" ht="15.75" customHeight="1">
      <c r="A574" s="231"/>
      <c r="B574" s="231"/>
      <c r="C574" s="231"/>
      <c r="D574" s="231"/>
      <c r="E574" s="231"/>
      <c r="F574" s="231"/>
      <c r="G574" s="231"/>
      <c r="H574" s="231"/>
      <c r="I574" s="231"/>
    </row>
    <row r="575" ht="15.75" customHeight="1">
      <c r="A575" s="231"/>
      <c r="B575" s="231"/>
      <c r="C575" s="231"/>
      <c r="D575" s="231"/>
      <c r="E575" s="231"/>
      <c r="F575" s="231"/>
      <c r="G575" s="231"/>
      <c r="H575" s="231"/>
      <c r="I575" s="231"/>
    </row>
    <row r="576" ht="15.75" customHeight="1">
      <c r="A576" s="231"/>
      <c r="B576" s="231"/>
      <c r="C576" s="231"/>
      <c r="D576" s="231"/>
      <c r="E576" s="231"/>
      <c r="F576" s="231"/>
      <c r="G576" s="231"/>
      <c r="H576" s="231"/>
      <c r="I576" s="231"/>
    </row>
    <row r="577" ht="15.75" customHeight="1">
      <c r="A577" s="231"/>
      <c r="B577" s="231"/>
      <c r="C577" s="231"/>
      <c r="D577" s="231"/>
      <c r="E577" s="231"/>
      <c r="F577" s="231"/>
      <c r="G577" s="231"/>
      <c r="H577" s="231"/>
      <c r="I577" s="231"/>
    </row>
    <row r="578" ht="15.75" customHeight="1">
      <c r="A578" s="231"/>
      <c r="B578" s="231"/>
      <c r="C578" s="231"/>
      <c r="D578" s="231"/>
      <c r="E578" s="231"/>
      <c r="F578" s="231"/>
      <c r="G578" s="231"/>
      <c r="H578" s="231"/>
      <c r="I578" s="231"/>
    </row>
    <row r="579" ht="15.75" customHeight="1">
      <c r="A579" s="231"/>
      <c r="B579" s="231"/>
      <c r="C579" s="231"/>
      <c r="D579" s="231"/>
      <c r="E579" s="231"/>
      <c r="F579" s="231"/>
      <c r="G579" s="231"/>
      <c r="H579" s="231"/>
      <c r="I579" s="231"/>
    </row>
    <row r="580" ht="15.75" customHeight="1">
      <c r="A580" s="231"/>
      <c r="B580" s="231"/>
      <c r="C580" s="231"/>
      <c r="D580" s="231"/>
      <c r="E580" s="231"/>
      <c r="F580" s="231"/>
      <c r="G580" s="231"/>
      <c r="H580" s="231"/>
      <c r="I580" s="231"/>
    </row>
    <row r="581" ht="15.75" customHeight="1">
      <c r="A581" s="231"/>
      <c r="B581" s="231"/>
      <c r="C581" s="231"/>
      <c r="D581" s="231"/>
      <c r="E581" s="231"/>
      <c r="F581" s="231"/>
      <c r="G581" s="231"/>
      <c r="H581" s="231"/>
      <c r="I581" s="231"/>
    </row>
    <row r="582" ht="15.75" customHeight="1">
      <c r="A582" s="231"/>
      <c r="B582" s="231"/>
      <c r="C582" s="231"/>
      <c r="D582" s="231"/>
      <c r="E582" s="231"/>
      <c r="F582" s="231"/>
      <c r="G582" s="231"/>
      <c r="H582" s="231"/>
      <c r="I582" s="231"/>
    </row>
    <row r="583" ht="15.75" customHeight="1">
      <c r="A583" s="231"/>
      <c r="B583" s="231"/>
      <c r="C583" s="231"/>
      <c r="D583" s="231"/>
      <c r="E583" s="231"/>
      <c r="F583" s="231"/>
      <c r="G583" s="231"/>
      <c r="H583" s="231"/>
      <c r="I583" s="231"/>
    </row>
    <row r="584" ht="15.75" customHeight="1">
      <c r="A584" s="231"/>
      <c r="B584" s="231"/>
      <c r="C584" s="231"/>
      <c r="D584" s="231"/>
      <c r="E584" s="231"/>
      <c r="F584" s="231"/>
      <c r="G584" s="231"/>
      <c r="H584" s="231"/>
      <c r="I584" s="231"/>
    </row>
    <row r="585" ht="15.75" customHeight="1">
      <c r="A585" s="231"/>
      <c r="B585" s="231"/>
      <c r="C585" s="231"/>
      <c r="D585" s="231"/>
      <c r="E585" s="231"/>
      <c r="F585" s="231"/>
      <c r="G585" s="231"/>
      <c r="H585" s="231"/>
      <c r="I585" s="231"/>
    </row>
    <row r="586" ht="15.75" customHeight="1">
      <c r="A586" s="231"/>
      <c r="B586" s="231"/>
      <c r="C586" s="231"/>
      <c r="D586" s="231"/>
      <c r="E586" s="231"/>
      <c r="F586" s="231"/>
      <c r="G586" s="231"/>
      <c r="H586" s="231"/>
      <c r="I586" s="231"/>
    </row>
    <row r="587" ht="15.75" customHeight="1">
      <c r="A587" s="231"/>
      <c r="B587" s="231"/>
      <c r="C587" s="231"/>
      <c r="D587" s="231"/>
      <c r="E587" s="231"/>
      <c r="F587" s="231"/>
      <c r="G587" s="231"/>
      <c r="H587" s="231"/>
      <c r="I587" s="231"/>
    </row>
    <row r="588" ht="15.75" customHeight="1">
      <c r="A588" s="231"/>
      <c r="B588" s="231"/>
      <c r="C588" s="231"/>
      <c r="D588" s="231"/>
      <c r="E588" s="231"/>
      <c r="F588" s="231"/>
      <c r="G588" s="231"/>
      <c r="H588" s="231"/>
      <c r="I588" s="231"/>
    </row>
    <row r="589" ht="15.75" customHeight="1">
      <c r="A589" s="231"/>
      <c r="B589" s="231"/>
      <c r="C589" s="231"/>
      <c r="D589" s="231"/>
      <c r="E589" s="231"/>
      <c r="F589" s="231"/>
      <c r="G589" s="231"/>
      <c r="H589" s="231"/>
      <c r="I589" s="231"/>
    </row>
    <row r="590" ht="15.75" customHeight="1">
      <c r="A590" s="231"/>
      <c r="B590" s="231"/>
      <c r="C590" s="231"/>
      <c r="D590" s="231"/>
      <c r="E590" s="231"/>
      <c r="F590" s="231"/>
      <c r="G590" s="231"/>
      <c r="H590" s="231"/>
      <c r="I590" s="231"/>
    </row>
    <row r="591" ht="15.75" customHeight="1">
      <c r="A591" s="231"/>
      <c r="B591" s="231"/>
      <c r="C591" s="231"/>
      <c r="D591" s="231"/>
      <c r="E591" s="231"/>
      <c r="F591" s="231"/>
      <c r="G591" s="231"/>
      <c r="H591" s="231"/>
      <c r="I591" s="231"/>
    </row>
    <row r="592" ht="15.75" customHeight="1">
      <c r="A592" s="231"/>
      <c r="B592" s="231"/>
      <c r="C592" s="231"/>
      <c r="D592" s="231"/>
      <c r="E592" s="231"/>
      <c r="F592" s="231"/>
      <c r="G592" s="231"/>
      <c r="H592" s="231"/>
      <c r="I592" s="231"/>
    </row>
    <row r="593" ht="15.75" customHeight="1">
      <c r="A593" s="231"/>
      <c r="B593" s="231"/>
      <c r="C593" s="231"/>
      <c r="D593" s="231"/>
      <c r="E593" s="231"/>
      <c r="F593" s="231"/>
      <c r="G593" s="231"/>
      <c r="H593" s="231"/>
      <c r="I593" s="231"/>
    </row>
    <row r="594" ht="15.75" customHeight="1">
      <c r="A594" s="231"/>
      <c r="B594" s="231"/>
      <c r="C594" s="231"/>
      <c r="D594" s="231"/>
      <c r="E594" s="231"/>
      <c r="F594" s="231"/>
      <c r="G594" s="231"/>
      <c r="H594" s="231"/>
      <c r="I594" s="231"/>
    </row>
    <row r="595" ht="15.75" customHeight="1">
      <c r="A595" s="231"/>
      <c r="B595" s="231"/>
      <c r="C595" s="231"/>
      <c r="D595" s="231"/>
      <c r="E595" s="231"/>
      <c r="F595" s="231"/>
      <c r="G595" s="231"/>
      <c r="H595" s="231"/>
      <c r="I595" s="231"/>
    </row>
    <row r="596" ht="15.75" customHeight="1">
      <c r="A596" s="231"/>
      <c r="B596" s="231"/>
      <c r="C596" s="231"/>
      <c r="D596" s="231"/>
      <c r="E596" s="231"/>
      <c r="F596" s="231"/>
      <c r="G596" s="231"/>
      <c r="H596" s="231"/>
      <c r="I596" s="231"/>
    </row>
    <row r="597" ht="15.75" customHeight="1">
      <c r="A597" s="231"/>
      <c r="B597" s="231"/>
      <c r="C597" s="231"/>
      <c r="D597" s="231"/>
      <c r="E597" s="231"/>
      <c r="F597" s="231"/>
      <c r="G597" s="231"/>
      <c r="H597" s="231"/>
      <c r="I597" s="231"/>
    </row>
    <row r="598" ht="15.75" customHeight="1">
      <c r="A598" s="231"/>
      <c r="B598" s="231"/>
      <c r="C598" s="231"/>
      <c r="D598" s="231"/>
      <c r="E598" s="231"/>
      <c r="F598" s="231"/>
      <c r="G598" s="231"/>
      <c r="H598" s="231"/>
      <c r="I598" s="231"/>
    </row>
    <row r="599" ht="15.75" customHeight="1">
      <c r="A599" s="231"/>
      <c r="B599" s="231"/>
      <c r="C599" s="231"/>
      <c r="D599" s="231"/>
      <c r="E599" s="231"/>
      <c r="F599" s="231"/>
      <c r="G599" s="231"/>
      <c r="H599" s="231"/>
      <c r="I599" s="231"/>
    </row>
    <row r="600" ht="15.75" customHeight="1">
      <c r="A600" s="231"/>
      <c r="B600" s="231"/>
      <c r="C600" s="231"/>
      <c r="D600" s="231"/>
      <c r="E600" s="231"/>
      <c r="F600" s="231"/>
      <c r="G600" s="231"/>
      <c r="H600" s="231"/>
      <c r="I600" s="231"/>
    </row>
    <row r="601" ht="15.75" customHeight="1">
      <c r="A601" s="231"/>
      <c r="B601" s="231"/>
      <c r="C601" s="231"/>
      <c r="D601" s="231"/>
      <c r="E601" s="231"/>
      <c r="F601" s="231"/>
      <c r="G601" s="231"/>
      <c r="H601" s="231"/>
      <c r="I601" s="231"/>
    </row>
    <row r="602" ht="15.75" customHeight="1">
      <c r="A602" s="231"/>
      <c r="B602" s="231"/>
      <c r="C602" s="231"/>
      <c r="D602" s="231"/>
      <c r="E602" s="231"/>
      <c r="F602" s="231"/>
      <c r="G602" s="231"/>
      <c r="H602" s="231"/>
      <c r="I602" s="231"/>
    </row>
    <row r="603" ht="15.75" customHeight="1">
      <c r="A603" s="231"/>
      <c r="B603" s="231"/>
      <c r="C603" s="231"/>
      <c r="D603" s="231"/>
      <c r="E603" s="231"/>
      <c r="F603" s="231"/>
      <c r="G603" s="231"/>
      <c r="H603" s="231"/>
      <c r="I603" s="231"/>
    </row>
    <row r="604" ht="15.75" customHeight="1">
      <c r="A604" s="231"/>
      <c r="B604" s="231"/>
      <c r="C604" s="231"/>
      <c r="D604" s="231"/>
      <c r="E604" s="231"/>
      <c r="F604" s="231"/>
      <c r="G604" s="231"/>
      <c r="H604" s="231"/>
      <c r="I604" s="231"/>
    </row>
    <row r="605" ht="15.75" customHeight="1">
      <c r="A605" s="231"/>
      <c r="B605" s="231"/>
      <c r="C605" s="231"/>
      <c r="D605" s="231"/>
      <c r="E605" s="231"/>
      <c r="F605" s="231"/>
      <c r="G605" s="231"/>
      <c r="H605" s="231"/>
      <c r="I605" s="231"/>
    </row>
    <row r="606" ht="15.75" customHeight="1">
      <c r="A606" s="231"/>
      <c r="B606" s="231"/>
      <c r="C606" s="231"/>
      <c r="D606" s="231"/>
      <c r="E606" s="231"/>
      <c r="F606" s="231"/>
      <c r="G606" s="231"/>
      <c r="H606" s="231"/>
      <c r="I606" s="231"/>
    </row>
    <row r="607" ht="15.75" customHeight="1">
      <c r="A607" s="231"/>
      <c r="B607" s="231"/>
      <c r="C607" s="231"/>
      <c r="D607" s="231"/>
      <c r="E607" s="231"/>
      <c r="F607" s="231"/>
      <c r="G607" s="231"/>
      <c r="H607" s="231"/>
      <c r="I607" s="231"/>
    </row>
    <row r="608" ht="15.75" customHeight="1">
      <c r="A608" s="231"/>
      <c r="B608" s="231"/>
      <c r="C608" s="231"/>
      <c r="D608" s="231"/>
      <c r="E608" s="231"/>
      <c r="F608" s="231"/>
      <c r="G608" s="231"/>
      <c r="H608" s="231"/>
      <c r="I608" s="231"/>
    </row>
    <row r="609" ht="15.75" customHeight="1">
      <c r="A609" s="231"/>
      <c r="B609" s="231"/>
      <c r="C609" s="231"/>
      <c r="D609" s="231"/>
      <c r="E609" s="231"/>
      <c r="F609" s="231"/>
      <c r="G609" s="231"/>
      <c r="H609" s="231"/>
      <c r="I609" s="231"/>
    </row>
    <row r="610" ht="15.75" customHeight="1">
      <c r="A610" s="231"/>
      <c r="B610" s="231"/>
      <c r="C610" s="231"/>
      <c r="D610" s="231"/>
      <c r="E610" s="231"/>
      <c r="F610" s="231"/>
      <c r="G610" s="231"/>
      <c r="H610" s="231"/>
      <c r="I610" s="231"/>
    </row>
    <row r="611" ht="15.75" customHeight="1">
      <c r="A611" s="231"/>
      <c r="B611" s="231"/>
      <c r="C611" s="231"/>
      <c r="D611" s="231"/>
      <c r="E611" s="231"/>
      <c r="F611" s="231"/>
      <c r="G611" s="231"/>
      <c r="H611" s="231"/>
      <c r="I611" s="231"/>
    </row>
    <row r="612" ht="15.75" customHeight="1">
      <c r="A612" s="231"/>
      <c r="B612" s="231"/>
      <c r="C612" s="231"/>
      <c r="D612" s="231"/>
      <c r="E612" s="231"/>
      <c r="F612" s="231"/>
      <c r="G612" s="231"/>
      <c r="H612" s="231"/>
      <c r="I612" s="231"/>
    </row>
    <row r="613" ht="15.75" customHeight="1">
      <c r="A613" s="231"/>
      <c r="B613" s="231"/>
      <c r="C613" s="231"/>
      <c r="D613" s="231"/>
      <c r="E613" s="231"/>
      <c r="F613" s="231"/>
      <c r="G613" s="231"/>
      <c r="H613" s="231"/>
      <c r="I613" s="231"/>
    </row>
    <row r="614" ht="15.75" customHeight="1">
      <c r="A614" s="231"/>
      <c r="B614" s="231"/>
      <c r="C614" s="231"/>
      <c r="D614" s="231"/>
      <c r="E614" s="231"/>
      <c r="F614" s="231"/>
      <c r="G614" s="231"/>
      <c r="H614" s="231"/>
      <c r="I614" s="231"/>
    </row>
    <row r="615" ht="15.75" customHeight="1">
      <c r="A615" s="231"/>
      <c r="B615" s="231"/>
      <c r="C615" s="231"/>
      <c r="D615" s="231"/>
      <c r="E615" s="231"/>
      <c r="F615" s="231"/>
      <c r="G615" s="231"/>
      <c r="H615" s="231"/>
      <c r="I615" s="231"/>
    </row>
    <row r="616" ht="15.75" customHeight="1">
      <c r="A616" s="231"/>
      <c r="B616" s="231"/>
      <c r="C616" s="231"/>
      <c r="D616" s="231"/>
      <c r="E616" s="231"/>
      <c r="F616" s="231"/>
      <c r="G616" s="231"/>
      <c r="H616" s="231"/>
      <c r="I616" s="231"/>
    </row>
    <row r="617" ht="15.75" customHeight="1">
      <c r="A617" s="231"/>
      <c r="B617" s="231"/>
      <c r="C617" s="231"/>
      <c r="D617" s="231"/>
      <c r="E617" s="231"/>
      <c r="F617" s="231"/>
      <c r="G617" s="231"/>
      <c r="H617" s="231"/>
      <c r="I617" s="231"/>
    </row>
    <row r="618" ht="15.75" customHeight="1">
      <c r="A618" s="231"/>
      <c r="B618" s="231"/>
      <c r="C618" s="231"/>
      <c r="D618" s="231"/>
      <c r="E618" s="231"/>
      <c r="F618" s="231"/>
      <c r="G618" s="231"/>
      <c r="H618" s="231"/>
      <c r="I618" s="231"/>
    </row>
    <row r="619" ht="15.75" customHeight="1">
      <c r="A619" s="231"/>
      <c r="B619" s="231"/>
      <c r="C619" s="231"/>
      <c r="D619" s="231"/>
      <c r="E619" s="231"/>
      <c r="F619" s="231"/>
      <c r="G619" s="231"/>
      <c r="H619" s="231"/>
      <c r="I619" s="231"/>
    </row>
    <row r="620" ht="15.75" customHeight="1">
      <c r="A620" s="231"/>
      <c r="B620" s="231"/>
      <c r="C620" s="231"/>
      <c r="D620" s="231"/>
      <c r="E620" s="231"/>
      <c r="F620" s="231"/>
      <c r="G620" s="231"/>
      <c r="H620" s="231"/>
      <c r="I620" s="231"/>
    </row>
    <row r="621" ht="15.75" customHeight="1">
      <c r="A621" s="231"/>
      <c r="B621" s="231"/>
      <c r="C621" s="231"/>
      <c r="D621" s="231"/>
      <c r="E621" s="231"/>
      <c r="F621" s="231"/>
      <c r="G621" s="231"/>
      <c r="H621" s="231"/>
      <c r="I621" s="231"/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4">
    <cfRule type="notContainsBlanks" dxfId="2" priority="1">
      <formula>LEN(TRIM(B24))&gt;0</formula>
    </cfRule>
  </conditionalFormatting>
  <hyperlinks>
    <hyperlink r:id="rId1" ref="A100"/>
    <hyperlink r:id="rId2" ref="A318"/>
    <hyperlink r:id="rId3" ref="A357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86"/>
    <col customWidth="1" min="2" max="2" width="12.14"/>
    <col customWidth="1" min="3" max="3" width="20.0"/>
    <col customWidth="1" min="4" max="26" width="17.29"/>
  </cols>
  <sheetData>
    <row r="1" ht="15.75" customHeight="1">
      <c r="A1" s="175" t="s">
        <v>1967</v>
      </c>
      <c r="B1" s="176" t="s">
        <v>62</v>
      </c>
      <c r="C1" s="167"/>
      <c r="D1" s="167"/>
    </row>
    <row r="2" ht="15.75" customHeight="1">
      <c r="A2" s="172" t="s">
        <v>253</v>
      </c>
      <c r="B2" s="169" t="s">
        <v>62</v>
      </c>
      <c r="C2" s="170"/>
      <c r="D2" s="170"/>
    </row>
    <row r="3" ht="15.75" customHeight="1">
      <c r="A3" s="175" t="s">
        <v>300</v>
      </c>
      <c r="B3" s="176" t="s">
        <v>62</v>
      </c>
      <c r="C3" s="167"/>
      <c r="D3" s="167"/>
    </row>
    <row r="4" ht="15.75" customHeight="1">
      <c r="A4" s="175" t="s">
        <v>360</v>
      </c>
      <c r="B4" s="175" t="s">
        <v>62</v>
      </c>
      <c r="C4" s="173"/>
      <c r="D4" s="173"/>
    </row>
    <row r="5" ht="15.75" customHeight="1">
      <c r="A5" s="172" t="s">
        <v>360</v>
      </c>
      <c r="B5" s="172" t="s">
        <v>62</v>
      </c>
      <c r="C5" s="180"/>
      <c r="D5" s="180"/>
    </row>
    <row r="6" ht="15.75" customHeight="1">
      <c r="A6" s="232" t="s">
        <v>380</v>
      </c>
      <c r="B6" s="232" t="s">
        <v>62</v>
      </c>
      <c r="C6" s="177"/>
      <c r="D6" s="177"/>
    </row>
    <row r="7" ht="15.75" customHeight="1">
      <c r="A7" s="232" t="s">
        <v>380</v>
      </c>
      <c r="B7" s="232" t="s">
        <v>62</v>
      </c>
      <c r="C7" s="177"/>
      <c r="D7" s="177"/>
    </row>
    <row r="8" ht="15.75" customHeight="1">
      <c r="A8" s="232" t="s">
        <v>380</v>
      </c>
      <c r="B8" s="232" t="s">
        <v>62</v>
      </c>
      <c r="C8" s="177"/>
      <c r="D8" s="177"/>
    </row>
    <row r="9" ht="15.75" customHeight="1">
      <c r="A9" s="175" t="s">
        <v>408</v>
      </c>
      <c r="B9" s="176" t="s">
        <v>62</v>
      </c>
      <c r="C9" s="167"/>
      <c r="D9" s="167"/>
    </row>
    <row r="10" ht="15.75" customHeight="1">
      <c r="A10" s="175" t="s">
        <v>2006</v>
      </c>
      <c r="B10" s="176" t="s">
        <v>62</v>
      </c>
      <c r="C10" s="167"/>
      <c r="D10" s="167"/>
    </row>
    <row r="11" ht="15.75" customHeight="1">
      <c r="A11" s="232" t="s">
        <v>470</v>
      </c>
      <c r="B11" s="232" t="s">
        <v>62</v>
      </c>
      <c r="C11" s="177"/>
      <c r="D11" s="177"/>
    </row>
    <row r="12" ht="15.75" customHeight="1">
      <c r="A12" s="232" t="s">
        <v>470</v>
      </c>
      <c r="B12" s="232" t="s">
        <v>62</v>
      </c>
      <c r="C12" s="177"/>
      <c r="D12" s="177"/>
    </row>
    <row r="13" ht="15.75" customHeight="1">
      <c r="A13" s="232" t="s">
        <v>470</v>
      </c>
      <c r="B13" s="232" t="s">
        <v>62</v>
      </c>
      <c r="C13" s="177"/>
      <c r="D13" s="177"/>
    </row>
    <row r="14" ht="15.75" customHeight="1">
      <c r="A14" s="232" t="s">
        <v>470</v>
      </c>
      <c r="B14" s="232" t="s">
        <v>62</v>
      </c>
      <c r="C14" s="177"/>
      <c r="D14" s="177"/>
    </row>
    <row r="15" ht="15.75" customHeight="1">
      <c r="A15" s="172" t="s">
        <v>574</v>
      </c>
      <c r="B15" s="172" t="s">
        <v>62</v>
      </c>
      <c r="C15" s="180"/>
      <c r="D15" s="180"/>
    </row>
    <row r="16" ht="15.75" customHeight="1">
      <c r="A16" s="172" t="s">
        <v>635</v>
      </c>
      <c r="B16" s="172" t="s">
        <v>62</v>
      </c>
      <c r="C16" s="180"/>
      <c r="D16" s="180"/>
    </row>
    <row r="17" ht="15.75" customHeight="1">
      <c r="A17" s="232" t="s">
        <v>650</v>
      </c>
      <c r="B17" s="233" t="s">
        <v>62</v>
      </c>
      <c r="C17" s="181"/>
      <c r="D17" s="181"/>
    </row>
    <row r="18" ht="15.75" customHeight="1">
      <c r="A18" s="172" t="s">
        <v>660</v>
      </c>
      <c r="B18" s="169" t="s">
        <v>62</v>
      </c>
      <c r="C18" s="170"/>
      <c r="D18" s="170"/>
    </row>
    <row r="19" ht="15.75" customHeight="1">
      <c r="A19" s="172" t="s">
        <v>821</v>
      </c>
      <c r="B19" s="172" t="s">
        <v>62</v>
      </c>
      <c r="C19" s="180"/>
      <c r="D19" s="180"/>
    </row>
    <row r="20" ht="15.75" customHeight="1">
      <c r="A20" s="172" t="s">
        <v>1150</v>
      </c>
      <c r="B20" s="172" t="s">
        <v>62</v>
      </c>
      <c r="C20" s="180"/>
      <c r="D20" s="180"/>
    </row>
    <row r="21" ht="15.75" customHeight="1">
      <c r="A21" s="175" t="s">
        <v>2008</v>
      </c>
      <c r="B21" s="175" t="s">
        <v>62</v>
      </c>
      <c r="C21" s="173"/>
      <c r="D21" s="173"/>
    </row>
    <row r="22" ht="15.75" customHeight="1">
      <c r="A22" s="175" t="s">
        <v>2009</v>
      </c>
      <c r="B22" s="175" t="s">
        <v>62</v>
      </c>
      <c r="C22" s="173"/>
      <c r="D22" s="173"/>
    </row>
    <row r="23" ht="15.75" customHeight="1">
      <c r="A23" s="175" t="s">
        <v>1304</v>
      </c>
      <c r="B23" s="175" t="s">
        <v>62</v>
      </c>
      <c r="C23" s="173"/>
      <c r="D23" s="173"/>
    </row>
    <row r="24" ht="15.75" customHeight="1">
      <c r="A24" s="179" t="s">
        <v>1353</v>
      </c>
      <c r="B24" s="179" t="s">
        <v>62</v>
      </c>
      <c r="C24" s="204"/>
      <c r="D24" s="204"/>
    </row>
    <row r="25" ht="15.75" customHeight="1">
      <c r="A25" s="172" t="s">
        <v>1371</v>
      </c>
      <c r="B25" s="172" t="s">
        <v>62</v>
      </c>
      <c r="C25" s="180"/>
      <c r="D25" s="180"/>
    </row>
    <row r="26" ht="15.75" customHeight="1">
      <c r="A26" s="175" t="s">
        <v>1988</v>
      </c>
      <c r="B26" s="175" t="s">
        <v>62</v>
      </c>
      <c r="C26" s="173"/>
      <c r="D26" s="173"/>
    </row>
    <row r="27" ht="15.75" customHeight="1">
      <c r="A27" s="175" t="s">
        <v>1989</v>
      </c>
      <c r="B27" s="175" t="s">
        <v>62</v>
      </c>
      <c r="C27" s="173"/>
      <c r="D27" s="173"/>
    </row>
    <row r="28" ht="15.75" customHeight="1">
      <c r="A28" s="172" t="s">
        <v>1423</v>
      </c>
      <c r="B28" s="172" t="s">
        <v>62</v>
      </c>
      <c r="C28" s="180"/>
      <c r="D28" s="180"/>
    </row>
    <row r="29" ht="15.75" customHeight="1">
      <c r="A29" s="175" t="s">
        <v>1990</v>
      </c>
      <c r="B29" s="175" t="s">
        <v>62</v>
      </c>
      <c r="C29" s="173"/>
      <c r="D29" s="173"/>
    </row>
    <row r="30" ht="15.75" customHeight="1">
      <c r="A30" s="172" t="s">
        <v>1606</v>
      </c>
      <c r="B30" s="172" t="s">
        <v>62</v>
      </c>
      <c r="C30" s="180"/>
      <c r="D30" s="180"/>
    </row>
    <row r="31" ht="15.75" customHeight="1">
      <c r="A31" s="172" t="s">
        <v>1611</v>
      </c>
      <c r="B31" s="182" t="s">
        <v>62</v>
      </c>
      <c r="C31" s="170"/>
      <c r="D31" s="170"/>
    </row>
    <row r="32" ht="15.75" customHeight="1">
      <c r="A32" s="175" t="s">
        <v>1658</v>
      </c>
      <c r="B32" s="175" t="s">
        <v>62</v>
      </c>
      <c r="C32" s="173"/>
      <c r="D32" s="173"/>
    </row>
    <row r="33" ht="15.75" customHeight="1">
      <c r="A33" s="172" t="s">
        <v>1662</v>
      </c>
      <c r="B33" s="172" t="s">
        <v>62</v>
      </c>
      <c r="C33" s="180"/>
      <c r="D33" s="180"/>
    </row>
    <row r="34" ht="15.75" customHeight="1">
      <c r="A34" s="175" t="s">
        <v>1692</v>
      </c>
      <c r="B34" s="175" t="s">
        <v>62</v>
      </c>
      <c r="C34" s="173"/>
      <c r="D34" s="173"/>
    </row>
    <row r="35" ht="15.75" customHeight="1">
      <c r="A35" s="172" t="s">
        <v>2011</v>
      </c>
      <c r="B35" s="172" t="s">
        <v>62</v>
      </c>
      <c r="C35" s="180"/>
      <c r="D35" s="180"/>
    </row>
    <row r="36" ht="15.75" customHeight="1">
      <c r="A36" s="172" t="s">
        <v>1996</v>
      </c>
      <c r="B36" s="172" t="s">
        <v>62</v>
      </c>
      <c r="C36" s="180"/>
      <c r="D36" s="180"/>
    </row>
    <row r="37" ht="15.75" customHeight="1">
      <c r="A37" s="175" t="s">
        <v>2001</v>
      </c>
      <c r="B37" s="175" t="s">
        <v>62</v>
      </c>
      <c r="C37" s="173"/>
      <c r="D37" s="173"/>
    </row>
    <row r="38" ht="15.75" customHeight="1">
      <c r="A38" s="175" t="s">
        <v>1894</v>
      </c>
      <c r="B38" s="175" t="s">
        <v>62</v>
      </c>
      <c r="C38" s="173"/>
      <c r="D38" s="173"/>
    </row>
    <row r="39" ht="15.75" customHeight="1">
      <c r="A39" s="175" t="s">
        <v>1922</v>
      </c>
      <c r="B39" s="175" t="s">
        <v>62</v>
      </c>
      <c r="C39" s="173"/>
      <c r="D39" s="173"/>
    </row>
    <row r="40" ht="15.75" customHeight="1">
      <c r="A40" s="172" t="s">
        <v>2013</v>
      </c>
      <c r="B40" s="186" t="s">
        <v>133</v>
      </c>
      <c r="C40" s="180" t="s">
        <v>2012</v>
      </c>
      <c r="D40" s="180"/>
    </row>
    <row r="41" ht="15.75" customHeight="1">
      <c r="A41" s="175" t="s">
        <v>1053</v>
      </c>
      <c r="B41" s="186" t="s">
        <v>133</v>
      </c>
      <c r="C41" s="173"/>
      <c r="D41" s="173"/>
    </row>
    <row r="42" ht="15.75" customHeight="1">
      <c r="A42" s="175" t="s">
        <v>1281</v>
      </c>
      <c r="B42" s="186" t="s">
        <v>133</v>
      </c>
      <c r="C42" s="173"/>
      <c r="D42" s="173"/>
    </row>
    <row r="43" ht="15.75" customHeight="1">
      <c r="A43" s="187" t="s">
        <v>1394</v>
      </c>
      <c r="B43" s="186" t="s">
        <v>133</v>
      </c>
      <c r="C43" s="173"/>
      <c r="D43" s="173"/>
    </row>
    <row r="44" ht="15.75" customHeight="1">
      <c r="A44" s="187" t="s">
        <v>1394</v>
      </c>
      <c r="B44" s="186" t="s">
        <v>133</v>
      </c>
      <c r="C44" s="180"/>
      <c r="D44" s="180"/>
    </row>
    <row r="45" ht="15.75" customHeight="1">
      <c r="A45" s="175" t="s">
        <v>132</v>
      </c>
      <c r="B45" s="189" t="s">
        <v>1271</v>
      </c>
      <c r="C45" s="167" t="s">
        <v>2012</v>
      </c>
      <c r="D45" s="167"/>
    </row>
    <row r="46" ht="15.75" customHeight="1">
      <c r="A46" s="172" t="s">
        <v>273</v>
      </c>
      <c r="B46" s="189" t="s">
        <v>1271</v>
      </c>
      <c r="C46" s="170"/>
      <c r="D46" s="170"/>
    </row>
    <row r="47" ht="15.75" customHeight="1">
      <c r="A47" s="175" t="s">
        <v>453</v>
      </c>
      <c r="B47" s="189" t="s">
        <v>1271</v>
      </c>
      <c r="C47" s="167"/>
      <c r="D47" s="167"/>
    </row>
    <row r="48" ht="15.75" customHeight="1">
      <c r="A48" s="175" t="s">
        <v>1061</v>
      </c>
      <c r="B48" s="186" t="s">
        <v>1271</v>
      </c>
      <c r="C48" s="173"/>
      <c r="D48" s="173"/>
    </row>
    <row r="49" ht="15.75" customHeight="1">
      <c r="A49" s="172" t="s">
        <v>2015</v>
      </c>
      <c r="B49" s="186" t="s">
        <v>1271</v>
      </c>
      <c r="C49" s="180"/>
      <c r="D49" s="180"/>
    </row>
    <row r="50" ht="15.75" customHeight="1">
      <c r="A50" s="175" t="s">
        <v>2213</v>
      </c>
      <c r="B50" s="186" t="s">
        <v>1271</v>
      </c>
      <c r="C50" s="173"/>
      <c r="D50" s="173"/>
    </row>
    <row r="51" ht="15.75" customHeight="1">
      <c r="A51" s="175" t="s">
        <v>226</v>
      </c>
      <c r="B51" s="189" t="s">
        <v>323</v>
      </c>
      <c r="C51" s="167" t="s">
        <v>2012</v>
      </c>
      <c r="D51" s="167"/>
    </row>
    <row r="52" ht="15.75" customHeight="1">
      <c r="A52" s="172" t="s">
        <v>322</v>
      </c>
      <c r="B52" s="189" t="s">
        <v>323</v>
      </c>
      <c r="C52" s="170"/>
      <c r="D52" s="170"/>
    </row>
    <row r="53" ht="15.75" customHeight="1">
      <c r="A53" s="175" t="s">
        <v>2016</v>
      </c>
      <c r="B53" s="186" t="s">
        <v>323</v>
      </c>
      <c r="C53" s="173"/>
      <c r="D53" s="173"/>
    </row>
    <row r="54" ht="15.75" customHeight="1">
      <c r="A54" s="172" t="s">
        <v>1559</v>
      </c>
      <c r="B54" s="186" t="s">
        <v>323</v>
      </c>
      <c r="C54" s="180"/>
      <c r="D54" s="180"/>
    </row>
    <row r="55" ht="15.75" customHeight="1">
      <c r="A55" s="175" t="s">
        <v>1960</v>
      </c>
      <c r="B55" s="186" t="s">
        <v>323</v>
      </c>
      <c r="C55" s="173"/>
      <c r="D55" s="173"/>
    </row>
    <row r="56" ht="15.75" customHeight="1">
      <c r="A56" s="172" t="s">
        <v>1959</v>
      </c>
      <c r="B56" s="186" t="s">
        <v>323</v>
      </c>
      <c r="C56" s="180"/>
      <c r="D56" s="180"/>
    </row>
    <row r="57" ht="15.75" customHeight="1">
      <c r="A57" s="175" t="s">
        <v>2017</v>
      </c>
      <c r="B57" s="189" t="s">
        <v>295</v>
      </c>
      <c r="C57" s="167" t="s">
        <v>2012</v>
      </c>
      <c r="D57" s="167"/>
    </row>
    <row r="58" ht="15.75" customHeight="1">
      <c r="A58" s="175" t="s">
        <v>596</v>
      </c>
      <c r="B58" s="189" t="s">
        <v>295</v>
      </c>
      <c r="C58" s="167"/>
      <c r="D58" s="167"/>
    </row>
    <row r="59" ht="15.75" customHeight="1">
      <c r="A59" s="172" t="s">
        <v>682</v>
      </c>
      <c r="B59" s="189" t="s">
        <v>295</v>
      </c>
      <c r="C59" s="170"/>
      <c r="D59" s="170"/>
    </row>
    <row r="60" ht="15.75" customHeight="1">
      <c r="A60" s="175" t="s">
        <v>1562</v>
      </c>
      <c r="B60" s="186" t="s">
        <v>295</v>
      </c>
      <c r="C60" s="173"/>
      <c r="D60" s="173"/>
    </row>
    <row r="61" ht="15.75" customHeight="1">
      <c r="A61" s="175" t="s">
        <v>1694</v>
      </c>
      <c r="B61" s="186" t="s">
        <v>295</v>
      </c>
      <c r="C61" s="173"/>
      <c r="D61" s="173"/>
    </row>
    <row r="62" ht="15.75" customHeight="1">
      <c r="A62" s="172" t="s">
        <v>2018</v>
      </c>
      <c r="B62" s="186" t="s">
        <v>295</v>
      </c>
      <c r="C62" s="180"/>
      <c r="D62" s="180"/>
    </row>
    <row r="63" ht="15.75" customHeight="1">
      <c r="A63" s="172" t="s">
        <v>731</v>
      </c>
      <c r="B63" s="189" t="s">
        <v>227</v>
      </c>
      <c r="C63" s="170" t="s">
        <v>2012</v>
      </c>
      <c r="D63" s="170"/>
    </row>
    <row r="64" ht="15.75" customHeight="1">
      <c r="A64" s="172" t="s">
        <v>1104</v>
      </c>
      <c r="B64" s="186" t="s">
        <v>227</v>
      </c>
      <c r="C64" s="180"/>
      <c r="D64" s="180"/>
    </row>
    <row r="65" ht="15.75" customHeight="1">
      <c r="A65" s="175" t="s">
        <v>1149</v>
      </c>
      <c r="B65" s="186" t="s">
        <v>227</v>
      </c>
      <c r="C65" s="173"/>
      <c r="D65" s="173"/>
    </row>
    <row r="66" ht="15.75" customHeight="1">
      <c r="A66" s="172" t="s">
        <v>1204</v>
      </c>
      <c r="B66" s="186" t="s">
        <v>227</v>
      </c>
      <c r="C66" s="180"/>
      <c r="D66" s="180"/>
    </row>
    <row r="67" ht="15.75" customHeight="1">
      <c r="A67" s="175" t="s">
        <v>2380</v>
      </c>
      <c r="B67" s="186" t="s">
        <v>227</v>
      </c>
      <c r="C67" s="193"/>
      <c r="D67" s="193"/>
    </row>
    <row r="68" ht="15.75" customHeight="1">
      <c r="A68" s="175" t="s">
        <v>1958</v>
      </c>
      <c r="B68" s="186" t="s">
        <v>227</v>
      </c>
      <c r="C68" s="173"/>
      <c r="D68" s="173"/>
    </row>
    <row r="69" ht="15.75" customHeight="1">
      <c r="A69" s="172" t="s">
        <v>2211</v>
      </c>
      <c r="B69" s="175" t="s">
        <v>600</v>
      </c>
      <c r="C69" s="180" t="s">
        <v>2114</v>
      </c>
      <c r="D69" s="180"/>
    </row>
    <row r="70" ht="15.75" customHeight="1">
      <c r="A70" s="175" t="s">
        <v>2212</v>
      </c>
      <c r="B70" s="172" t="s">
        <v>600</v>
      </c>
      <c r="C70" s="173"/>
      <c r="D70" s="173"/>
    </row>
    <row r="71" ht="15.75" customHeight="1">
      <c r="A71" s="172" t="s">
        <v>1436</v>
      </c>
      <c r="B71" s="175" t="s">
        <v>600</v>
      </c>
      <c r="C71" s="180"/>
      <c r="D71" s="180"/>
    </row>
    <row r="72" ht="15.75" customHeight="1">
      <c r="A72" s="175" t="s">
        <v>1846</v>
      </c>
      <c r="B72" s="186" t="s">
        <v>2381</v>
      </c>
      <c r="C72" s="173" t="s">
        <v>2012</v>
      </c>
      <c r="D72" s="173"/>
    </row>
    <row r="73" ht="15.75" customHeight="1">
      <c r="A73" s="176" t="s">
        <v>579</v>
      </c>
      <c r="B73" s="176" t="s">
        <v>580</v>
      </c>
      <c r="C73" s="167" t="s">
        <v>2114</v>
      </c>
      <c r="D73" s="167"/>
    </row>
    <row r="74" ht="15.75" customHeight="1">
      <c r="A74" s="172" t="s">
        <v>2022</v>
      </c>
      <c r="B74" s="172" t="s">
        <v>580</v>
      </c>
      <c r="C74" s="180"/>
      <c r="D74" s="180"/>
    </row>
    <row r="75" ht="15.75" customHeight="1">
      <c r="A75" s="175" t="s">
        <v>956</v>
      </c>
      <c r="B75" s="175" t="s">
        <v>580</v>
      </c>
      <c r="C75" s="173"/>
      <c r="D75" s="173"/>
    </row>
    <row r="76" ht="15.75" customHeight="1">
      <c r="A76" s="172" t="s">
        <v>957</v>
      </c>
      <c r="B76" s="172" t="s">
        <v>580</v>
      </c>
      <c r="C76" s="180"/>
      <c r="D76" s="180"/>
    </row>
    <row r="77" ht="15.75" customHeight="1">
      <c r="A77" s="172" t="s">
        <v>1005</v>
      </c>
      <c r="B77" s="172" t="s">
        <v>580</v>
      </c>
      <c r="C77" s="180"/>
      <c r="D77" s="180"/>
    </row>
    <row r="78" ht="15.75" customHeight="1">
      <c r="A78" s="172" t="s">
        <v>1054</v>
      </c>
      <c r="B78" s="172" t="s">
        <v>580</v>
      </c>
      <c r="C78" s="180"/>
      <c r="D78" s="180"/>
    </row>
    <row r="79" ht="15.75" customHeight="1">
      <c r="A79" s="175" t="s">
        <v>1232</v>
      </c>
      <c r="B79" s="175" t="s">
        <v>580</v>
      </c>
      <c r="C79" s="193"/>
      <c r="D79" s="193"/>
    </row>
    <row r="80" ht="15.75" customHeight="1">
      <c r="A80" s="172" t="s">
        <v>1364</v>
      </c>
      <c r="B80" s="172" t="s">
        <v>580</v>
      </c>
      <c r="C80" s="180"/>
      <c r="D80" s="180"/>
    </row>
    <row r="81" ht="15.75" customHeight="1">
      <c r="A81" s="172" t="s">
        <v>1710</v>
      </c>
      <c r="B81" s="172" t="s">
        <v>580</v>
      </c>
      <c r="C81" s="180"/>
      <c r="D81" s="180"/>
    </row>
    <row r="82" ht="15.75" customHeight="1">
      <c r="A82" s="172" t="s">
        <v>33</v>
      </c>
      <c r="B82" s="189" t="s">
        <v>145</v>
      </c>
      <c r="C82" s="170" t="s">
        <v>2012</v>
      </c>
      <c r="D82" s="170"/>
    </row>
    <row r="83" ht="15.75" customHeight="1">
      <c r="A83" s="172" t="s">
        <v>101</v>
      </c>
      <c r="B83" s="189" t="s">
        <v>145</v>
      </c>
      <c r="C83" s="170"/>
      <c r="D83" s="170"/>
    </row>
    <row r="84" ht="15.75" customHeight="1">
      <c r="A84" s="175" t="s">
        <v>111</v>
      </c>
      <c r="B84" s="189" t="s">
        <v>145</v>
      </c>
      <c r="C84" s="167"/>
      <c r="D84" s="167"/>
    </row>
    <row r="85" ht="15.75" customHeight="1">
      <c r="A85" s="175" t="s">
        <v>623</v>
      </c>
      <c r="B85" s="189" t="s">
        <v>145</v>
      </c>
      <c r="C85" s="193"/>
      <c r="D85" s="193"/>
    </row>
    <row r="86" ht="15.75" customHeight="1">
      <c r="A86" s="175" t="s">
        <v>625</v>
      </c>
      <c r="B86" s="189" t="s">
        <v>145</v>
      </c>
      <c r="C86" s="167"/>
      <c r="D86" s="167"/>
    </row>
    <row r="87" ht="15.75" customHeight="1">
      <c r="A87" s="175" t="s">
        <v>2155</v>
      </c>
      <c r="B87" s="186" t="s">
        <v>145</v>
      </c>
      <c r="C87" s="173"/>
      <c r="D87" s="173"/>
    </row>
    <row r="88" ht="15.75" customHeight="1">
      <c r="A88" s="175" t="s">
        <v>2104</v>
      </c>
      <c r="B88" s="189" t="s">
        <v>145</v>
      </c>
      <c r="C88" s="167"/>
      <c r="D88" s="167"/>
    </row>
    <row r="89" ht="15.75" customHeight="1">
      <c r="A89" s="175" t="s">
        <v>830</v>
      </c>
      <c r="B89" s="186" t="s">
        <v>145</v>
      </c>
      <c r="C89" s="173"/>
      <c r="D89" s="173"/>
    </row>
    <row r="90" ht="15.75" customHeight="1">
      <c r="A90" s="175" t="s">
        <v>1066</v>
      </c>
      <c r="B90" s="186" t="s">
        <v>145</v>
      </c>
      <c r="C90" s="173"/>
      <c r="D90" s="173"/>
    </row>
    <row r="91" ht="15.75" customHeight="1">
      <c r="A91" s="172" t="s">
        <v>1077</v>
      </c>
      <c r="B91" s="186" t="s">
        <v>145</v>
      </c>
      <c r="C91" s="180"/>
      <c r="D91" s="180"/>
    </row>
    <row r="92" ht="15.75" customHeight="1">
      <c r="A92" s="175" t="s">
        <v>1117</v>
      </c>
      <c r="B92" s="186" t="s">
        <v>145</v>
      </c>
      <c r="C92" s="173"/>
      <c r="D92" s="173"/>
    </row>
    <row r="93" ht="15.75" customHeight="1">
      <c r="A93" s="175" t="s">
        <v>1299</v>
      </c>
      <c r="B93" s="186" t="s">
        <v>145</v>
      </c>
      <c r="C93" s="173"/>
      <c r="D93" s="173"/>
    </row>
    <row r="94" ht="15.75" customHeight="1">
      <c r="A94" s="175" t="s">
        <v>154</v>
      </c>
      <c r="B94" s="189" t="s">
        <v>585</v>
      </c>
      <c r="C94" s="167" t="s">
        <v>2012</v>
      </c>
      <c r="D94" s="167"/>
    </row>
    <row r="95" ht="15.75" customHeight="1">
      <c r="A95" s="175" t="s">
        <v>186</v>
      </c>
      <c r="B95" s="189" t="s">
        <v>585</v>
      </c>
      <c r="C95" s="167"/>
      <c r="D95" s="167"/>
    </row>
    <row r="96" ht="15.75" customHeight="1">
      <c r="A96" s="175" t="s">
        <v>550</v>
      </c>
      <c r="B96" s="186" t="s">
        <v>585</v>
      </c>
      <c r="C96" s="173"/>
      <c r="D96" s="173"/>
    </row>
    <row r="97" ht="15.75" customHeight="1">
      <c r="A97" s="172" t="s">
        <v>767</v>
      </c>
      <c r="B97" s="189" t="s">
        <v>585</v>
      </c>
      <c r="C97" s="170"/>
      <c r="D97" s="170"/>
    </row>
    <row r="98" ht="15.75" customHeight="1">
      <c r="A98" s="172" t="s">
        <v>840</v>
      </c>
      <c r="B98" s="186" t="s">
        <v>585</v>
      </c>
      <c r="C98" s="180"/>
      <c r="D98" s="180"/>
    </row>
    <row r="99" ht="15.75" customHeight="1">
      <c r="A99" s="172" t="s">
        <v>894</v>
      </c>
      <c r="B99" s="186" t="s">
        <v>585</v>
      </c>
      <c r="C99" s="180"/>
      <c r="D99" s="180"/>
    </row>
    <row r="100" ht="15.75" customHeight="1">
      <c r="A100" s="175" t="s">
        <v>924</v>
      </c>
      <c r="B100" s="189" t="s">
        <v>585</v>
      </c>
      <c r="C100" s="167"/>
      <c r="D100" s="167"/>
    </row>
    <row r="101" ht="15.75" customHeight="1">
      <c r="A101" s="175" t="s">
        <v>1059</v>
      </c>
      <c r="B101" s="186" t="s">
        <v>585</v>
      </c>
      <c r="C101" s="173"/>
      <c r="D101" s="173"/>
    </row>
    <row r="102" ht="15.75" customHeight="1">
      <c r="A102" s="175" t="s">
        <v>1190</v>
      </c>
      <c r="B102" s="186" t="s">
        <v>585</v>
      </c>
      <c r="C102" s="173"/>
      <c r="D102" s="173"/>
    </row>
    <row r="103" ht="15.75" customHeight="1">
      <c r="A103" s="175" t="s">
        <v>1490</v>
      </c>
      <c r="B103" s="186" t="s">
        <v>585</v>
      </c>
      <c r="C103" s="173"/>
      <c r="D103" s="173"/>
    </row>
    <row r="104" ht="15.75" customHeight="1">
      <c r="A104" s="175" t="s">
        <v>1569</v>
      </c>
      <c r="B104" s="186" t="s">
        <v>585</v>
      </c>
      <c r="C104" s="173"/>
      <c r="D104" s="173"/>
    </row>
    <row r="105" ht="15.75" customHeight="1">
      <c r="A105" s="172" t="s">
        <v>39</v>
      </c>
      <c r="B105" s="189" t="s">
        <v>238</v>
      </c>
      <c r="C105" s="170" t="s">
        <v>2012</v>
      </c>
      <c r="D105" s="170"/>
    </row>
    <row r="106" ht="15.75" customHeight="1">
      <c r="A106" s="175" t="s">
        <v>303</v>
      </c>
      <c r="B106" s="189" t="s">
        <v>238</v>
      </c>
      <c r="C106" s="167"/>
      <c r="D106" s="167"/>
    </row>
    <row r="107" ht="15.75" customHeight="1">
      <c r="A107" s="176" t="s">
        <v>2234</v>
      </c>
      <c r="B107" s="189" t="s">
        <v>238</v>
      </c>
      <c r="C107" s="193"/>
      <c r="D107" s="193"/>
    </row>
    <row r="108" ht="15.75" customHeight="1">
      <c r="A108" s="172" t="s">
        <v>397</v>
      </c>
      <c r="B108" s="189" t="s">
        <v>238</v>
      </c>
      <c r="C108" s="170"/>
      <c r="D108" s="170"/>
    </row>
    <row r="109" ht="15.75" customHeight="1">
      <c r="A109" s="172" t="s">
        <v>738</v>
      </c>
      <c r="B109" s="189" t="s">
        <v>238</v>
      </c>
      <c r="C109" s="170"/>
      <c r="D109" s="170"/>
    </row>
    <row r="110" ht="15.75" customHeight="1">
      <c r="A110" s="175" t="s">
        <v>2111</v>
      </c>
      <c r="B110" s="189" t="s">
        <v>238</v>
      </c>
      <c r="C110" s="167"/>
      <c r="D110" s="167"/>
    </row>
    <row r="111" ht="15.75" customHeight="1">
      <c r="A111" s="172" t="s">
        <v>1062</v>
      </c>
      <c r="B111" s="186" t="s">
        <v>238</v>
      </c>
      <c r="C111" s="180"/>
      <c r="D111" s="180"/>
    </row>
    <row r="112" ht="15.75" customHeight="1">
      <c r="A112" s="172" t="s">
        <v>2382</v>
      </c>
      <c r="B112" s="186" t="s">
        <v>238</v>
      </c>
      <c r="C112" s="180"/>
      <c r="D112" s="180"/>
    </row>
    <row r="113" ht="15.75" customHeight="1">
      <c r="A113" s="175" t="s">
        <v>1511</v>
      </c>
      <c r="B113" s="186" t="s">
        <v>238</v>
      </c>
      <c r="C113" s="173"/>
      <c r="D113" s="173"/>
    </row>
    <row r="114" ht="15.75" customHeight="1">
      <c r="A114" s="176" t="s">
        <v>2383</v>
      </c>
      <c r="B114" s="189" t="s">
        <v>238</v>
      </c>
      <c r="C114" s="193"/>
      <c r="D114" s="193"/>
    </row>
    <row r="115" ht="15.75" customHeight="1">
      <c r="A115" s="175" t="s">
        <v>1716</v>
      </c>
      <c r="B115" s="186" t="s">
        <v>238</v>
      </c>
      <c r="C115" s="173"/>
      <c r="D115" s="173"/>
    </row>
    <row r="116" ht="15.75" customHeight="1">
      <c r="A116" s="172" t="s">
        <v>1821</v>
      </c>
      <c r="B116" s="186" t="s">
        <v>238</v>
      </c>
      <c r="C116" s="180"/>
      <c r="D116" s="180"/>
    </row>
    <row r="117" ht="15.75" customHeight="1">
      <c r="A117" s="175" t="s">
        <v>2384</v>
      </c>
      <c r="B117" s="189" t="s">
        <v>252</v>
      </c>
      <c r="C117" s="167" t="s">
        <v>2012</v>
      </c>
      <c r="D117" s="167"/>
    </row>
    <row r="118" ht="15.75" customHeight="1">
      <c r="A118" s="172" t="s">
        <v>2135</v>
      </c>
      <c r="B118" s="186" t="s">
        <v>252</v>
      </c>
      <c r="C118" s="180"/>
      <c r="D118" s="180"/>
    </row>
    <row r="119" ht="15.75" customHeight="1">
      <c r="A119" s="172" t="s">
        <v>1009</v>
      </c>
      <c r="B119" s="186" t="s">
        <v>252</v>
      </c>
      <c r="C119" s="180"/>
      <c r="D119" s="180"/>
    </row>
    <row r="120" ht="15.75" customHeight="1">
      <c r="A120" s="172" t="s">
        <v>1034</v>
      </c>
      <c r="B120" s="186" t="s">
        <v>252</v>
      </c>
      <c r="C120" s="180"/>
      <c r="D120" s="180"/>
    </row>
    <row r="121" ht="15.75" customHeight="1">
      <c r="A121" s="175" t="s">
        <v>1035</v>
      </c>
      <c r="B121" s="186" t="s">
        <v>252</v>
      </c>
      <c r="C121" s="173"/>
      <c r="D121" s="173"/>
    </row>
    <row r="122" ht="15.75" customHeight="1">
      <c r="A122" s="175" t="s">
        <v>2024</v>
      </c>
      <c r="B122" s="186" t="s">
        <v>252</v>
      </c>
      <c r="C122" s="173"/>
      <c r="D122" s="173"/>
    </row>
    <row r="123" ht="15.75" customHeight="1">
      <c r="A123" s="175" t="s">
        <v>1384</v>
      </c>
      <c r="B123" s="186" t="s">
        <v>252</v>
      </c>
      <c r="C123" s="173"/>
      <c r="D123" s="173"/>
    </row>
    <row r="124" ht="15.75" customHeight="1">
      <c r="A124" s="172" t="s">
        <v>1731</v>
      </c>
      <c r="B124" s="186" t="s">
        <v>252</v>
      </c>
      <c r="C124" s="180"/>
      <c r="D124" s="180"/>
    </row>
    <row r="125" ht="15.75" customHeight="1">
      <c r="A125" s="172" t="s">
        <v>1818</v>
      </c>
      <c r="B125" s="186" t="s">
        <v>252</v>
      </c>
      <c r="C125" s="180"/>
      <c r="D125" s="180"/>
    </row>
    <row r="126" ht="15.75" customHeight="1">
      <c r="A126" s="172" t="s">
        <v>1899</v>
      </c>
      <c r="B126" s="186" t="s">
        <v>252</v>
      </c>
      <c r="C126" s="180"/>
      <c r="D126" s="180"/>
    </row>
    <row r="127" ht="15.75" customHeight="1">
      <c r="A127" s="172" t="s">
        <v>59</v>
      </c>
      <c r="B127" s="186" t="s">
        <v>716</v>
      </c>
      <c r="C127" s="180" t="s">
        <v>2012</v>
      </c>
      <c r="D127" s="180"/>
    </row>
    <row r="128" ht="15.75" customHeight="1">
      <c r="A128" s="175" t="s">
        <v>527</v>
      </c>
      <c r="B128" s="189" t="s">
        <v>716</v>
      </c>
      <c r="C128" s="167"/>
      <c r="D128" s="167"/>
    </row>
    <row r="129" ht="15.75" customHeight="1">
      <c r="A129" s="172" t="s">
        <v>593</v>
      </c>
      <c r="B129" s="189" t="s">
        <v>716</v>
      </c>
      <c r="C129" s="170"/>
      <c r="D129" s="170"/>
    </row>
    <row r="130" ht="15.75" customHeight="1">
      <c r="A130" s="172" t="s">
        <v>624</v>
      </c>
      <c r="B130" s="189" t="s">
        <v>716</v>
      </c>
      <c r="C130" s="170"/>
      <c r="D130" s="170"/>
    </row>
    <row r="131" ht="15.75" customHeight="1">
      <c r="A131" s="175" t="s">
        <v>837</v>
      </c>
      <c r="B131" s="186" t="s">
        <v>716</v>
      </c>
      <c r="C131" s="173"/>
      <c r="D131" s="173"/>
    </row>
    <row r="132" ht="15.75" customHeight="1">
      <c r="A132" s="172" t="s">
        <v>909</v>
      </c>
      <c r="B132" s="186" t="s">
        <v>716</v>
      </c>
      <c r="C132" s="180"/>
      <c r="D132" s="180"/>
    </row>
    <row r="133" ht="15.75" customHeight="1">
      <c r="A133" s="172" t="s">
        <v>1044</v>
      </c>
      <c r="B133" s="186" t="s">
        <v>716</v>
      </c>
      <c r="C133" s="180"/>
      <c r="D133" s="180"/>
    </row>
    <row r="134" ht="15.75" customHeight="1">
      <c r="A134" s="175" t="s">
        <v>1044</v>
      </c>
      <c r="B134" s="186" t="s">
        <v>716</v>
      </c>
      <c r="C134" s="173"/>
      <c r="D134" s="173"/>
    </row>
    <row r="135" ht="15.75" customHeight="1">
      <c r="A135" s="172" t="s">
        <v>1188</v>
      </c>
      <c r="B135" s="186" t="s">
        <v>716</v>
      </c>
      <c r="C135" s="180"/>
      <c r="D135" s="180"/>
    </row>
    <row r="136" ht="15.75" customHeight="1">
      <c r="A136" s="175" t="s">
        <v>1486</v>
      </c>
      <c r="B136" s="186" t="s">
        <v>716</v>
      </c>
      <c r="C136" s="173"/>
      <c r="D136" s="173"/>
    </row>
    <row r="137" ht="15.75" customHeight="1">
      <c r="A137" s="234" t="s">
        <v>1576</v>
      </c>
      <c r="B137" s="186" t="s">
        <v>716</v>
      </c>
      <c r="C137" s="180"/>
      <c r="D137" s="180"/>
    </row>
    <row r="138" ht="15.75" customHeight="1">
      <c r="A138" s="172" t="s">
        <v>1614</v>
      </c>
      <c r="B138" s="186" t="s">
        <v>716</v>
      </c>
      <c r="C138" s="180"/>
      <c r="D138" s="180"/>
    </row>
    <row r="139" ht="15.75" customHeight="1">
      <c r="A139" s="172" t="s">
        <v>1657</v>
      </c>
      <c r="B139" s="186" t="s">
        <v>716</v>
      </c>
      <c r="C139" s="180"/>
      <c r="D139" s="180"/>
    </row>
    <row r="140" ht="15.75" customHeight="1">
      <c r="A140" s="175" t="s">
        <v>2170</v>
      </c>
      <c r="B140" s="186" t="s">
        <v>102</v>
      </c>
      <c r="C140" s="173" t="s">
        <v>2012</v>
      </c>
      <c r="D140" s="173"/>
    </row>
    <row r="141" ht="15.75" customHeight="1">
      <c r="A141" s="175" t="s">
        <v>656</v>
      </c>
      <c r="B141" s="186" t="s">
        <v>102</v>
      </c>
      <c r="C141" s="173"/>
      <c r="D141" s="173"/>
    </row>
    <row r="142" ht="15.75" customHeight="1">
      <c r="A142" s="175" t="s">
        <v>868</v>
      </c>
      <c r="B142" s="186" t="s">
        <v>102</v>
      </c>
      <c r="C142" s="173"/>
      <c r="D142" s="173"/>
    </row>
    <row r="143" ht="15.75" customHeight="1">
      <c r="A143" s="175" t="s">
        <v>1012</v>
      </c>
      <c r="B143" s="186" t="s">
        <v>102</v>
      </c>
      <c r="C143" s="173"/>
      <c r="D143" s="173"/>
    </row>
    <row r="144" ht="15.75" customHeight="1">
      <c r="A144" s="172" t="s">
        <v>1013</v>
      </c>
      <c r="B144" s="186" t="s">
        <v>102</v>
      </c>
      <c r="C144" s="180"/>
      <c r="D144" s="180"/>
    </row>
    <row r="145" ht="15.75" customHeight="1">
      <c r="A145" s="172" t="s">
        <v>1184</v>
      </c>
      <c r="B145" s="186" t="s">
        <v>102</v>
      </c>
      <c r="C145" s="180"/>
      <c r="D145" s="180"/>
    </row>
    <row r="146" ht="15.75" customHeight="1">
      <c r="A146" s="175" t="s">
        <v>1298</v>
      </c>
      <c r="B146" s="186" t="s">
        <v>102</v>
      </c>
      <c r="C146" s="173"/>
      <c r="D146" s="173"/>
    </row>
    <row r="147" ht="15.75" customHeight="1">
      <c r="A147" s="175" t="s">
        <v>1403</v>
      </c>
      <c r="B147" s="186" t="s">
        <v>102</v>
      </c>
      <c r="C147" s="173"/>
      <c r="D147" s="173"/>
    </row>
    <row r="148" ht="15.75" customHeight="1">
      <c r="A148" s="235" t="s">
        <v>1457</v>
      </c>
      <c r="B148" s="186" t="s">
        <v>102</v>
      </c>
      <c r="C148" s="180"/>
      <c r="D148" s="180"/>
    </row>
    <row r="149" ht="15.75" customHeight="1">
      <c r="A149" s="175" t="s">
        <v>1482</v>
      </c>
      <c r="B149" s="186" t="s">
        <v>102</v>
      </c>
      <c r="C149" s="173"/>
      <c r="D149" s="173"/>
    </row>
    <row r="150" ht="15.75" customHeight="1">
      <c r="A150" s="175" t="s">
        <v>1764</v>
      </c>
      <c r="B150" s="186" t="s">
        <v>102</v>
      </c>
      <c r="C150" s="173"/>
      <c r="D150" s="173"/>
    </row>
    <row r="151" ht="15.75" customHeight="1">
      <c r="A151" s="172" t="s">
        <v>1896</v>
      </c>
      <c r="B151" s="186" t="s">
        <v>102</v>
      </c>
      <c r="C151" s="180"/>
      <c r="D151" s="180"/>
    </row>
    <row r="152" ht="15.75" customHeight="1">
      <c r="A152" s="172" t="s">
        <v>419</v>
      </c>
      <c r="B152" s="186" t="s">
        <v>204</v>
      </c>
      <c r="C152" s="180" t="s">
        <v>2012</v>
      </c>
      <c r="D152" s="180"/>
    </row>
    <row r="153" ht="15.75" customHeight="1">
      <c r="A153" s="172" t="s">
        <v>561</v>
      </c>
      <c r="B153" s="189" t="s">
        <v>204</v>
      </c>
      <c r="C153" s="170"/>
      <c r="D153" s="170"/>
    </row>
    <row r="154" ht="15.75" customHeight="1">
      <c r="A154" s="172" t="s">
        <v>613</v>
      </c>
      <c r="B154" s="189" t="s">
        <v>204</v>
      </c>
      <c r="C154" s="170"/>
      <c r="D154" s="170"/>
    </row>
    <row r="155" ht="15.75" customHeight="1">
      <c r="A155" s="172" t="s">
        <v>707</v>
      </c>
      <c r="B155" s="186" t="s">
        <v>204</v>
      </c>
      <c r="C155" s="180"/>
      <c r="D155" s="180"/>
    </row>
    <row r="156" ht="15.75" customHeight="1">
      <c r="A156" s="172" t="s">
        <v>856</v>
      </c>
      <c r="B156" s="186" t="s">
        <v>204</v>
      </c>
      <c r="C156" s="180"/>
      <c r="D156" s="180"/>
    </row>
    <row r="157" ht="15.75" customHeight="1">
      <c r="A157" s="175" t="s">
        <v>1249</v>
      </c>
      <c r="B157" s="186" t="s">
        <v>204</v>
      </c>
      <c r="C157" s="173"/>
      <c r="D157" s="173"/>
    </row>
    <row r="158" ht="15.75" customHeight="1">
      <c r="A158" s="175" t="s">
        <v>2385</v>
      </c>
      <c r="B158" s="186" t="s">
        <v>204</v>
      </c>
      <c r="C158" s="173"/>
      <c r="D158" s="173"/>
    </row>
    <row r="159" ht="15.75" customHeight="1">
      <c r="A159" s="175" t="s">
        <v>2183</v>
      </c>
      <c r="B159" s="186" t="s">
        <v>204</v>
      </c>
      <c r="C159" s="173"/>
      <c r="D159" s="173"/>
    </row>
    <row r="160" ht="15.75" customHeight="1">
      <c r="A160" s="175" t="s">
        <v>1804</v>
      </c>
      <c r="B160" s="186" t="s">
        <v>204</v>
      </c>
      <c r="C160" s="173"/>
      <c r="D160" s="173"/>
    </row>
    <row r="161" ht="15.75" customHeight="1">
      <c r="A161" s="175" t="s">
        <v>35</v>
      </c>
      <c r="B161" s="189" t="s">
        <v>149</v>
      </c>
      <c r="C161" s="167" t="s">
        <v>2012</v>
      </c>
      <c r="D161" s="167"/>
    </row>
    <row r="162" ht="15.75" customHeight="1">
      <c r="A162" s="175" t="s">
        <v>246</v>
      </c>
      <c r="B162" s="186" t="s">
        <v>149</v>
      </c>
      <c r="C162" s="173"/>
      <c r="D162" s="173"/>
    </row>
    <row r="163" ht="15.75" customHeight="1">
      <c r="A163" s="175" t="s">
        <v>510</v>
      </c>
      <c r="B163" s="186" t="s">
        <v>149</v>
      </c>
      <c r="C163" s="173"/>
      <c r="D163" s="173"/>
    </row>
    <row r="164" ht="15.75" customHeight="1">
      <c r="A164" s="172" t="s">
        <v>654</v>
      </c>
      <c r="B164" s="186" t="s">
        <v>149</v>
      </c>
      <c r="C164" s="180"/>
      <c r="D164" s="180"/>
    </row>
    <row r="165" ht="15.75" customHeight="1">
      <c r="A165" s="175" t="s">
        <v>870</v>
      </c>
      <c r="B165" s="186" t="s">
        <v>149</v>
      </c>
      <c r="C165" s="173"/>
      <c r="D165" s="173"/>
    </row>
    <row r="166" ht="15.75" customHeight="1">
      <c r="A166" s="172" t="s">
        <v>2169</v>
      </c>
      <c r="B166" s="186" t="s">
        <v>149</v>
      </c>
      <c r="C166" s="180"/>
      <c r="D166" s="180"/>
    </row>
    <row r="167" ht="15.75" customHeight="1">
      <c r="A167" s="172" t="s">
        <v>1064</v>
      </c>
      <c r="B167" s="186" t="s">
        <v>149</v>
      </c>
      <c r="C167" s="180"/>
      <c r="D167" s="180"/>
    </row>
    <row r="168" ht="15.75" customHeight="1">
      <c r="A168" s="175" t="s">
        <v>1178</v>
      </c>
      <c r="B168" s="186" t="s">
        <v>149</v>
      </c>
      <c r="C168" s="173"/>
      <c r="D168" s="173"/>
    </row>
    <row r="169" ht="15.75" customHeight="1">
      <c r="A169" s="172" t="s">
        <v>1282</v>
      </c>
      <c r="B169" s="186" t="s">
        <v>149</v>
      </c>
      <c r="C169" s="180"/>
      <c r="D169" s="180"/>
    </row>
    <row r="170" ht="15.75" customHeight="1">
      <c r="A170" s="172" t="s">
        <v>2218</v>
      </c>
      <c r="B170" s="189" t="s">
        <v>176</v>
      </c>
      <c r="C170" s="170" t="s">
        <v>2012</v>
      </c>
      <c r="D170" s="170"/>
    </row>
    <row r="171" ht="15.75" customHeight="1">
      <c r="A171" s="175" t="s">
        <v>264</v>
      </c>
      <c r="B171" s="186" t="s">
        <v>176</v>
      </c>
      <c r="C171" s="173"/>
      <c r="D171" s="173"/>
    </row>
    <row r="172" ht="15.75" customHeight="1">
      <c r="A172" s="175" t="s">
        <v>270</v>
      </c>
      <c r="B172" s="189" t="s">
        <v>176</v>
      </c>
      <c r="C172" s="167"/>
      <c r="D172" s="167"/>
    </row>
    <row r="173" ht="15.75" customHeight="1">
      <c r="A173" s="175" t="s">
        <v>886</v>
      </c>
      <c r="B173" s="186" t="s">
        <v>176</v>
      </c>
      <c r="C173" s="173"/>
      <c r="D173" s="173"/>
    </row>
    <row r="174" ht="15.75" customHeight="1">
      <c r="A174" s="175" t="s">
        <v>1193</v>
      </c>
      <c r="B174" s="186" t="s">
        <v>176</v>
      </c>
      <c r="C174" s="173"/>
      <c r="D174" s="173"/>
    </row>
    <row r="175" ht="15.75" customHeight="1">
      <c r="A175" s="175" t="s">
        <v>1262</v>
      </c>
      <c r="B175" s="186" t="s">
        <v>176</v>
      </c>
      <c r="C175" s="173"/>
      <c r="D175" s="173"/>
    </row>
    <row r="176" ht="15.75" customHeight="1">
      <c r="A176" s="172" t="s">
        <v>1500</v>
      </c>
      <c r="B176" s="186" t="s">
        <v>176</v>
      </c>
      <c r="C176" s="180"/>
      <c r="D176" s="180"/>
    </row>
    <row r="177" ht="15.75" customHeight="1">
      <c r="A177" s="172" t="s">
        <v>1520</v>
      </c>
      <c r="B177" s="186" t="s">
        <v>176</v>
      </c>
      <c r="C177" s="180"/>
      <c r="D177" s="180"/>
    </row>
    <row r="178" ht="15.75" customHeight="1">
      <c r="A178" s="175" t="s">
        <v>2026</v>
      </c>
      <c r="B178" s="186" t="s">
        <v>176</v>
      </c>
      <c r="C178" s="173"/>
      <c r="D178" s="173"/>
    </row>
    <row r="179" ht="15.75" customHeight="1">
      <c r="A179" s="172" t="s">
        <v>1823</v>
      </c>
      <c r="B179" s="186" t="s">
        <v>176</v>
      </c>
      <c r="C179" s="180"/>
      <c r="D179" s="180"/>
    </row>
    <row r="180" ht="15.75" customHeight="1">
      <c r="A180" s="172" t="s">
        <v>1928</v>
      </c>
      <c r="B180" s="186" t="s">
        <v>176</v>
      </c>
      <c r="C180" s="180"/>
      <c r="D180" s="180"/>
    </row>
    <row r="181" ht="15.75" customHeight="1">
      <c r="A181" s="172" t="s">
        <v>2036</v>
      </c>
      <c r="B181" s="189" t="s">
        <v>87</v>
      </c>
      <c r="C181" s="170" t="s">
        <v>2012</v>
      </c>
      <c r="D181" s="170"/>
    </row>
    <row r="182" ht="15.75" customHeight="1">
      <c r="A182" s="175" t="s">
        <v>2219</v>
      </c>
      <c r="B182" s="189" t="s">
        <v>87</v>
      </c>
      <c r="C182" s="167"/>
      <c r="D182" s="167"/>
    </row>
    <row r="183" ht="15.75" customHeight="1">
      <c r="A183" s="172" t="s">
        <v>543</v>
      </c>
      <c r="B183" s="186" t="s">
        <v>87</v>
      </c>
      <c r="C183" s="180"/>
      <c r="D183" s="180"/>
    </row>
    <row r="184" ht="15.75" customHeight="1">
      <c r="A184" s="175" t="s">
        <v>702</v>
      </c>
      <c r="B184" s="186" t="s">
        <v>87</v>
      </c>
      <c r="C184" s="173"/>
      <c r="D184" s="173"/>
    </row>
    <row r="185" ht="15.75" customHeight="1">
      <c r="A185" s="175" t="s">
        <v>2386</v>
      </c>
      <c r="B185" s="189" t="s">
        <v>87</v>
      </c>
      <c r="C185" s="193"/>
      <c r="D185" s="193"/>
    </row>
    <row r="186" ht="15.75" customHeight="1">
      <c r="A186" s="175" t="s">
        <v>973</v>
      </c>
      <c r="B186" s="186" t="s">
        <v>87</v>
      </c>
      <c r="C186" s="173"/>
      <c r="D186" s="173"/>
    </row>
    <row r="187" ht="15.75" customHeight="1">
      <c r="A187" s="172" t="s">
        <v>985</v>
      </c>
      <c r="B187" s="186" t="s">
        <v>87</v>
      </c>
      <c r="C187" s="180"/>
      <c r="D187" s="180"/>
    </row>
    <row r="188" ht="15.75" customHeight="1">
      <c r="A188" s="175" t="s">
        <v>2010</v>
      </c>
      <c r="B188" s="186" t="s">
        <v>87</v>
      </c>
      <c r="C188" s="173"/>
      <c r="D188" s="173"/>
    </row>
    <row r="189" ht="15.75" customHeight="1">
      <c r="A189" s="172" t="s">
        <v>1683</v>
      </c>
      <c r="B189" s="186" t="s">
        <v>87</v>
      </c>
      <c r="C189" s="180"/>
      <c r="D189" s="180"/>
    </row>
    <row r="190" ht="15.75" customHeight="1">
      <c r="A190" s="175" t="s">
        <v>2387</v>
      </c>
      <c r="B190" s="186" t="s">
        <v>87</v>
      </c>
      <c r="C190" s="173"/>
      <c r="D190" s="173"/>
    </row>
    <row r="191" ht="15.75" customHeight="1">
      <c r="A191" s="172" t="s">
        <v>82</v>
      </c>
      <c r="B191" s="186" t="s">
        <v>90</v>
      </c>
      <c r="C191" s="180" t="s">
        <v>2012</v>
      </c>
      <c r="D191" s="180"/>
    </row>
    <row r="192" ht="15.75" customHeight="1">
      <c r="A192" s="175" t="s">
        <v>402</v>
      </c>
      <c r="B192" s="189" t="s">
        <v>90</v>
      </c>
      <c r="C192" s="167"/>
      <c r="D192" s="167"/>
    </row>
    <row r="193" ht="15.75" customHeight="1">
      <c r="A193" s="175" t="s">
        <v>431</v>
      </c>
      <c r="B193" s="186" t="s">
        <v>90</v>
      </c>
      <c r="C193" s="180"/>
      <c r="D193" s="180"/>
    </row>
    <row r="194" ht="15.75" customHeight="1">
      <c r="A194" s="175" t="s">
        <v>706</v>
      </c>
      <c r="B194" s="186" t="s">
        <v>90</v>
      </c>
      <c r="C194" s="173"/>
      <c r="D194" s="173"/>
    </row>
    <row r="195" ht="15.75" customHeight="1">
      <c r="A195" s="172" t="s">
        <v>770</v>
      </c>
      <c r="B195" s="189" t="s">
        <v>90</v>
      </c>
      <c r="C195" s="170"/>
      <c r="D195" s="170"/>
    </row>
    <row r="196" ht="15.75" customHeight="1">
      <c r="A196" s="172" t="s">
        <v>887</v>
      </c>
      <c r="B196" s="186" t="s">
        <v>90</v>
      </c>
      <c r="C196" s="180"/>
      <c r="D196" s="180"/>
    </row>
    <row r="197" ht="15.75" customHeight="1">
      <c r="A197" s="175" t="s">
        <v>1129</v>
      </c>
      <c r="B197" s="186" t="s">
        <v>90</v>
      </c>
      <c r="C197" s="173"/>
      <c r="D197" s="173"/>
    </row>
    <row r="198" ht="15.75" customHeight="1">
      <c r="A198" s="175" t="s">
        <v>1170</v>
      </c>
      <c r="B198" s="186" t="s">
        <v>90</v>
      </c>
      <c r="C198" s="173"/>
      <c r="D198" s="173"/>
    </row>
    <row r="199" ht="15.75" customHeight="1">
      <c r="A199" s="172" t="s">
        <v>1310</v>
      </c>
      <c r="B199" s="186" t="s">
        <v>90</v>
      </c>
      <c r="C199" s="180"/>
      <c r="D199" s="180"/>
    </row>
    <row r="200" ht="15.75" customHeight="1">
      <c r="A200" s="172" t="s">
        <v>1481</v>
      </c>
      <c r="B200" s="186" t="s">
        <v>90</v>
      </c>
      <c r="C200" s="180"/>
      <c r="D200" s="180"/>
    </row>
    <row r="201" ht="15.75" customHeight="1">
      <c r="A201" s="175" t="s">
        <v>2215</v>
      </c>
      <c r="B201" s="175" t="s">
        <v>21</v>
      </c>
      <c r="C201" s="173" t="s">
        <v>2114</v>
      </c>
      <c r="D201" s="173"/>
    </row>
    <row r="202" ht="15.75" customHeight="1">
      <c r="A202" s="175" t="s">
        <v>93</v>
      </c>
      <c r="B202" s="176" t="s">
        <v>21</v>
      </c>
      <c r="C202" s="173"/>
      <c r="D202" s="173"/>
    </row>
    <row r="203" ht="15.75" customHeight="1">
      <c r="A203" s="172" t="s">
        <v>94</v>
      </c>
      <c r="B203" s="169" t="s">
        <v>21</v>
      </c>
      <c r="C203" s="170"/>
      <c r="D203" s="170"/>
    </row>
    <row r="204" ht="15.75" customHeight="1">
      <c r="A204" s="175" t="s">
        <v>95</v>
      </c>
      <c r="B204" s="176" t="s">
        <v>21</v>
      </c>
      <c r="C204" s="167"/>
      <c r="D204" s="167"/>
    </row>
    <row r="205" ht="15.75" customHeight="1">
      <c r="A205" s="175" t="s">
        <v>139</v>
      </c>
      <c r="B205" s="176" t="s">
        <v>21</v>
      </c>
      <c r="C205" s="167"/>
      <c r="D205" s="167"/>
    </row>
    <row r="206" ht="15.75" customHeight="1">
      <c r="A206" s="175" t="s">
        <v>215</v>
      </c>
      <c r="B206" s="175" t="s">
        <v>21</v>
      </c>
      <c r="C206" s="173"/>
      <c r="D206" s="173"/>
    </row>
    <row r="207" ht="15.75" customHeight="1">
      <c r="A207" s="175" t="s">
        <v>305</v>
      </c>
      <c r="B207" s="176" t="s">
        <v>21</v>
      </c>
      <c r="C207" s="167"/>
      <c r="D207" s="167"/>
    </row>
    <row r="208" ht="15.75" customHeight="1">
      <c r="A208" s="172" t="s">
        <v>393</v>
      </c>
      <c r="B208" s="169" t="s">
        <v>21</v>
      </c>
      <c r="C208" s="173"/>
      <c r="D208" s="173"/>
    </row>
    <row r="209" ht="15.75" customHeight="1">
      <c r="A209" s="172" t="s">
        <v>817</v>
      </c>
      <c r="B209" s="172" t="s">
        <v>21</v>
      </c>
      <c r="C209" s="195"/>
      <c r="D209" s="195"/>
    </row>
    <row r="210" ht="15.75" customHeight="1">
      <c r="A210" s="172" t="s">
        <v>923</v>
      </c>
      <c r="B210" s="172" t="s">
        <v>21</v>
      </c>
      <c r="C210" s="180"/>
      <c r="D210" s="180"/>
    </row>
    <row r="211" ht="15.75" customHeight="1">
      <c r="A211" s="172" t="s">
        <v>1165</v>
      </c>
      <c r="B211" s="172" t="s">
        <v>21</v>
      </c>
      <c r="C211" s="180"/>
      <c r="D211" s="180"/>
    </row>
    <row r="212" ht="15.75" customHeight="1">
      <c r="A212" s="175" t="s">
        <v>2069</v>
      </c>
      <c r="B212" s="176" t="s">
        <v>21</v>
      </c>
      <c r="C212" s="167"/>
      <c r="D212" s="167"/>
    </row>
    <row r="213" ht="15.75" customHeight="1">
      <c r="A213" s="172" t="s">
        <v>2072</v>
      </c>
      <c r="B213" s="169" t="s">
        <v>21</v>
      </c>
      <c r="C213" s="170"/>
      <c r="D213" s="170"/>
    </row>
    <row r="214" ht="15.75" customHeight="1">
      <c r="A214" s="175" t="s">
        <v>2102</v>
      </c>
      <c r="B214" s="175" t="s">
        <v>21</v>
      </c>
      <c r="C214" s="173"/>
      <c r="D214" s="173"/>
    </row>
    <row r="215" ht="15.75" customHeight="1">
      <c r="A215" s="172" t="s">
        <v>1532</v>
      </c>
      <c r="B215" s="172" t="s">
        <v>21</v>
      </c>
      <c r="C215" s="180"/>
      <c r="D215" s="180"/>
    </row>
    <row r="216" ht="15.75" customHeight="1">
      <c r="A216" s="175" t="s">
        <v>1575</v>
      </c>
      <c r="B216" s="172" t="s">
        <v>21</v>
      </c>
      <c r="C216" s="173"/>
      <c r="D216" s="173"/>
    </row>
    <row r="217" ht="15.75" customHeight="1">
      <c r="A217" s="175" t="s">
        <v>2388</v>
      </c>
      <c r="B217" s="172" t="s">
        <v>21</v>
      </c>
      <c r="C217" s="180"/>
      <c r="D217" s="180"/>
    </row>
    <row r="218" ht="15.75" customHeight="1">
      <c r="A218" s="172" t="s">
        <v>1631</v>
      </c>
      <c r="B218" s="172" t="s">
        <v>21</v>
      </c>
      <c r="C218" s="173"/>
      <c r="D218" s="173"/>
    </row>
    <row r="219" ht="15.75" customHeight="1">
      <c r="A219" s="175" t="s">
        <v>1715</v>
      </c>
      <c r="B219" s="175" t="s">
        <v>21</v>
      </c>
      <c r="C219" s="173"/>
      <c r="D219" s="173"/>
    </row>
    <row r="220" ht="15.75" customHeight="1">
      <c r="A220" s="172" t="s">
        <v>1741</v>
      </c>
      <c r="B220" s="172" t="s">
        <v>21</v>
      </c>
      <c r="C220" s="180"/>
      <c r="D220" s="180"/>
    </row>
    <row r="221" ht="15.75" customHeight="1">
      <c r="A221" s="172" t="s">
        <v>2243</v>
      </c>
      <c r="B221" s="169" t="s">
        <v>21</v>
      </c>
      <c r="C221" s="180"/>
      <c r="D221" s="180"/>
    </row>
    <row r="222" ht="15.75" customHeight="1">
      <c r="A222" s="175" t="s">
        <v>1806</v>
      </c>
      <c r="B222" s="175" t="s">
        <v>21</v>
      </c>
      <c r="C222" s="173"/>
      <c r="D222" s="173"/>
    </row>
    <row r="223" ht="15.75" customHeight="1">
      <c r="A223" s="175" t="s">
        <v>1897</v>
      </c>
      <c r="B223" s="175" t="s">
        <v>21</v>
      </c>
      <c r="C223" s="193"/>
      <c r="D223" s="193"/>
    </row>
    <row r="224" ht="15.75" customHeight="1">
      <c r="A224" s="172" t="s">
        <v>61</v>
      </c>
      <c r="B224" s="169" t="s">
        <v>42</v>
      </c>
      <c r="C224" s="170" t="s">
        <v>2389</v>
      </c>
      <c r="D224" s="170"/>
    </row>
    <row r="225" ht="15.75" customHeight="1">
      <c r="A225" s="175" t="s">
        <v>88</v>
      </c>
      <c r="B225" s="175" t="s">
        <v>42</v>
      </c>
      <c r="C225" s="173"/>
      <c r="D225" s="173"/>
    </row>
    <row r="226" ht="15.75" customHeight="1">
      <c r="A226" s="172" t="s">
        <v>190</v>
      </c>
      <c r="B226" s="169" t="s">
        <v>42</v>
      </c>
      <c r="C226" s="170"/>
      <c r="D226" s="170"/>
    </row>
    <row r="227" ht="15.75" customHeight="1">
      <c r="A227" s="172" t="s">
        <v>2390</v>
      </c>
      <c r="B227" s="169" t="s">
        <v>42</v>
      </c>
      <c r="C227" s="170"/>
      <c r="D227" s="170"/>
    </row>
    <row r="228" ht="15.75" customHeight="1">
      <c r="A228" s="172" t="s">
        <v>2332</v>
      </c>
      <c r="B228" s="172" t="s">
        <v>42</v>
      </c>
      <c r="C228" s="180"/>
      <c r="D228" s="180"/>
    </row>
    <row r="229" ht="15.75" customHeight="1">
      <c r="A229" s="175" t="s">
        <v>2391</v>
      </c>
      <c r="B229" s="175" t="s">
        <v>42</v>
      </c>
      <c r="C229" s="173"/>
      <c r="D229" s="173"/>
    </row>
    <row r="230" ht="15.75" customHeight="1">
      <c r="A230" s="172" t="s">
        <v>434</v>
      </c>
      <c r="B230" s="169" t="s">
        <v>42</v>
      </c>
      <c r="C230" s="170"/>
      <c r="D230" s="170"/>
    </row>
    <row r="231" ht="15.75" customHeight="1">
      <c r="A231" s="175" t="s">
        <v>514</v>
      </c>
      <c r="B231" s="175" t="s">
        <v>42</v>
      </c>
      <c r="C231" s="173"/>
      <c r="D231" s="173"/>
    </row>
    <row r="232" ht="15.75" customHeight="1">
      <c r="A232" s="175" t="s">
        <v>519</v>
      </c>
      <c r="B232" s="175" t="s">
        <v>42</v>
      </c>
      <c r="C232" s="173"/>
      <c r="D232" s="173"/>
    </row>
    <row r="233" ht="15.75" customHeight="1">
      <c r="A233" s="172" t="s">
        <v>545</v>
      </c>
      <c r="B233" s="169" t="s">
        <v>42</v>
      </c>
      <c r="C233" s="170"/>
      <c r="D233" s="170"/>
    </row>
    <row r="234" ht="15.75" customHeight="1">
      <c r="A234" s="172" t="s">
        <v>2125</v>
      </c>
      <c r="B234" s="169" t="s">
        <v>42</v>
      </c>
      <c r="C234" s="170"/>
      <c r="D234" s="170"/>
    </row>
    <row r="235" ht="15.75" customHeight="1">
      <c r="A235" s="175" t="s">
        <v>684</v>
      </c>
      <c r="B235" s="176" t="s">
        <v>42</v>
      </c>
      <c r="C235" s="167"/>
      <c r="D235" s="167"/>
    </row>
    <row r="236" ht="15.75" customHeight="1">
      <c r="A236" s="172" t="s">
        <v>685</v>
      </c>
      <c r="B236" s="169" t="s">
        <v>42</v>
      </c>
      <c r="C236" s="170"/>
      <c r="D236" s="170"/>
    </row>
    <row r="237" ht="15.75" customHeight="1">
      <c r="A237" s="172" t="s">
        <v>825</v>
      </c>
      <c r="B237" s="172" t="s">
        <v>42</v>
      </c>
      <c r="C237" s="180"/>
      <c r="D237" s="180"/>
    </row>
    <row r="238" ht="15.75" customHeight="1">
      <c r="A238" s="175" t="s">
        <v>892</v>
      </c>
      <c r="B238" s="175" t="s">
        <v>42</v>
      </c>
      <c r="C238" s="173"/>
      <c r="D238" s="173"/>
    </row>
    <row r="239" ht="15.75" customHeight="1">
      <c r="A239" s="172" t="s">
        <v>2392</v>
      </c>
      <c r="B239" s="172" t="s">
        <v>42</v>
      </c>
      <c r="C239" s="180"/>
      <c r="D239" s="180"/>
    </row>
    <row r="240" ht="15.75" customHeight="1">
      <c r="A240" s="172" t="s">
        <v>999</v>
      </c>
      <c r="B240" s="172" t="s">
        <v>42</v>
      </c>
      <c r="C240" s="180"/>
      <c r="D240" s="180"/>
    </row>
    <row r="241" ht="15.75" customHeight="1">
      <c r="A241" s="172" t="s">
        <v>1028</v>
      </c>
      <c r="B241" s="172" t="s">
        <v>42</v>
      </c>
      <c r="C241" s="180"/>
      <c r="D241" s="180"/>
    </row>
    <row r="242" ht="15.75" customHeight="1">
      <c r="A242" s="175" t="s">
        <v>1091</v>
      </c>
      <c r="B242" s="175" t="s">
        <v>42</v>
      </c>
      <c r="C242" s="195"/>
      <c r="D242" s="195"/>
    </row>
    <row r="243" ht="15.75" customHeight="1">
      <c r="A243" s="175" t="s">
        <v>1098</v>
      </c>
      <c r="B243" s="175" t="s">
        <v>42</v>
      </c>
      <c r="C243" s="173"/>
      <c r="D243" s="173"/>
    </row>
    <row r="244" ht="15.75" customHeight="1">
      <c r="A244" s="172" t="s">
        <v>2067</v>
      </c>
      <c r="B244" s="172" t="s">
        <v>42</v>
      </c>
      <c r="C244" s="180"/>
      <c r="D244" s="180"/>
    </row>
    <row r="245" ht="15.75" customHeight="1">
      <c r="A245" s="172" t="s">
        <v>1176</v>
      </c>
      <c r="B245" s="172" t="s">
        <v>42</v>
      </c>
      <c r="C245" s="180"/>
      <c r="D245" s="180"/>
    </row>
    <row r="246" ht="15.75" customHeight="1">
      <c r="A246" s="175" t="s">
        <v>1181</v>
      </c>
      <c r="B246" s="175" t="s">
        <v>42</v>
      </c>
      <c r="C246" s="173"/>
      <c r="D246" s="173"/>
    </row>
    <row r="247" ht="15.75" customHeight="1">
      <c r="A247" s="175" t="s">
        <v>1205</v>
      </c>
      <c r="B247" s="175" t="s">
        <v>42</v>
      </c>
      <c r="C247" s="173"/>
      <c r="D247" s="173"/>
    </row>
    <row r="248" ht="15.75" customHeight="1">
      <c r="A248" s="172" t="s">
        <v>1285</v>
      </c>
      <c r="B248" s="172" t="s">
        <v>42</v>
      </c>
      <c r="C248" s="173"/>
      <c r="D248" s="173"/>
    </row>
    <row r="249" ht="15.75" customHeight="1">
      <c r="A249" s="172" t="s">
        <v>1295</v>
      </c>
      <c r="B249" s="172" t="s">
        <v>42</v>
      </c>
      <c r="C249" s="180"/>
      <c r="D249" s="180"/>
    </row>
    <row r="250" ht="15.75" customHeight="1">
      <c r="A250" s="172" t="s">
        <v>1300</v>
      </c>
      <c r="B250" s="172" t="s">
        <v>42</v>
      </c>
      <c r="C250" s="180"/>
      <c r="D250" s="180"/>
    </row>
    <row r="251" ht="15.75" customHeight="1">
      <c r="A251" s="172" t="s">
        <v>1484</v>
      </c>
      <c r="B251" s="172" t="s">
        <v>42</v>
      </c>
      <c r="C251" s="180"/>
      <c r="D251" s="180"/>
    </row>
    <row r="252" ht="15.75" customHeight="1">
      <c r="A252" s="172" t="s">
        <v>1594</v>
      </c>
      <c r="B252" s="172" t="s">
        <v>42</v>
      </c>
      <c r="C252" s="180"/>
      <c r="D252" s="180"/>
    </row>
    <row r="253" ht="15.75" customHeight="1">
      <c r="A253" s="175" t="s">
        <v>2393</v>
      </c>
      <c r="B253" s="175" t="s">
        <v>42</v>
      </c>
      <c r="C253" s="173"/>
      <c r="D253" s="173"/>
    </row>
    <row r="254" ht="15.75" customHeight="1">
      <c r="A254" s="172" t="s">
        <v>1651</v>
      </c>
      <c r="B254" s="172" t="s">
        <v>42</v>
      </c>
      <c r="C254" s="173"/>
      <c r="D254" s="173"/>
    </row>
    <row r="255" ht="15.75" customHeight="1">
      <c r="A255" s="175" t="s">
        <v>1851</v>
      </c>
      <c r="B255" s="175" t="s">
        <v>42</v>
      </c>
      <c r="C255" s="173"/>
      <c r="D255" s="173"/>
    </row>
    <row r="256" ht="15.75" customHeight="1">
      <c r="A256" s="172" t="s">
        <v>1859</v>
      </c>
      <c r="B256" s="172" t="s">
        <v>42</v>
      </c>
      <c r="C256" s="180"/>
      <c r="D256" s="180"/>
    </row>
    <row r="257" ht="15.75" customHeight="1">
      <c r="A257" s="175" t="s">
        <v>1923</v>
      </c>
      <c r="B257" s="175" t="s">
        <v>42</v>
      </c>
      <c r="C257" s="180"/>
      <c r="D257" s="180"/>
    </row>
    <row r="258" ht="15.75" customHeight="1">
      <c r="A258" s="175" t="s">
        <v>2316</v>
      </c>
      <c r="B258" s="175" t="s">
        <v>107</v>
      </c>
      <c r="C258" s="173" t="s">
        <v>2114</v>
      </c>
      <c r="D258" s="173"/>
    </row>
    <row r="259" ht="15.75" customHeight="1">
      <c r="A259" s="172" t="s">
        <v>223</v>
      </c>
      <c r="B259" s="172" t="s">
        <v>107</v>
      </c>
      <c r="C259" s="167"/>
      <c r="D259" s="167"/>
    </row>
    <row r="260" ht="15.75" customHeight="1">
      <c r="A260" s="175" t="s">
        <v>2322</v>
      </c>
      <c r="B260" s="176" t="s">
        <v>107</v>
      </c>
      <c r="C260" s="167"/>
      <c r="D260" s="167"/>
    </row>
    <row r="261" ht="15.75" customHeight="1">
      <c r="A261" s="172" t="s">
        <v>278</v>
      </c>
      <c r="B261" s="169" t="s">
        <v>107</v>
      </c>
      <c r="C261" s="170"/>
      <c r="D261" s="170"/>
    </row>
    <row r="262" ht="15.75" customHeight="1">
      <c r="A262" s="172" t="s">
        <v>283</v>
      </c>
      <c r="B262" s="169" t="s">
        <v>107</v>
      </c>
      <c r="C262" s="170"/>
      <c r="D262" s="170"/>
    </row>
    <row r="263" ht="15.75" customHeight="1">
      <c r="A263" s="172" t="s">
        <v>1971</v>
      </c>
      <c r="B263" s="169" t="s">
        <v>107</v>
      </c>
      <c r="C263" s="170"/>
      <c r="D263" s="170"/>
    </row>
    <row r="264" ht="15.75" customHeight="1">
      <c r="A264" s="175" t="s">
        <v>354</v>
      </c>
      <c r="B264" s="175" t="s">
        <v>107</v>
      </c>
      <c r="C264" s="173"/>
      <c r="D264" s="173"/>
    </row>
    <row r="265" ht="15.75" customHeight="1">
      <c r="A265" s="172" t="s">
        <v>2057</v>
      </c>
      <c r="B265" s="172" t="s">
        <v>107</v>
      </c>
      <c r="C265" s="173"/>
      <c r="D265" s="173"/>
    </row>
    <row r="266" ht="15.75" customHeight="1">
      <c r="A266" s="172" t="s">
        <v>517</v>
      </c>
      <c r="B266" s="172" t="s">
        <v>107</v>
      </c>
      <c r="C266" s="180"/>
      <c r="D266" s="180"/>
    </row>
    <row r="267" ht="15.75" customHeight="1">
      <c r="A267" s="175" t="s">
        <v>698</v>
      </c>
      <c r="B267" s="176" t="s">
        <v>107</v>
      </c>
      <c r="C267" s="167"/>
      <c r="D267" s="167"/>
    </row>
    <row r="268" ht="15.75" customHeight="1">
      <c r="A268" s="172" t="s">
        <v>701</v>
      </c>
      <c r="B268" s="169" t="s">
        <v>107</v>
      </c>
      <c r="C268" s="170"/>
      <c r="D268" s="170"/>
    </row>
    <row r="269" ht="15.75" customHeight="1">
      <c r="A269" s="175" t="s">
        <v>704</v>
      </c>
      <c r="B269" s="176" t="s">
        <v>107</v>
      </c>
      <c r="C269" s="167"/>
      <c r="D269" s="167"/>
    </row>
    <row r="270" ht="15.75" customHeight="1">
      <c r="A270" s="172" t="s">
        <v>719</v>
      </c>
      <c r="B270" s="169" t="s">
        <v>107</v>
      </c>
      <c r="C270" s="170"/>
      <c r="D270" s="170"/>
    </row>
    <row r="271" ht="15.75" customHeight="1">
      <c r="A271" s="175" t="s">
        <v>2058</v>
      </c>
      <c r="B271" s="176" t="s">
        <v>107</v>
      </c>
      <c r="C271" s="167"/>
      <c r="D271" s="167"/>
    </row>
    <row r="272" ht="15.75" customHeight="1">
      <c r="A272" s="172" t="s">
        <v>733</v>
      </c>
      <c r="B272" s="169" t="s">
        <v>107</v>
      </c>
      <c r="C272" s="170"/>
      <c r="D272" s="170"/>
    </row>
    <row r="273" ht="15.75" customHeight="1">
      <c r="A273" s="175" t="s">
        <v>747</v>
      </c>
      <c r="B273" s="175" t="s">
        <v>107</v>
      </c>
      <c r="C273" s="173"/>
      <c r="D273" s="173"/>
    </row>
    <row r="274" ht="15.75" customHeight="1">
      <c r="A274" s="175" t="s">
        <v>824</v>
      </c>
      <c r="B274" s="175" t="s">
        <v>107</v>
      </c>
      <c r="C274" s="173"/>
      <c r="D274" s="173"/>
    </row>
    <row r="275" ht="15.75" customHeight="1">
      <c r="A275" s="172" t="s">
        <v>823</v>
      </c>
      <c r="B275" s="172" t="s">
        <v>107</v>
      </c>
      <c r="C275" s="180"/>
      <c r="D275" s="180"/>
    </row>
    <row r="276" ht="15.75" customHeight="1">
      <c r="A276" s="172" t="s">
        <v>951</v>
      </c>
      <c r="B276" s="172" t="s">
        <v>107</v>
      </c>
      <c r="C276" s="180"/>
      <c r="D276" s="180"/>
    </row>
    <row r="277" ht="15.75" customHeight="1">
      <c r="A277" s="172" t="s">
        <v>958</v>
      </c>
      <c r="B277" s="172" t="s">
        <v>107</v>
      </c>
      <c r="C277" s="180"/>
      <c r="D277" s="180"/>
    </row>
    <row r="278" ht="15.75" customHeight="1">
      <c r="A278" s="172" t="s">
        <v>967</v>
      </c>
      <c r="B278" s="172" t="s">
        <v>107</v>
      </c>
      <c r="C278" s="180"/>
      <c r="D278" s="180"/>
    </row>
    <row r="279" ht="15.75" customHeight="1">
      <c r="A279" s="175" t="s">
        <v>1010</v>
      </c>
      <c r="B279" s="175" t="s">
        <v>107</v>
      </c>
      <c r="C279" s="173"/>
      <c r="D279" s="173"/>
    </row>
    <row r="280" ht="15.75" customHeight="1">
      <c r="A280" s="175" t="s">
        <v>1111</v>
      </c>
      <c r="B280" s="175" t="s">
        <v>107</v>
      </c>
      <c r="C280" s="173"/>
      <c r="D280" s="173"/>
    </row>
    <row r="281" ht="15.75" customHeight="1">
      <c r="A281" s="175" t="s">
        <v>1326</v>
      </c>
      <c r="B281" s="175" t="s">
        <v>107</v>
      </c>
      <c r="C281" s="173"/>
      <c r="D281" s="173"/>
    </row>
    <row r="282" ht="15.75" customHeight="1">
      <c r="A282" s="175" t="s">
        <v>1459</v>
      </c>
      <c r="B282" s="175" t="s">
        <v>107</v>
      </c>
      <c r="C282" s="173"/>
      <c r="D282" s="173"/>
    </row>
    <row r="283" ht="15.75" customHeight="1">
      <c r="A283" s="172" t="s">
        <v>1502</v>
      </c>
      <c r="B283" s="169" t="s">
        <v>107</v>
      </c>
      <c r="C283" s="167"/>
      <c r="D283" s="167"/>
    </row>
    <row r="284" ht="15.75" customHeight="1">
      <c r="A284" s="175" t="s">
        <v>1577</v>
      </c>
      <c r="B284" s="175" t="s">
        <v>107</v>
      </c>
      <c r="C284" s="173"/>
      <c r="D284" s="173"/>
    </row>
    <row r="285" ht="15.75" customHeight="1">
      <c r="A285" s="175" t="s">
        <v>1586</v>
      </c>
      <c r="B285" s="175" t="s">
        <v>107</v>
      </c>
      <c r="C285" s="173"/>
      <c r="D285" s="173"/>
    </row>
    <row r="286" ht="15.75" customHeight="1">
      <c r="A286" s="172" t="s">
        <v>1642</v>
      </c>
      <c r="B286" s="172" t="s">
        <v>107</v>
      </c>
      <c r="C286" s="180"/>
      <c r="D286" s="180"/>
    </row>
    <row r="287" ht="15.75" customHeight="1">
      <c r="A287" s="175" t="s">
        <v>2394</v>
      </c>
      <c r="B287" s="176" t="s">
        <v>107</v>
      </c>
      <c r="C287" s="170"/>
      <c r="D287" s="170"/>
    </row>
    <row r="288" ht="15.75" customHeight="1">
      <c r="A288" s="175" t="s">
        <v>1865</v>
      </c>
      <c r="B288" s="175" t="s">
        <v>107</v>
      </c>
      <c r="C288" s="173"/>
      <c r="D288" s="173"/>
    </row>
    <row r="289" ht="15.75" customHeight="1">
      <c r="A289" s="172" t="s">
        <v>1866</v>
      </c>
      <c r="B289" s="172" t="s">
        <v>107</v>
      </c>
      <c r="C289" s="180"/>
      <c r="D289" s="180"/>
    </row>
    <row r="290" ht="15.75" customHeight="1">
      <c r="A290" s="172" t="s">
        <v>1888</v>
      </c>
      <c r="B290" s="172" t="s">
        <v>107</v>
      </c>
      <c r="C290" s="180"/>
      <c r="D290" s="180"/>
    </row>
    <row r="291" ht="15.75" customHeight="1">
      <c r="A291" s="175" t="s">
        <v>1888</v>
      </c>
      <c r="B291" s="175" t="s">
        <v>107</v>
      </c>
      <c r="C291" s="173"/>
      <c r="D291" s="173"/>
    </row>
    <row r="292" ht="15.75" customHeight="1">
      <c r="A292" s="172" t="s">
        <v>127</v>
      </c>
      <c r="B292" s="169" t="s">
        <v>2061</v>
      </c>
      <c r="C292" s="170"/>
      <c r="D292" s="170"/>
    </row>
    <row r="293" ht="15.75" customHeight="1">
      <c r="A293" s="172" t="s">
        <v>77</v>
      </c>
      <c r="B293" s="172" t="s">
        <v>136</v>
      </c>
      <c r="C293" s="180" t="s">
        <v>2395</v>
      </c>
      <c r="D293" s="180"/>
    </row>
    <row r="294" ht="15.75" customHeight="1">
      <c r="A294" s="172" t="s">
        <v>2270</v>
      </c>
      <c r="B294" s="169" t="s">
        <v>136</v>
      </c>
      <c r="C294" s="170"/>
      <c r="D294" s="170"/>
    </row>
    <row r="295" ht="15.75" customHeight="1">
      <c r="A295" s="172" t="s">
        <v>1970</v>
      </c>
      <c r="B295" s="169" t="s">
        <v>136</v>
      </c>
      <c r="C295" s="170"/>
      <c r="D295" s="170"/>
    </row>
    <row r="296" ht="15.75" customHeight="1">
      <c r="A296" s="172" t="s">
        <v>1972</v>
      </c>
      <c r="B296" s="169" t="s">
        <v>136</v>
      </c>
      <c r="C296" s="170"/>
      <c r="D296" s="170"/>
    </row>
    <row r="297" ht="15.75" customHeight="1">
      <c r="A297" s="175" t="s">
        <v>422</v>
      </c>
      <c r="B297" s="175" t="s">
        <v>136</v>
      </c>
      <c r="C297" s="173"/>
      <c r="D297" s="173"/>
    </row>
    <row r="298" ht="15.75" customHeight="1">
      <c r="A298" s="175" t="s">
        <v>482</v>
      </c>
      <c r="B298" s="176" t="s">
        <v>136</v>
      </c>
      <c r="C298" s="167"/>
      <c r="D298" s="167"/>
    </row>
    <row r="299" ht="15.75" customHeight="1">
      <c r="A299" s="172" t="s">
        <v>486</v>
      </c>
      <c r="B299" s="169" t="s">
        <v>136</v>
      </c>
      <c r="C299" s="170"/>
      <c r="D299" s="170"/>
    </row>
    <row r="300" ht="15.75" customHeight="1">
      <c r="A300" s="172" t="s">
        <v>2396</v>
      </c>
      <c r="B300" s="172" t="s">
        <v>136</v>
      </c>
      <c r="C300" s="167"/>
      <c r="D300" s="167"/>
    </row>
    <row r="301" ht="15.75" customHeight="1">
      <c r="A301" s="175" t="s">
        <v>1977</v>
      </c>
      <c r="B301" s="176" t="s">
        <v>136</v>
      </c>
      <c r="C301" s="167"/>
      <c r="D301" s="167"/>
    </row>
    <row r="302" ht="15.75" customHeight="1">
      <c r="A302" s="172" t="s">
        <v>664</v>
      </c>
      <c r="B302" s="172" t="s">
        <v>136</v>
      </c>
      <c r="C302" s="180"/>
      <c r="D302" s="180"/>
    </row>
    <row r="303" ht="15.75" customHeight="1">
      <c r="A303" s="172" t="s">
        <v>680</v>
      </c>
      <c r="B303" s="169" t="s">
        <v>136</v>
      </c>
      <c r="C303" s="170"/>
      <c r="D303" s="170"/>
    </row>
    <row r="304" ht="15.75" customHeight="1">
      <c r="A304" s="175" t="s">
        <v>681</v>
      </c>
      <c r="B304" s="176" t="s">
        <v>136</v>
      </c>
      <c r="C304" s="167"/>
      <c r="D304" s="167"/>
    </row>
    <row r="305" ht="15.75" customHeight="1">
      <c r="A305" s="172" t="s">
        <v>2075</v>
      </c>
      <c r="B305" s="169" t="s">
        <v>136</v>
      </c>
      <c r="C305" s="170"/>
      <c r="D305" s="170"/>
    </row>
    <row r="306" ht="15.75" customHeight="1">
      <c r="A306" s="175" t="s">
        <v>2077</v>
      </c>
      <c r="B306" s="176" t="s">
        <v>136</v>
      </c>
      <c r="C306" s="167"/>
      <c r="D306" s="167"/>
    </row>
    <row r="307" ht="15.75" customHeight="1">
      <c r="A307" s="175" t="s">
        <v>750</v>
      </c>
      <c r="B307" s="176" t="s">
        <v>136</v>
      </c>
      <c r="C307" s="167"/>
      <c r="D307" s="167"/>
    </row>
    <row r="308" ht="15.75" customHeight="1">
      <c r="A308" s="172" t="s">
        <v>752</v>
      </c>
      <c r="B308" s="169" t="s">
        <v>136</v>
      </c>
      <c r="C308" s="170"/>
      <c r="D308" s="170"/>
    </row>
    <row r="309" ht="15.75" customHeight="1">
      <c r="A309" s="176" t="s">
        <v>798</v>
      </c>
      <c r="B309" s="175" t="s">
        <v>136</v>
      </c>
      <c r="C309" s="173"/>
      <c r="D309" s="173"/>
    </row>
    <row r="310" ht="15.75" customHeight="1">
      <c r="A310" s="176" t="s">
        <v>800</v>
      </c>
      <c r="B310" s="175" t="s">
        <v>136</v>
      </c>
      <c r="C310" s="173"/>
      <c r="D310" s="173"/>
    </row>
    <row r="311" ht="15.75" customHeight="1">
      <c r="A311" s="169" t="s">
        <v>2066</v>
      </c>
      <c r="B311" s="172" t="s">
        <v>136</v>
      </c>
      <c r="C311" s="180"/>
      <c r="D311" s="180"/>
    </row>
    <row r="312" ht="15.75" customHeight="1">
      <c r="A312" s="175" t="s">
        <v>834</v>
      </c>
      <c r="B312" s="175" t="s">
        <v>136</v>
      </c>
      <c r="C312" s="173"/>
      <c r="D312" s="173"/>
    </row>
    <row r="313" ht="15.75" customHeight="1">
      <c r="A313" s="175" t="s">
        <v>954</v>
      </c>
      <c r="B313" s="175" t="s">
        <v>136</v>
      </c>
      <c r="C313" s="173"/>
      <c r="D313" s="173"/>
    </row>
    <row r="314" ht="15.75" customHeight="1">
      <c r="A314" s="172" t="s">
        <v>2059</v>
      </c>
      <c r="B314" s="172" t="s">
        <v>136</v>
      </c>
      <c r="C314" s="180"/>
      <c r="D314" s="180"/>
    </row>
    <row r="315" ht="15.75" customHeight="1">
      <c r="A315" s="172" t="s">
        <v>2055</v>
      </c>
      <c r="B315" s="172" t="s">
        <v>136</v>
      </c>
      <c r="C315" s="180"/>
      <c r="D315" s="180"/>
    </row>
    <row r="316" ht="15.75" customHeight="1">
      <c r="A316" s="175" t="s">
        <v>1087</v>
      </c>
      <c r="B316" s="175" t="s">
        <v>136</v>
      </c>
      <c r="C316" s="173"/>
      <c r="D316" s="173"/>
    </row>
    <row r="317" ht="15.75" customHeight="1">
      <c r="A317" s="172" t="s">
        <v>1090</v>
      </c>
      <c r="B317" s="172" t="s">
        <v>136</v>
      </c>
      <c r="C317" s="180"/>
      <c r="D317" s="180"/>
    </row>
    <row r="318" ht="15.75" customHeight="1">
      <c r="A318" s="169" t="s">
        <v>2068</v>
      </c>
      <c r="B318" s="172" t="s">
        <v>136</v>
      </c>
      <c r="C318" s="180"/>
      <c r="D318" s="180"/>
    </row>
    <row r="319" ht="15.75" customHeight="1">
      <c r="A319" s="176" t="s">
        <v>1123</v>
      </c>
      <c r="B319" s="175" t="s">
        <v>136</v>
      </c>
      <c r="C319" s="173"/>
      <c r="D319" s="173"/>
    </row>
    <row r="320" ht="15.75" customHeight="1">
      <c r="A320" s="169" t="s">
        <v>1125</v>
      </c>
      <c r="B320" s="172" t="s">
        <v>136</v>
      </c>
      <c r="C320" s="180"/>
      <c r="D320" s="180"/>
    </row>
    <row r="321" ht="15.75" customHeight="1">
      <c r="A321" s="175" t="s">
        <v>1366</v>
      </c>
      <c r="B321" s="175" t="s">
        <v>136</v>
      </c>
      <c r="C321" s="173"/>
      <c r="D321" s="173"/>
    </row>
    <row r="322" ht="15.75" customHeight="1">
      <c r="A322" s="175" t="s">
        <v>1399</v>
      </c>
      <c r="B322" s="175" t="s">
        <v>136</v>
      </c>
      <c r="C322" s="173"/>
      <c r="D322" s="173"/>
    </row>
    <row r="323" ht="15.75" customHeight="1">
      <c r="A323" s="175" t="s">
        <v>1412</v>
      </c>
      <c r="B323" s="175" t="s">
        <v>136</v>
      </c>
      <c r="C323" s="173"/>
      <c r="D323" s="173"/>
    </row>
    <row r="324" ht="15.75" customHeight="1">
      <c r="A324" s="172" t="s">
        <v>1413</v>
      </c>
      <c r="B324" s="172" t="s">
        <v>136</v>
      </c>
      <c r="C324" s="180"/>
      <c r="D324" s="180"/>
    </row>
    <row r="325" ht="15.75" customHeight="1">
      <c r="A325" s="175" t="s">
        <v>1442</v>
      </c>
      <c r="B325" s="175" t="s">
        <v>136</v>
      </c>
      <c r="C325" s="173"/>
      <c r="D325" s="173"/>
    </row>
    <row r="326" ht="15.75" customHeight="1">
      <c r="A326" s="175" t="s">
        <v>1548</v>
      </c>
      <c r="B326" s="175" t="s">
        <v>136</v>
      </c>
      <c r="C326" s="173"/>
      <c r="D326" s="173"/>
    </row>
    <row r="327" ht="15.75" customHeight="1">
      <c r="A327" s="172" t="s">
        <v>1613</v>
      </c>
      <c r="B327" s="172" t="s">
        <v>136</v>
      </c>
      <c r="C327" s="180"/>
      <c r="D327" s="180"/>
    </row>
    <row r="328" ht="15.75" customHeight="1">
      <c r="A328" s="172" t="s">
        <v>20</v>
      </c>
      <c r="B328" s="189" t="s">
        <v>38</v>
      </c>
      <c r="C328" s="170" t="s">
        <v>2397</v>
      </c>
      <c r="D328" s="170"/>
    </row>
    <row r="329" ht="15.75" customHeight="1">
      <c r="A329" s="176" t="s">
        <v>2089</v>
      </c>
      <c r="B329" s="189" t="s">
        <v>38</v>
      </c>
      <c r="C329" s="193"/>
      <c r="D329" s="193"/>
    </row>
    <row r="330" ht="15.75" customHeight="1">
      <c r="A330" s="175" t="s">
        <v>37</v>
      </c>
      <c r="B330" s="189" t="s">
        <v>38</v>
      </c>
      <c r="C330" s="167"/>
      <c r="D330" s="167"/>
    </row>
    <row r="331" ht="15.75" customHeight="1">
      <c r="A331" s="172" t="s">
        <v>56</v>
      </c>
      <c r="B331" s="186" t="s">
        <v>38</v>
      </c>
      <c r="C331" s="180"/>
      <c r="D331" s="180"/>
    </row>
    <row r="332" ht="15.75" customHeight="1">
      <c r="A332" s="172" t="s">
        <v>71</v>
      </c>
      <c r="B332" s="186" t="s">
        <v>38</v>
      </c>
      <c r="C332" s="180"/>
      <c r="D332" s="180"/>
    </row>
    <row r="333" ht="15.75" customHeight="1">
      <c r="A333" s="172" t="s">
        <v>117</v>
      </c>
      <c r="B333" s="189" t="s">
        <v>38</v>
      </c>
      <c r="C333" s="170"/>
      <c r="D333" s="170"/>
    </row>
    <row r="334" ht="15.75" customHeight="1">
      <c r="A334" s="172" t="s">
        <v>178</v>
      </c>
      <c r="B334" s="189" t="s">
        <v>38</v>
      </c>
      <c r="C334" s="170"/>
      <c r="D334" s="170"/>
    </row>
    <row r="335" ht="15.75" customHeight="1">
      <c r="A335" s="175" t="s">
        <v>244</v>
      </c>
      <c r="B335" s="189" t="s">
        <v>38</v>
      </c>
      <c r="C335" s="167"/>
      <c r="D335" s="167"/>
    </row>
    <row r="336" ht="15.75" customHeight="1">
      <c r="A336" s="172" t="s">
        <v>244</v>
      </c>
      <c r="B336" s="189" t="s">
        <v>38</v>
      </c>
      <c r="C336" s="170"/>
      <c r="D336" s="170"/>
    </row>
    <row r="337" ht="15.75" customHeight="1">
      <c r="A337" s="175" t="s">
        <v>314</v>
      </c>
      <c r="B337" s="189" t="s">
        <v>38</v>
      </c>
      <c r="C337" s="167"/>
      <c r="D337" s="167"/>
    </row>
    <row r="338" ht="15.75" customHeight="1">
      <c r="A338" s="172" t="s">
        <v>315</v>
      </c>
      <c r="B338" s="189" t="s">
        <v>38</v>
      </c>
      <c r="C338" s="170"/>
      <c r="D338" s="170"/>
    </row>
    <row r="339" ht="15.75" customHeight="1">
      <c r="A339" s="172" t="s">
        <v>371</v>
      </c>
      <c r="B339" s="189" t="s">
        <v>38</v>
      </c>
      <c r="C339" s="170"/>
      <c r="D339" s="170"/>
    </row>
    <row r="340" ht="15.75" customHeight="1">
      <c r="A340" s="175" t="s">
        <v>401</v>
      </c>
      <c r="B340" s="189" t="s">
        <v>38</v>
      </c>
      <c r="C340" s="167"/>
      <c r="D340" s="167"/>
    </row>
    <row r="341" ht="15.75" customHeight="1">
      <c r="A341" s="172" t="s">
        <v>2398</v>
      </c>
      <c r="B341" s="186" t="s">
        <v>38</v>
      </c>
      <c r="C341" s="180"/>
      <c r="D341" s="180"/>
    </row>
    <row r="342" ht="15.75" customHeight="1">
      <c r="A342" s="175" t="s">
        <v>2399</v>
      </c>
      <c r="B342" s="186" t="s">
        <v>38</v>
      </c>
      <c r="C342" s="173"/>
      <c r="D342" s="173"/>
    </row>
    <row r="343" ht="15.75" customHeight="1">
      <c r="A343" s="172" t="s">
        <v>2400</v>
      </c>
      <c r="B343" s="189" t="s">
        <v>38</v>
      </c>
      <c r="C343" s="170"/>
      <c r="D343" s="170"/>
    </row>
    <row r="344" ht="15.75" customHeight="1">
      <c r="A344" s="172" t="s">
        <v>2074</v>
      </c>
      <c r="B344" s="189" t="s">
        <v>38</v>
      </c>
      <c r="C344" s="170"/>
      <c r="D344" s="170"/>
    </row>
    <row r="345" ht="15.75" customHeight="1">
      <c r="A345" s="176" t="s">
        <v>2091</v>
      </c>
      <c r="B345" s="189" t="s">
        <v>38</v>
      </c>
      <c r="C345" s="193"/>
      <c r="D345" s="193"/>
    </row>
    <row r="346" ht="15.75" customHeight="1">
      <c r="A346" s="175" t="s">
        <v>692</v>
      </c>
      <c r="B346" s="189" t="s">
        <v>38</v>
      </c>
      <c r="C346" s="167"/>
      <c r="D346" s="167"/>
    </row>
    <row r="347" ht="15.75" customHeight="1">
      <c r="A347" s="172" t="s">
        <v>699</v>
      </c>
      <c r="B347" s="189" t="s">
        <v>38</v>
      </c>
      <c r="C347" s="170"/>
      <c r="D347" s="170"/>
    </row>
    <row r="348" ht="15.75" customHeight="1">
      <c r="A348" s="172" t="s">
        <v>727</v>
      </c>
      <c r="B348" s="189" t="s">
        <v>38</v>
      </c>
      <c r="C348" s="170"/>
      <c r="D348" s="170"/>
    </row>
    <row r="349" ht="15.75" customHeight="1">
      <c r="A349" s="175" t="s">
        <v>728</v>
      </c>
      <c r="B349" s="189" t="s">
        <v>38</v>
      </c>
      <c r="C349" s="167"/>
      <c r="D349" s="167"/>
    </row>
    <row r="350" ht="15.75" customHeight="1">
      <c r="A350" s="175" t="s">
        <v>2076</v>
      </c>
      <c r="B350" s="189" t="s">
        <v>38</v>
      </c>
      <c r="C350" s="167"/>
      <c r="D350" s="167"/>
    </row>
    <row r="351" ht="15.75" customHeight="1">
      <c r="A351" s="172" t="s">
        <v>741</v>
      </c>
      <c r="B351" s="189" t="s">
        <v>38</v>
      </c>
      <c r="C351" s="170"/>
      <c r="D351" s="170"/>
    </row>
    <row r="352" ht="15.75" customHeight="1">
      <c r="A352" s="172" t="s">
        <v>746</v>
      </c>
      <c r="B352" s="189" t="s">
        <v>38</v>
      </c>
      <c r="C352" s="170"/>
      <c r="D352" s="170"/>
    </row>
    <row r="353" ht="15.75" customHeight="1">
      <c r="A353" s="172" t="s">
        <v>833</v>
      </c>
      <c r="B353" s="186" t="s">
        <v>38</v>
      </c>
      <c r="C353" s="180"/>
      <c r="D353" s="180"/>
    </row>
    <row r="354" ht="15.75" customHeight="1">
      <c r="A354" s="175" t="s">
        <v>895</v>
      </c>
      <c r="B354" s="186" t="s">
        <v>38</v>
      </c>
      <c r="C354" s="173"/>
      <c r="D354" s="173"/>
    </row>
    <row r="355" ht="15.75" customHeight="1">
      <c r="A355" s="172" t="s">
        <v>927</v>
      </c>
      <c r="B355" s="186" t="s">
        <v>38</v>
      </c>
      <c r="C355" s="180"/>
      <c r="D355" s="180"/>
    </row>
    <row r="356" ht="15.75" customHeight="1">
      <c r="A356" s="175" t="s">
        <v>960</v>
      </c>
      <c r="B356" s="186" t="s">
        <v>38</v>
      </c>
      <c r="C356" s="173"/>
      <c r="D356" s="173"/>
    </row>
    <row r="357" ht="15.75" customHeight="1">
      <c r="A357" s="175" t="s">
        <v>970</v>
      </c>
      <c r="B357" s="186" t="s">
        <v>38</v>
      </c>
      <c r="C357" s="173"/>
      <c r="D357" s="173"/>
    </row>
    <row r="358" ht="15.75" customHeight="1">
      <c r="A358" s="175" t="s">
        <v>2078</v>
      </c>
      <c r="B358" s="186" t="s">
        <v>38</v>
      </c>
      <c r="C358" s="173"/>
      <c r="D358" s="173"/>
    </row>
    <row r="359" ht="15.75" customHeight="1">
      <c r="A359" s="176" t="s">
        <v>1078</v>
      </c>
      <c r="B359" s="189" t="s">
        <v>38</v>
      </c>
      <c r="C359" s="193"/>
      <c r="D359" s="193"/>
    </row>
    <row r="360" ht="15.75" customHeight="1">
      <c r="A360" s="176" t="s">
        <v>1199</v>
      </c>
      <c r="B360" s="189" t="s">
        <v>38</v>
      </c>
      <c r="C360" s="193"/>
      <c r="D360" s="193"/>
    </row>
    <row r="361" ht="15.75" customHeight="1">
      <c r="A361" s="234" t="s">
        <v>2401</v>
      </c>
      <c r="B361" s="186" t="s">
        <v>38</v>
      </c>
      <c r="C361" s="180"/>
      <c r="D361" s="180"/>
    </row>
    <row r="362" ht="15.75" customHeight="1">
      <c r="A362" s="172" t="s">
        <v>2101</v>
      </c>
      <c r="B362" s="186" t="s">
        <v>38</v>
      </c>
      <c r="C362" s="180"/>
      <c r="D362" s="180"/>
    </row>
    <row r="363" ht="15.75" customHeight="1">
      <c r="A363" s="175" t="s">
        <v>1222</v>
      </c>
      <c r="B363" s="186" t="s">
        <v>38</v>
      </c>
      <c r="C363" s="173"/>
      <c r="D363" s="173"/>
    </row>
    <row r="364" ht="15.75" customHeight="1">
      <c r="A364" s="172" t="s">
        <v>1225</v>
      </c>
      <c r="B364" s="186" t="s">
        <v>38</v>
      </c>
      <c r="C364" s="180"/>
      <c r="D364" s="180"/>
    </row>
    <row r="365" ht="15.75" customHeight="1">
      <c r="A365" s="175" t="s">
        <v>2048</v>
      </c>
      <c r="B365" s="186" t="s">
        <v>38</v>
      </c>
      <c r="C365" s="173"/>
      <c r="D365" s="173"/>
    </row>
    <row r="366" ht="15.75" customHeight="1">
      <c r="A366" s="175" t="s">
        <v>1287</v>
      </c>
      <c r="B366" s="186" t="s">
        <v>38</v>
      </c>
      <c r="C366" s="173"/>
      <c r="D366" s="173"/>
    </row>
    <row r="367" ht="15.75" customHeight="1">
      <c r="A367" s="175" t="s">
        <v>1328</v>
      </c>
      <c r="B367" s="186" t="s">
        <v>38</v>
      </c>
      <c r="C367" s="173"/>
      <c r="D367" s="173"/>
    </row>
    <row r="368" ht="15.75" customHeight="1">
      <c r="A368" s="172" t="s">
        <v>1333</v>
      </c>
      <c r="B368" s="186" t="s">
        <v>38</v>
      </c>
      <c r="C368" s="180"/>
      <c r="D368" s="180"/>
    </row>
    <row r="369" ht="15.75" customHeight="1">
      <c r="A369" s="175" t="s">
        <v>2402</v>
      </c>
      <c r="B369" s="186" t="s">
        <v>38</v>
      </c>
      <c r="C369" s="173"/>
      <c r="D369" s="173"/>
    </row>
    <row r="370" ht="15.75" customHeight="1">
      <c r="A370" s="175" t="s">
        <v>1408</v>
      </c>
      <c r="B370" s="186" t="s">
        <v>38</v>
      </c>
      <c r="C370" s="173"/>
      <c r="D370" s="173"/>
    </row>
    <row r="371" ht="15.75" customHeight="1">
      <c r="A371" s="172" t="s">
        <v>1410</v>
      </c>
      <c r="B371" s="186" t="s">
        <v>38</v>
      </c>
      <c r="C371" s="180"/>
      <c r="D371" s="180"/>
    </row>
    <row r="372" ht="15.75" customHeight="1">
      <c r="A372" s="175" t="s">
        <v>1421</v>
      </c>
      <c r="B372" s="186" t="s">
        <v>38</v>
      </c>
      <c r="C372" s="173"/>
      <c r="D372" s="173"/>
    </row>
    <row r="373" ht="15.75" customHeight="1">
      <c r="A373" s="172" t="s">
        <v>1429</v>
      </c>
      <c r="B373" s="186" t="s">
        <v>38</v>
      </c>
      <c r="C373" s="180"/>
      <c r="D373" s="180"/>
    </row>
    <row r="374" ht="15.75" customHeight="1">
      <c r="A374" s="172" t="s">
        <v>1441</v>
      </c>
      <c r="B374" s="186" t="s">
        <v>38</v>
      </c>
      <c r="C374" s="180"/>
      <c r="D374" s="180"/>
    </row>
    <row r="375" ht="15.75" customHeight="1">
      <c r="A375" s="172" t="s">
        <v>1455</v>
      </c>
      <c r="B375" s="186" t="s">
        <v>38</v>
      </c>
      <c r="C375" s="180"/>
      <c r="D375" s="180"/>
    </row>
    <row r="376" ht="15.75" customHeight="1">
      <c r="A376" s="175" t="s">
        <v>1516</v>
      </c>
      <c r="B376" s="186" t="s">
        <v>38</v>
      </c>
      <c r="C376" s="173"/>
      <c r="D376" s="173"/>
    </row>
    <row r="377" ht="15.75" customHeight="1">
      <c r="A377" s="172" t="s">
        <v>1991</v>
      </c>
      <c r="B377" s="186" t="s">
        <v>38</v>
      </c>
      <c r="C377" s="180"/>
      <c r="D377" s="180"/>
    </row>
    <row r="378" ht="15.75" customHeight="1">
      <c r="A378" s="175" t="s">
        <v>1519</v>
      </c>
      <c r="B378" s="186" t="s">
        <v>38</v>
      </c>
      <c r="C378" s="173"/>
      <c r="D378" s="173"/>
    </row>
    <row r="379" ht="15.75" customHeight="1">
      <c r="A379" s="175" t="s">
        <v>1546</v>
      </c>
      <c r="B379" s="186" t="s">
        <v>38</v>
      </c>
      <c r="C379" s="173"/>
      <c r="D379" s="173"/>
    </row>
    <row r="380" ht="15.75" customHeight="1">
      <c r="A380" s="172" t="s">
        <v>1547</v>
      </c>
      <c r="B380" s="186" t="s">
        <v>38</v>
      </c>
      <c r="C380" s="180"/>
      <c r="D380" s="180"/>
    </row>
    <row r="381" ht="15.75" customHeight="1">
      <c r="A381" s="175" t="s">
        <v>1557</v>
      </c>
      <c r="B381" s="186" t="s">
        <v>38</v>
      </c>
      <c r="C381" s="173"/>
      <c r="D381" s="173"/>
    </row>
    <row r="382" ht="15.75" customHeight="1">
      <c r="A382" s="175" t="s">
        <v>1609</v>
      </c>
      <c r="B382" s="186" t="s">
        <v>38</v>
      </c>
      <c r="C382" s="173"/>
      <c r="D382" s="173"/>
    </row>
    <row r="383" ht="15.75" customHeight="1">
      <c r="A383" s="172" t="s">
        <v>1714</v>
      </c>
      <c r="B383" s="186" t="s">
        <v>38</v>
      </c>
      <c r="C383" s="180"/>
      <c r="D383" s="180"/>
    </row>
    <row r="384" ht="15.75" customHeight="1">
      <c r="A384" s="172" t="s">
        <v>1805</v>
      </c>
      <c r="B384" s="186" t="s">
        <v>38</v>
      </c>
      <c r="C384" s="180"/>
      <c r="D384" s="180"/>
    </row>
    <row r="385" ht="15.75" customHeight="1">
      <c r="A385" s="172" t="s">
        <v>1905</v>
      </c>
      <c r="B385" s="186" t="s">
        <v>38</v>
      </c>
      <c r="C385" s="180"/>
      <c r="D385" s="180"/>
    </row>
    <row r="386" ht="15.75" customHeight="1">
      <c r="A386" s="175" t="s">
        <v>1905</v>
      </c>
      <c r="B386" s="186" t="s">
        <v>38</v>
      </c>
      <c r="C386" s="173"/>
      <c r="D386" s="173"/>
    </row>
    <row r="387" ht="15.75" customHeight="1">
      <c r="A387" s="172" t="s">
        <v>1906</v>
      </c>
      <c r="B387" s="186" t="s">
        <v>38</v>
      </c>
      <c r="C387" s="180"/>
      <c r="D387" s="180"/>
    </row>
    <row r="388" ht="15.75" customHeight="1">
      <c r="A388" s="172" t="s">
        <v>1961</v>
      </c>
      <c r="B388" s="186" t="s">
        <v>38</v>
      </c>
      <c r="C388" s="180"/>
      <c r="D388" s="180"/>
    </row>
    <row r="389" ht="15.75" customHeight="1">
      <c r="A389" s="172" t="s">
        <v>1963</v>
      </c>
      <c r="B389" s="186" t="s">
        <v>38</v>
      </c>
      <c r="C389" s="180"/>
      <c r="D389" s="180"/>
    </row>
    <row r="390" ht="15.75" customHeight="1">
      <c r="A390" s="175" t="s">
        <v>1964</v>
      </c>
      <c r="B390" s="186" t="s">
        <v>38</v>
      </c>
      <c r="C390" s="173"/>
      <c r="D390" s="173"/>
    </row>
    <row r="391" ht="15.75" customHeight="1">
      <c r="A391" s="175" t="s">
        <v>47</v>
      </c>
      <c r="B391" s="176" t="s">
        <v>46</v>
      </c>
      <c r="C391" s="167" t="s">
        <v>2403</v>
      </c>
      <c r="D391" s="167"/>
    </row>
    <row r="392" ht="15.75" customHeight="1">
      <c r="A392" s="172" t="s">
        <v>52</v>
      </c>
      <c r="B392" s="169" t="s">
        <v>46</v>
      </c>
      <c r="C392" s="170"/>
      <c r="D392" s="170"/>
    </row>
    <row r="393" ht="15.75" customHeight="1">
      <c r="A393" s="175" t="s">
        <v>57</v>
      </c>
      <c r="B393" s="175" t="s">
        <v>46</v>
      </c>
      <c r="C393" s="173"/>
      <c r="D393" s="173"/>
    </row>
    <row r="394" ht="15.75" customHeight="1">
      <c r="A394" s="172" t="s">
        <v>63</v>
      </c>
      <c r="B394" s="169" t="s">
        <v>46</v>
      </c>
      <c r="C394" s="170"/>
      <c r="D394" s="170"/>
    </row>
    <row r="395" ht="15.75" customHeight="1">
      <c r="A395" s="175" t="s">
        <v>2080</v>
      </c>
      <c r="B395" s="175" t="s">
        <v>46</v>
      </c>
      <c r="C395" s="173"/>
      <c r="D395" s="173"/>
    </row>
    <row r="396" ht="15.75" customHeight="1">
      <c r="A396" s="175" t="s">
        <v>81</v>
      </c>
      <c r="B396" s="175" t="s">
        <v>46</v>
      </c>
      <c r="C396" s="193"/>
      <c r="D396" s="193"/>
    </row>
    <row r="397" ht="15.75" customHeight="1">
      <c r="A397" s="172" t="s">
        <v>113</v>
      </c>
      <c r="B397" s="169" t="s">
        <v>46</v>
      </c>
      <c r="C397" s="170"/>
      <c r="D397" s="170"/>
    </row>
    <row r="398" ht="15.75" customHeight="1">
      <c r="A398" s="175" t="s">
        <v>115</v>
      </c>
      <c r="B398" s="176" t="s">
        <v>46</v>
      </c>
      <c r="C398" s="167"/>
      <c r="D398" s="167"/>
    </row>
    <row r="399" ht="15.75" customHeight="1">
      <c r="A399" s="175" t="s">
        <v>135</v>
      </c>
      <c r="B399" s="175" t="s">
        <v>46</v>
      </c>
      <c r="C399" s="173"/>
      <c r="D399" s="173"/>
    </row>
    <row r="400" ht="15.75" customHeight="1">
      <c r="A400" s="172" t="s">
        <v>2404</v>
      </c>
      <c r="B400" s="172" t="s">
        <v>46</v>
      </c>
      <c r="C400" s="180"/>
      <c r="D400" s="180"/>
    </row>
    <row r="401" ht="15.75" customHeight="1">
      <c r="A401" s="175" t="s">
        <v>328</v>
      </c>
      <c r="B401" s="176" t="s">
        <v>46</v>
      </c>
      <c r="C401" s="167"/>
      <c r="D401" s="167"/>
    </row>
    <row r="402" ht="15.75" customHeight="1">
      <c r="A402" s="172" t="s">
        <v>2064</v>
      </c>
      <c r="B402" s="169" t="s">
        <v>46</v>
      </c>
      <c r="C402" s="170"/>
      <c r="D402" s="170"/>
    </row>
    <row r="403" ht="15.75" customHeight="1">
      <c r="A403" s="172" t="s">
        <v>452</v>
      </c>
      <c r="B403" s="169" t="s">
        <v>46</v>
      </c>
      <c r="C403" s="170"/>
      <c r="D403" s="170"/>
    </row>
    <row r="404" ht="15.75" customHeight="1">
      <c r="A404" s="175" t="s">
        <v>528</v>
      </c>
      <c r="B404" s="176" t="s">
        <v>46</v>
      </c>
      <c r="C404" s="167"/>
      <c r="D404" s="167"/>
    </row>
    <row r="405" ht="15.75" customHeight="1">
      <c r="A405" s="175" t="s">
        <v>2405</v>
      </c>
      <c r="B405" s="176" t="s">
        <v>46</v>
      </c>
      <c r="C405" s="167"/>
      <c r="D405" s="167"/>
    </row>
    <row r="406" ht="15.75" customHeight="1">
      <c r="A406" s="175" t="s">
        <v>588</v>
      </c>
      <c r="B406" s="175" t="s">
        <v>46</v>
      </c>
      <c r="C406" s="173"/>
      <c r="D406" s="173"/>
    </row>
    <row r="407" ht="15.75" customHeight="1">
      <c r="A407" s="175" t="s">
        <v>589</v>
      </c>
      <c r="B407" s="176" t="s">
        <v>46</v>
      </c>
      <c r="C407" s="167"/>
      <c r="D407" s="167"/>
    </row>
    <row r="408" ht="15.75" customHeight="1">
      <c r="A408" s="172" t="s">
        <v>609</v>
      </c>
      <c r="B408" s="169" t="s">
        <v>46</v>
      </c>
      <c r="C408" s="170"/>
      <c r="D408" s="170"/>
    </row>
    <row r="409" ht="15.75" customHeight="1">
      <c r="A409" s="175" t="s">
        <v>665</v>
      </c>
      <c r="B409" s="175" t="s">
        <v>46</v>
      </c>
      <c r="C409" s="173"/>
      <c r="D409" s="173"/>
    </row>
    <row r="410" ht="15.75" customHeight="1">
      <c r="A410" s="172" t="s">
        <v>2346</v>
      </c>
      <c r="B410" s="169" t="s">
        <v>46</v>
      </c>
      <c r="C410" s="170"/>
      <c r="D410" s="170"/>
    </row>
    <row r="411" ht="15.75" customHeight="1">
      <c r="A411" s="175" t="s">
        <v>732</v>
      </c>
      <c r="B411" s="176" t="s">
        <v>46</v>
      </c>
      <c r="C411" s="167"/>
      <c r="D411" s="167"/>
    </row>
    <row r="412" ht="15.75" customHeight="1">
      <c r="A412" s="175" t="s">
        <v>758</v>
      </c>
      <c r="B412" s="176" t="s">
        <v>46</v>
      </c>
      <c r="C412" s="167"/>
      <c r="D412" s="167"/>
    </row>
    <row r="413" ht="15.75" customHeight="1">
      <c r="A413" s="175" t="s">
        <v>761</v>
      </c>
      <c r="B413" s="175" t="s">
        <v>46</v>
      </c>
      <c r="C413" s="173"/>
      <c r="D413" s="173"/>
    </row>
    <row r="414" ht="15.75" customHeight="1">
      <c r="A414" s="172" t="s">
        <v>771</v>
      </c>
      <c r="B414" s="172" t="s">
        <v>46</v>
      </c>
      <c r="C414" s="180"/>
      <c r="D414" s="180"/>
    </row>
    <row r="415" ht="15.75" customHeight="1">
      <c r="A415" s="175" t="s">
        <v>2349</v>
      </c>
      <c r="B415" s="175" t="s">
        <v>46</v>
      </c>
      <c r="C415" s="173"/>
      <c r="D415" s="173"/>
    </row>
    <row r="416" ht="15.75" customHeight="1">
      <c r="A416" s="172" t="s">
        <v>815</v>
      </c>
      <c r="B416" s="172" t="s">
        <v>46</v>
      </c>
      <c r="C416" s="180"/>
      <c r="D416" s="180"/>
    </row>
    <row r="417" ht="15.75" customHeight="1">
      <c r="A417" s="172" t="s">
        <v>1981</v>
      </c>
      <c r="B417" s="172" t="s">
        <v>46</v>
      </c>
      <c r="C417" s="180"/>
      <c r="D417" s="180"/>
    </row>
    <row r="418" ht="15.75" customHeight="1">
      <c r="A418" s="172" t="s">
        <v>869</v>
      </c>
      <c r="B418" s="172" t="s">
        <v>46</v>
      </c>
      <c r="C418" s="180"/>
      <c r="D418" s="180"/>
    </row>
    <row r="419" ht="15.75" customHeight="1">
      <c r="A419" s="172" t="s">
        <v>876</v>
      </c>
      <c r="B419" s="172" t="s">
        <v>46</v>
      </c>
      <c r="C419" s="180"/>
      <c r="D419" s="180"/>
    </row>
    <row r="420" ht="15.75" customHeight="1">
      <c r="A420" s="175" t="s">
        <v>884</v>
      </c>
      <c r="B420" s="175" t="s">
        <v>46</v>
      </c>
      <c r="C420" s="195"/>
      <c r="D420" s="195"/>
    </row>
    <row r="421" ht="15.75" customHeight="1">
      <c r="A421" s="172" t="s">
        <v>915</v>
      </c>
      <c r="B421" s="172" t="s">
        <v>46</v>
      </c>
      <c r="C421" s="180"/>
      <c r="D421" s="180"/>
    </row>
    <row r="422" ht="15.75" customHeight="1">
      <c r="A422" s="175" t="s">
        <v>931</v>
      </c>
      <c r="B422" s="175" t="s">
        <v>46</v>
      </c>
      <c r="C422" s="173"/>
      <c r="D422" s="173"/>
    </row>
    <row r="423" ht="15.75" customHeight="1">
      <c r="A423" s="175" t="s">
        <v>1146</v>
      </c>
      <c r="B423" s="175" t="s">
        <v>46</v>
      </c>
      <c r="C423" s="173"/>
      <c r="D423" s="173"/>
    </row>
    <row r="424" ht="15.75" customHeight="1">
      <c r="A424" s="175" t="s">
        <v>1156</v>
      </c>
      <c r="B424" s="175" t="s">
        <v>46</v>
      </c>
      <c r="C424" s="173"/>
      <c r="D424" s="173"/>
    </row>
    <row r="425" ht="15.75" customHeight="1">
      <c r="A425" s="172" t="s">
        <v>1157</v>
      </c>
      <c r="B425" s="172" t="s">
        <v>46</v>
      </c>
      <c r="C425" s="180"/>
      <c r="D425" s="180"/>
    </row>
    <row r="426" ht="15.75" customHeight="1">
      <c r="A426" s="172" t="s">
        <v>2083</v>
      </c>
      <c r="B426" s="172" t="s">
        <v>46</v>
      </c>
      <c r="C426" s="180"/>
      <c r="D426" s="180"/>
    </row>
    <row r="427" ht="15.75" customHeight="1">
      <c r="A427" s="172" t="s">
        <v>1168</v>
      </c>
      <c r="B427" s="172" t="s">
        <v>46</v>
      </c>
      <c r="C427" s="180"/>
      <c r="D427" s="180"/>
    </row>
    <row r="428" ht="15.75" customHeight="1">
      <c r="A428" s="175" t="s">
        <v>1175</v>
      </c>
      <c r="B428" s="175" t="s">
        <v>46</v>
      </c>
      <c r="C428" s="173"/>
      <c r="D428" s="173"/>
    </row>
    <row r="429" ht="15.75" customHeight="1">
      <c r="A429" s="175" t="s">
        <v>1219</v>
      </c>
      <c r="B429" s="175" t="s">
        <v>46</v>
      </c>
      <c r="C429" s="173"/>
      <c r="D429" s="173"/>
    </row>
    <row r="430" ht="15.75" customHeight="1">
      <c r="A430" s="172" t="s">
        <v>1224</v>
      </c>
      <c r="B430" s="172" t="s">
        <v>46</v>
      </c>
      <c r="C430" s="180"/>
      <c r="D430" s="180"/>
    </row>
    <row r="431" ht="15.75" customHeight="1">
      <c r="A431" s="172" t="s">
        <v>1247</v>
      </c>
      <c r="B431" s="172" t="s">
        <v>46</v>
      </c>
      <c r="C431" s="180"/>
      <c r="D431" s="180"/>
    </row>
    <row r="432" ht="15.75" customHeight="1">
      <c r="A432" s="172" t="s">
        <v>2084</v>
      </c>
      <c r="B432" s="172" t="s">
        <v>46</v>
      </c>
      <c r="C432" s="180"/>
      <c r="D432" s="180"/>
    </row>
    <row r="433" ht="15.75" customHeight="1">
      <c r="A433" s="172" t="s">
        <v>1286</v>
      </c>
      <c r="B433" s="172" t="s">
        <v>46</v>
      </c>
      <c r="C433" s="180"/>
      <c r="D433" s="180"/>
    </row>
    <row r="434" ht="15.75" customHeight="1">
      <c r="A434" s="172" t="s">
        <v>1349</v>
      </c>
      <c r="B434" s="172" t="s">
        <v>46</v>
      </c>
      <c r="C434" s="180"/>
      <c r="D434" s="180"/>
    </row>
    <row r="435" ht="15.75" customHeight="1">
      <c r="A435" s="175" t="s">
        <v>1368</v>
      </c>
      <c r="B435" s="175" t="s">
        <v>46</v>
      </c>
      <c r="C435" s="173"/>
      <c r="D435" s="173"/>
    </row>
    <row r="436" ht="15.75" customHeight="1">
      <c r="A436" s="175" t="s">
        <v>1372</v>
      </c>
      <c r="B436" s="175" t="s">
        <v>46</v>
      </c>
      <c r="C436" s="173"/>
      <c r="D436" s="173"/>
    </row>
    <row r="437" ht="15.75" customHeight="1">
      <c r="A437" s="175" t="s">
        <v>1428</v>
      </c>
      <c r="B437" s="175" t="s">
        <v>46</v>
      </c>
      <c r="C437" s="173"/>
      <c r="D437" s="173"/>
    </row>
    <row r="438" ht="15.75" customHeight="1">
      <c r="A438" s="172" t="s">
        <v>1453</v>
      </c>
      <c r="B438" s="172" t="s">
        <v>46</v>
      </c>
      <c r="C438" s="180"/>
      <c r="D438" s="180"/>
    </row>
    <row r="439" ht="15.75" customHeight="1">
      <c r="A439" s="175" t="s">
        <v>1477</v>
      </c>
      <c r="B439" s="175" t="s">
        <v>46</v>
      </c>
      <c r="C439" s="173"/>
      <c r="D439" s="173"/>
    </row>
    <row r="440" ht="15.75" customHeight="1">
      <c r="A440" s="172" t="s">
        <v>1478</v>
      </c>
      <c r="B440" s="172" t="s">
        <v>46</v>
      </c>
      <c r="C440" s="180"/>
      <c r="D440" s="180"/>
    </row>
    <row r="441" ht="15.75" customHeight="1">
      <c r="A441" s="175" t="s">
        <v>2085</v>
      </c>
      <c r="B441" s="175" t="s">
        <v>46</v>
      </c>
      <c r="C441" s="173"/>
      <c r="D441" s="173"/>
    </row>
    <row r="442" ht="15.75" customHeight="1">
      <c r="A442" s="172" t="s">
        <v>1492</v>
      </c>
      <c r="B442" s="172" t="s">
        <v>46</v>
      </c>
      <c r="C442" s="180"/>
      <c r="D442" s="180"/>
    </row>
    <row r="443" ht="15.75" customHeight="1">
      <c r="A443" s="175" t="s">
        <v>1501</v>
      </c>
      <c r="B443" s="175" t="s">
        <v>46</v>
      </c>
      <c r="C443" s="173"/>
      <c r="D443" s="173"/>
    </row>
    <row r="444" ht="15.75" customHeight="1">
      <c r="A444" s="172" t="s">
        <v>1503</v>
      </c>
      <c r="B444" s="172" t="s">
        <v>46</v>
      </c>
      <c r="C444" s="180"/>
      <c r="D444" s="180"/>
    </row>
    <row r="445" ht="15.75" customHeight="1">
      <c r="A445" s="175" t="s">
        <v>1566</v>
      </c>
      <c r="B445" s="175" t="s">
        <v>46</v>
      </c>
      <c r="C445" s="173"/>
      <c r="D445" s="173"/>
    </row>
    <row r="446" ht="15.75" customHeight="1">
      <c r="A446" s="175" t="s">
        <v>1612</v>
      </c>
      <c r="B446" s="175" t="s">
        <v>46</v>
      </c>
      <c r="C446" s="173"/>
      <c r="D446" s="173"/>
    </row>
    <row r="447" ht="15.75" customHeight="1">
      <c r="A447" s="172" t="s">
        <v>1629</v>
      </c>
      <c r="B447" s="172" t="s">
        <v>46</v>
      </c>
      <c r="C447" s="180"/>
      <c r="D447" s="180"/>
    </row>
    <row r="448" ht="15.75" customHeight="1">
      <c r="A448" s="175" t="s">
        <v>2086</v>
      </c>
      <c r="B448" s="175" t="s">
        <v>46</v>
      </c>
      <c r="C448" s="173"/>
      <c r="D448" s="173"/>
    </row>
    <row r="449" ht="15.75" customHeight="1">
      <c r="A449" s="172" t="s">
        <v>1626</v>
      </c>
      <c r="B449" s="172" t="s">
        <v>46</v>
      </c>
      <c r="C449" s="180"/>
      <c r="D449" s="180"/>
    </row>
    <row r="450" ht="15.75" customHeight="1">
      <c r="A450" s="172" t="s">
        <v>1627</v>
      </c>
      <c r="B450" s="172" t="s">
        <v>46</v>
      </c>
      <c r="C450" s="180"/>
      <c r="D450" s="180"/>
    </row>
    <row r="451" ht="15.75" customHeight="1">
      <c r="A451" s="175" t="s">
        <v>1628</v>
      </c>
      <c r="B451" s="175" t="s">
        <v>46</v>
      </c>
      <c r="C451" s="173"/>
      <c r="D451" s="173"/>
    </row>
    <row r="452" ht="15.75" customHeight="1">
      <c r="A452" s="175" t="s">
        <v>1636</v>
      </c>
      <c r="B452" s="175" t="s">
        <v>46</v>
      </c>
      <c r="C452" s="173"/>
      <c r="D452" s="173"/>
    </row>
    <row r="453" ht="15.75" customHeight="1">
      <c r="A453" s="172" t="s">
        <v>1646</v>
      </c>
      <c r="B453" s="172" t="s">
        <v>46</v>
      </c>
      <c r="C453" s="180"/>
      <c r="D453" s="180"/>
    </row>
    <row r="454" ht="15.75" customHeight="1">
      <c r="A454" s="234" t="s">
        <v>1679</v>
      </c>
      <c r="B454" s="172" t="s">
        <v>46</v>
      </c>
      <c r="C454" s="180"/>
      <c r="D454" s="180"/>
    </row>
    <row r="455" ht="15.75" customHeight="1">
      <c r="A455" s="172" t="s">
        <v>2406</v>
      </c>
      <c r="B455" s="172" t="s">
        <v>46</v>
      </c>
      <c r="C455" s="180"/>
      <c r="D455" s="180"/>
    </row>
    <row r="456" ht="15.75" customHeight="1">
      <c r="A456" s="172" t="s">
        <v>1693</v>
      </c>
      <c r="B456" s="172" t="s">
        <v>46</v>
      </c>
      <c r="C456" s="180"/>
      <c r="D456" s="180"/>
    </row>
    <row r="457" ht="15.75" customHeight="1">
      <c r="A457" s="172" t="s">
        <v>1762</v>
      </c>
      <c r="B457" s="172" t="s">
        <v>46</v>
      </c>
      <c r="C457" s="170"/>
      <c r="D457" s="170"/>
    </row>
    <row r="458" ht="15.75" customHeight="1">
      <c r="A458" s="172" t="s">
        <v>1772</v>
      </c>
      <c r="B458" s="172" t="s">
        <v>46</v>
      </c>
      <c r="C458" s="180"/>
      <c r="D458" s="180"/>
    </row>
    <row r="459" ht="15.75" customHeight="1">
      <c r="A459" s="172" t="s">
        <v>1799</v>
      </c>
      <c r="B459" s="172" t="s">
        <v>46</v>
      </c>
      <c r="C459" s="180"/>
      <c r="D459" s="180"/>
    </row>
    <row r="460" ht="15.75" customHeight="1">
      <c r="A460" s="172" t="s">
        <v>1816</v>
      </c>
      <c r="B460" s="172" t="s">
        <v>46</v>
      </c>
      <c r="C460" s="180"/>
      <c r="D460" s="180"/>
    </row>
    <row r="461" ht="15.75" customHeight="1">
      <c r="A461" s="172" t="s">
        <v>1914</v>
      </c>
      <c r="B461" s="172" t="s">
        <v>46</v>
      </c>
      <c r="C461" s="180"/>
      <c r="D461" s="180"/>
    </row>
    <row r="462" ht="15.75" customHeight="1">
      <c r="A462" s="172" t="s">
        <v>1943</v>
      </c>
      <c r="B462" s="172" t="s">
        <v>46</v>
      </c>
      <c r="C462" s="180"/>
      <c r="D462" s="180"/>
    </row>
    <row r="463" ht="15.75" customHeight="1">
      <c r="A463" s="175" t="s">
        <v>2099</v>
      </c>
      <c r="B463" s="175" t="s">
        <v>25</v>
      </c>
      <c r="C463" s="173" t="s">
        <v>2305</v>
      </c>
      <c r="D463" s="173"/>
    </row>
    <row r="464" ht="15.75" customHeight="1">
      <c r="A464" s="175" t="s">
        <v>2081</v>
      </c>
      <c r="B464" s="176" t="s">
        <v>25</v>
      </c>
      <c r="C464" s="167"/>
      <c r="D464" s="167"/>
    </row>
    <row r="465" ht="15.75" customHeight="1">
      <c r="A465" s="175" t="s">
        <v>287</v>
      </c>
      <c r="B465" s="176" t="s">
        <v>25</v>
      </c>
      <c r="C465" s="167"/>
      <c r="D465" s="167"/>
    </row>
    <row r="466" ht="15.75" customHeight="1">
      <c r="A466" s="172" t="s">
        <v>304</v>
      </c>
      <c r="B466" s="172" t="s">
        <v>25</v>
      </c>
      <c r="C466" s="180"/>
      <c r="D466" s="180"/>
    </row>
    <row r="467" ht="15.75" customHeight="1">
      <c r="A467" s="175" t="s">
        <v>696</v>
      </c>
      <c r="B467" s="176" t="s">
        <v>25</v>
      </c>
      <c r="C467" s="167"/>
      <c r="D467" s="167"/>
    </row>
    <row r="468" ht="15.75" customHeight="1">
      <c r="A468" s="175" t="s">
        <v>745</v>
      </c>
      <c r="B468" s="176" t="s">
        <v>25</v>
      </c>
      <c r="C468" s="167"/>
      <c r="D468" s="167"/>
    </row>
    <row r="469" ht="15.75" customHeight="1">
      <c r="A469" s="172" t="s">
        <v>768</v>
      </c>
      <c r="B469" s="169" t="s">
        <v>25</v>
      </c>
      <c r="C469" s="170"/>
      <c r="D469" s="170"/>
    </row>
    <row r="470" ht="15.75" customHeight="1">
      <c r="A470" s="175" t="s">
        <v>1980</v>
      </c>
      <c r="B470" s="175" t="s">
        <v>25</v>
      </c>
      <c r="C470" s="173"/>
      <c r="D470" s="173"/>
    </row>
    <row r="471" ht="15.75" customHeight="1">
      <c r="A471" s="175" t="s">
        <v>826</v>
      </c>
      <c r="B471" s="175" t="s">
        <v>25</v>
      </c>
      <c r="C471" s="173"/>
      <c r="D471" s="173"/>
    </row>
    <row r="472" ht="15.75" customHeight="1">
      <c r="A472" s="172" t="s">
        <v>826</v>
      </c>
      <c r="B472" s="172" t="s">
        <v>25</v>
      </c>
      <c r="C472" s="180"/>
      <c r="D472" s="180"/>
    </row>
    <row r="473" ht="15.75" customHeight="1">
      <c r="A473" s="175" t="s">
        <v>826</v>
      </c>
      <c r="B473" s="175" t="s">
        <v>25</v>
      </c>
      <c r="C473" s="173"/>
      <c r="D473" s="173"/>
    </row>
    <row r="474" ht="15.75" customHeight="1">
      <c r="A474" s="172" t="s">
        <v>827</v>
      </c>
      <c r="B474" s="172" t="s">
        <v>25</v>
      </c>
      <c r="C474" s="180"/>
      <c r="D474" s="180"/>
    </row>
    <row r="475" ht="15.75" customHeight="1">
      <c r="A475" s="175" t="s">
        <v>832</v>
      </c>
      <c r="B475" s="175" t="s">
        <v>25</v>
      </c>
      <c r="C475" s="173"/>
      <c r="D475" s="173"/>
    </row>
    <row r="476" ht="15.75" customHeight="1">
      <c r="A476" s="175" t="s">
        <v>845</v>
      </c>
      <c r="B476" s="175" t="s">
        <v>25</v>
      </c>
      <c r="C476" s="173"/>
      <c r="D476" s="173"/>
    </row>
    <row r="477" ht="15.75" customHeight="1">
      <c r="A477" s="172" t="s">
        <v>933</v>
      </c>
      <c r="B477" s="172" t="s">
        <v>25</v>
      </c>
      <c r="C477" s="180"/>
      <c r="D477" s="180"/>
    </row>
    <row r="478" ht="15.75" customHeight="1">
      <c r="A478" s="175" t="s">
        <v>1002</v>
      </c>
      <c r="B478" s="175" t="s">
        <v>25</v>
      </c>
      <c r="C478" s="173"/>
      <c r="D478" s="173"/>
    </row>
    <row r="479" ht="15.75" customHeight="1">
      <c r="A479" s="175" t="s">
        <v>1004</v>
      </c>
      <c r="B479" s="175" t="s">
        <v>25</v>
      </c>
      <c r="C479" s="173"/>
      <c r="D479" s="173"/>
    </row>
    <row r="480" ht="15.75" customHeight="1">
      <c r="A480" s="172" t="s">
        <v>1015</v>
      </c>
      <c r="B480" s="172" t="s">
        <v>25</v>
      </c>
      <c r="C480" s="180"/>
      <c r="D480" s="180"/>
    </row>
    <row r="481" ht="15.75" customHeight="1">
      <c r="A481" s="172" t="s">
        <v>1052</v>
      </c>
      <c r="B481" s="172" t="s">
        <v>25</v>
      </c>
      <c r="C481" s="180"/>
      <c r="D481" s="180"/>
    </row>
    <row r="482" ht="15.75" customHeight="1">
      <c r="A482" s="172" t="s">
        <v>1131</v>
      </c>
      <c r="B482" s="172" t="s">
        <v>25</v>
      </c>
      <c r="C482" s="180"/>
      <c r="D482" s="180"/>
    </row>
    <row r="483" ht="15.75" customHeight="1">
      <c r="A483" s="175" t="s">
        <v>1132</v>
      </c>
      <c r="B483" s="175" t="s">
        <v>25</v>
      </c>
      <c r="C483" s="173"/>
      <c r="D483" s="173"/>
    </row>
    <row r="484" ht="15.75" customHeight="1">
      <c r="A484" s="172" t="s">
        <v>1137</v>
      </c>
      <c r="B484" s="172" t="s">
        <v>25</v>
      </c>
      <c r="C484" s="180"/>
      <c r="D484" s="180"/>
    </row>
    <row r="485" ht="15.75" customHeight="1">
      <c r="A485" s="175" t="s">
        <v>1159</v>
      </c>
      <c r="B485" s="175" t="s">
        <v>25</v>
      </c>
      <c r="C485" s="173"/>
      <c r="D485" s="173"/>
    </row>
    <row r="486" ht="15.75" customHeight="1">
      <c r="A486" s="172" t="s">
        <v>1290</v>
      </c>
      <c r="B486" s="172" t="s">
        <v>25</v>
      </c>
      <c r="C486" s="180"/>
      <c r="D486" s="180"/>
    </row>
    <row r="487" ht="15.75" customHeight="1">
      <c r="A487" s="172" t="s">
        <v>2049</v>
      </c>
      <c r="B487" s="172" t="s">
        <v>25</v>
      </c>
      <c r="C487" s="180"/>
      <c r="D487" s="180"/>
    </row>
    <row r="488" ht="15.75" customHeight="1">
      <c r="A488" s="175" t="s">
        <v>1340</v>
      </c>
      <c r="B488" s="175" t="s">
        <v>25</v>
      </c>
      <c r="C488" s="173"/>
      <c r="D488" s="173"/>
    </row>
    <row r="489" ht="15.75" customHeight="1">
      <c r="A489" s="172" t="s">
        <v>1418</v>
      </c>
      <c r="B489" s="172" t="s">
        <v>25</v>
      </c>
      <c r="C489" s="180"/>
      <c r="D489" s="180"/>
    </row>
    <row r="490" ht="15.75" customHeight="1">
      <c r="A490" s="175" t="s">
        <v>1419</v>
      </c>
      <c r="B490" s="175" t="s">
        <v>25</v>
      </c>
      <c r="C490" s="173"/>
      <c r="D490" s="173"/>
    </row>
    <row r="491" ht="15.75" customHeight="1">
      <c r="A491" s="172" t="s">
        <v>1448</v>
      </c>
      <c r="B491" s="172" t="s">
        <v>25</v>
      </c>
      <c r="C491" s="180"/>
      <c r="D491" s="180"/>
    </row>
    <row r="492" ht="15.75" customHeight="1">
      <c r="A492" s="175" t="s">
        <v>1456</v>
      </c>
      <c r="B492" s="175" t="s">
        <v>25</v>
      </c>
      <c r="C492" s="173"/>
      <c r="D492" s="173"/>
    </row>
    <row r="493" ht="15.75" customHeight="1">
      <c r="A493" s="175" t="s">
        <v>2095</v>
      </c>
      <c r="B493" s="175" t="s">
        <v>25</v>
      </c>
      <c r="C493" s="173"/>
      <c r="D493" s="173"/>
    </row>
    <row r="494" ht="15.75" customHeight="1">
      <c r="A494" s="172" t="s">
        <v>1555</v>
      </c>
      <c r="B494" s="172" t="s">
        <v>25</v>
      </c>
      <c r="C494" s="180"/>
      <c r="D494" s="180"/>
    </row>
    <row r="495" ht="15.75" customHeight="1">
      <c r="A495" s="175" t="s">
        <v>1607</v>
      </c>
      <c r="B495" s="175" t="s">
        <v>25</v>
      </c>
      <c r="C495" s="173"/>
      <c r="D495" s="173"/>
    </row>
    <row r="496" ht="15.75" customHeight="1">
      <c r="A496" s="175" t="s">
        <v>2088</v>
      </c>
      <c r="B496" s="175" t="s">
        <v>25</v>
      </c>
      <c r="C496" s="173"/>
      <c r="D496" s="173"/>
    </row>
    <row r="497" ht="15.75" customHeight="1">
      <c r="A497" s="175" t="s">
        <v>1825</v>
      </c>
      <c r="B497" s="175" t="s">
        <v>25</v>
      </c>
      <c r="C497" s="173"/>
      <c r="D497" s="173"/>
    </row>
    <row r="498" ht="15.75" customHeight="1">
      <c r="A498" s="172" t="s">
        <v>2002</v>
      </c>
      <c r="B498" s="172" t="s">
        <v>25</v>
      </c>
      <c r="C498" s="180"/>
      <c r="D498" s="180"/>
    </row>
    <row r="499" ht="15.75" customHeight="1">
      <c r="A499" s="175" t="s">
        <v>1953</v>
      </c>
      <c r="B499" s="175" t="s">
        <v>25</v>
      </c>
      <c r="C499" s="173"/>
      <c r="D499" s="173"/>
    </row>
    <row r="500" ht="15.75" customHeight="1">
      <c r="A500" s="172" t="s">
        <v>1957</v>
      </c>
      <c r="B500" s="172" t="s">
        <v>25</v>
      </c>
      <c r="C500" s="180"/>
      <c r="D500" s="180"/>
    </row>
    <row r="501" ht="15.75" customHeight="1">
      <c r="A501" s="172" t="s">
        <v>134</v>
      </c>
      <c r="B501" s="172" t="s">
        <v>51</v>
      </c>
      <c r="C501" s="180"/>
      <c r="D501" s="180"/>
    </row>
    <row r="502" ht="15.75" customHeight="1">
      <c r="A502" s="172" t="s">
        <v>164</v>
      </c>
      <c r="B502" s="172" t="s">
        <v>51</v>
      </c>
      <c r="C502" s="173" t="s">
        <v>2114</v>
      </c>
      <c r="D502" s="173"/>
    </row>
    <row r="503" ht="15.75" customHeight="1">
      <c r="A503" s="172" t="s">
        <v>324</v>
      </c>
      <c r="B503" s="172" t="s">
        <v>51</v>
      </c>
      <c r="C503" s="180"/>
      <c r="D503" s="180"/>
    </row>
    <row r="504" ht="15.75" customHeight="1">
      <c r="A504" s="175" t="s">
        <v>2407</v>
      </c>
      <c r="B504" s="175" t="s">
        <v>51</v>
      </c>
      <c r="C504" s="193"/>
      <c r="D504" s="193"/>
    </row>
    <row r="505" ht="15.75" customHeight="1">
      <c r="A505" s="172" t="s">
        <v>509</v>
      </c>
      <c r="B505" s="176" t="s">
        <v>51</v>
      </c>
      <c r="C505" s="180"/>
      <c r="D505" s="180"/>
    </row>
    <row r="506" ht="15.75" customHeight="1">
      <c r="A506" s="172" t="s">
        <v>590</v>
      </c>
      <c r="B506" s="169" t="s">
        <v>51</v>
      </c>
      <c r="C506" s="170"/>
      <c r="D506" s="170"/>
    </row>
    <row r="507" ht="15.75" customHeight="1">
      <c r="A507" s="175" t="s">
        <v>844</v>
      </c>
      <c r="B507" s="175" t="s">
        <v>51</v>
      </c>
      <c r="C507" s="167"/>
      <c r="D507" s="167"/>
    </row>
    <row r="508" ht="15.75" customHeight="1">
      <c r="A508" s="175" t="s">
        <v>928</v>
      </c>
      <c r="B508" s="175" t="s">
        <v>51</v>
      </c>
      <c r="C508" s="173"/>
      <c r="D508" s="173"/>
    </row>
    <row r="509" ht="15.75" customHeight="1">
      <c r="A509" s="172" t="s">
        <v>977</v>
      </c>
      <c r="B509" s="172" t="s">
        <v>51</v>
      </c>
      <c r="C509" s="180"/>
      <c r="D509" s="180"/>
    </row>
    <row r="510" ht="15.75" customHeight="1">
      <c r="A510" s="175" t="s">
        <v>1022</v>
      </c>
      <c r="B510" s="175" t="s">
        <v>51</v>
      </c>
      <c r="C510" s="193"/>
      <c r="D510" s="193"/>
    </row>
    <row r="511" ht="15.75" customHeight="1">
      <c r="A511" s="176" t="s">
        <v>2094</v>
      </c>
      <c r="B511" s="175" t="s">
        <v>51</v>
      </c>
      <c r="C511" s="193"/>
      <c r="D511" s="193"/>
    </row>
    <row r="512" ht="15.75" customHeight="1">
      <c r="A512" s="172" t="s">
        <v>1986</v>
      </c>
      <c r="B512" s="169" t="s">
        <v>51</v>
      </c>
      <c r="C512" s="195"/>
      <c r="D512" s="195"/>
    </row>
    <row r="513" ht="15.75" customHeight="1">
      <c r="A513" s="172" t="s">
        <v>1549</v>
      </c>
      <c r="B513" s="172" t="s">
        <v>51</v>
      </c>
      <c r="C513" s="180"/>
      <c r="D513" s="180"/>
    </row>
    <row r="514" ht="15.75" customHeight="1">
      <c r="A514" s="172" t="s">
        <v>2408</v>
      </c>
      <c r="B514" s="172" t="s">
        <v>51</v>
      </c>
      <c r="C514" s="173"/>
      <c r="D514" s="173"/>
    </row>
    <row r="515" ht="15.75" customHeight="1">
      <c r="A515" s="176" t="s">
        <v>1568</v>
      </c>
      <c r="B515" s="175" t="s">
        <v>51</v>
      </c>
      <c r="C515" s="193" t="s">
        <v>51</v>
      </c>
      <c r="D515" s="193"/>
    </row>
    <row r="516" ht="15.75" customHeight="1">
      <c r="A516" s="175" t="s">
        <v>1676</v>
      </c>
      <c r="B516" s="175" t="s">
        <v>51</v>
      </c>
      <c r="C516" s="173"/>
      <c r="D516" s="173"/>
    </row>
    <row r="517" ht="15.75" customHeight="1">
      <c r="A517" s="175" t="s">
        <v>489</v>
      </c>
      <c r="B517" s="189" t="s">
        <v>83</v>
      </c>
      <c r="C517" s="167" t="s">
        <v>2012</v>
      </c>
      <c r="D517" s="167"/>
    </row>
    <row r="518" ht="15.75" customHeight="1">
      <c r="A518" s="175" t="s">
        <v>594</v>
      </c>
      <c r="B518" s="189" t="s">
        <v>83</v>
      </c>
      <c r="C518" s="167"/>
      <c r="D518" s="167"/>
    </row>
    <row r="519" ht="15.75" customHeight="1">
      <c r="A519" s="172" t="s">
        <v>2409</v>
      </c>
      <c r="B519" s="186" t="s">
        <v>83</v>
      </c>
      <c r="C519" s="180"/>
      <c r="D519" s="180"/>
    </row>
    <row r="520" ht="15.75" customHeight="1">
      <c r="A520" s="172" t="s">
        <v>921</v>
      </c>
      <c r="B520" s="186" t="s">
        <v>83</v>
      </c>
      <c r="C520" s="180"/>
      <c r="D520" s="180"/>
    </row>
    <row r="521" ht="15.75" customHeight="1">
      <c r="A521" s="172" t="s">
        <v>2034</v>
      </c>
      <c r="B521" s="186" t="s">
        <v>83</v>
      </c>
      <c r="C521" s="180"/>
      <c r="D521" s="180"/>
    </row>
    <row r="522" ht="15.75" customHeight="1">
      <c r="A522" s="172" t="s">
        <v>1121</v>
      </c>
      <c r="B522" s="186" t="s">
        <v>83</v>
      </c>
      <c r="C522" s="180"/>
      <c r="D522" s="180"/>
    </row>
    <row r="523" ht="15.75" customHeight="1">
      <c r="A523" s="175" t="s">
        <v>1272</v>
      </c>
      <c r="B523" s="186" t="s">
        <v>83</v>
      </c>
      <c r="C523" s="173"/>
      <c r="D523" s="173"/>
    </row>
    <row r="524" ht="15.75" customHeight="1">
      <c r="A524" s="175" t="s">
        <v>1319</v>
      </c>
      <c r="B524" s="186" t="s">
        <v>83</v>
      </c>
      <c r="C524" s="173"/>
      <c r="D524" s="173"/>
    </row>
    <row r="525" ht="15.75" customHeight="1">
      <c r="A525" s="172" t="s">
        <v>1460</v>
      </c>
      <c r="B525" s="186" t="s">
        <v>83</v>
      </c>
      <c r="C525" s="180"/>
      <c r="D525" s="180"/>
    </row>
    <row r="526" ht="15.75" customHeight="1">
      <c r="A526" s="172" t="s">
        <v>1994</v>
      </c>
      <c r="B526" s="186" t="s">
        <v>83</v>
      </c>
      <c r="C526" s="180"/>
      <c r="D526" s="180"/>
    </row>
    <row r="527" ht="15.75" customHeight="1">
      <c r="A527" s="175" t="s">
        <v>2410</v>
      </c>
      <c r="B527" s="186" t="s">
        <v>83</v>
      </c>
      <c r="C527" s="173"/>
      <c r="D527" s="173"/>
    </row>
    <row r="528" ht="15.75" customHeight="1">
      <c r="A528" s="175" t="s">
        <v>165</v>
      </c>
      <c r="B528" s="186" t="s">
        <v>152</v>
      </c>
      <c r="C528" s="173" t="s">
        <v>2012</v>
      </c>
      <c r="D528" s="173"/>
    </row>
    <row r="529" ht="15.75" customHeight="1">
      <c r="A529" s="175" t="s">
        <v>197</v>
      </c>
      <c r="B529" s="186" t="s">
        <v>152</v>
      </c>
      <c r="C529" s="173"/>
      <c r="D529" s="173"/>
    </row>
    <row r="530" ht="15.75" customHeight="1">
      <c r="A530" s="175" t="s">
        <v>496</v>
      </c>
      <c r="B530" s="189" t="s">
        <v>152</v>
      </c>
      <c r="C530" s="167"/>
      <c r="D530" s="167"/>
    </row>
    <row r="531" ht="15.75" customHeight="1">
      <c r="A531" s="175" t="s">
        <v>560</v>
      </c>
      <c r="B531" s="189" t="s">
        <v>152</v>
      </c>
      <c r="C531" s="167"/>
      <c r="D531" s="167"/>
    </row>
    <row r="532" ht="15.75" customHeight="1">
      <c r="A532" s="172" t="s">
        <v>582</v>
      </c>
      <c r="B532" s="189" t="s">
        <v>152</v>
      </c>
      <c r="C532" s="170"/>
      <c r="D532" s="170"/>
    </row>
    <row r="533" ht="15.75" customHeight="1">
      <c r="A533" s="175" t="s">
        <v>2037</v>
      </c>
      <c r="B533" s="189" t="s">
        <v>152</v>
      </c>
      <c r="C533" s="167"/>
      <c r="D533" s="167"/>
    </row>
    <row r="534" ht="15.75" customHeight="1">
      <c r="A534" s="175" t="s">
        <v>907</v>
      </c>
      <c r="B534" s="186" t="s">
        <v>152</v>
      </c>
      <c r="C534" s="173"/>
      <c r="D534" s="173"/>
    </row>
    <row r="535" ht="15.75" customHeight="1">
      <c r="A535" s="175" t="s">
        <v>926</v>
      </c>
      <c r="B535" s="186" t="s">
        <v>152</v>
      </c>
      <c r="C535" s="173"/>
      <c r="D535" s="173"/>
    </row>
    <row r="536" ht="15.75" customHeight="1">
      <c r="A536" s="172" t="s">
        <v>1145</v>
      </c>
      <c r="B536" s="189" t="s">
        <v>152</v>
      </c>
      <c r="C536" s="180"/>
      <c r="D536" s="180"/>
    </row>
    <row r="537" ht="15.75" customHeight="1">
      <c r="A537" s="172" t="s">
        <v>1200</v>
      </c>
      <c r="B537" s="186" t="s">
        <v>152</v>
      </c>
      <c r="C537" s="180"/>
      <c r="D537" s="180"/>
    </row>
    <row r="538" ht="15.75" customHeight="1">
      <c r="A538" s="175" t="s">
        <v>1201</v>
      </c>
      <c r="B538" s="186" t="s">
        <v>152</v>
      </c>
      <c r="C538" s="173"/>
      <c r="D538" s="173"/>
    </row>
    <row r="539" ht="15.75" customHeight="1">
      <c r="A539" s="172" t="s">
        <v>1362</v>
      </c>
      <c r="B539" s="186" t="s">
        <v>152</v>
      </c>
      <c r="C539" s="180"/>
      <c r="D539" s="180"/>
    </row>
    <row r="540" ht="15.75" customHeight="1">
      <c r="A540" s="172" t="s">
        <v>1847</v>
      </c>
      <c r="B540" s="186" t="s">
        <v>152</v>
      </c>
      <c r="C540" s="180"/>
      <c r="D540" s="180"/>
    </row>
    <row r="541" ht="15.75" customHeight="1">
      <c r="A541" s="169" t="s">
        <v>627</v>
      </c>
      <c r="B541" s="189" t="s">
        <v>361</v>
      </c>
      <c r="C541" s="170" t="s">
        <v>2012</v>
      </c>
      <c r="D541" s="170"/>
    </row>
    <row r="542" ht="15.75" customHeight="1">
      <c r="A542" s="172" t="s">
        <v>2348</v>
      </c>
      <c r="B542" s="186" t="s">
        <v>361</v>
      </c>
      <c r="C542" s="180"/>
      <c r="D542" s="180"/>
    </row>
    <row r="543" ht="15.75" customHeight="1">
      <c r="A543" s="175" t="s">
        <v>2033</v>
      </c>
      <c r="B543" s="186" t="s">
        <v>361</v>
      </c>
      <c r="C543" s="173"/>
      <c r="D543" s="173"/>
    </row>
    <row r="544" ht="15.75" customHeight="1">
      <c r="A544" s="172" t="s">
        <v>1037</v>
      </c>
      <c r="B544" s="186" t="s">
        <v>361</v>
      </c>
      <c r="C544" s="180"/>
      <c r="D544" s="180"/>
    </row>
    <row r="545" ht="15.75" customHeight="1">
      <c r="A545" s="172" t="s">
        <v>1088</v>
      </c>
      <c r="B545" s="186" t="s">
        <v>361</v>
      </c>
      <c r="C545" s="180"/>
      <c r="D545" s="180"/>
    </row>
    <row r="546" ht="15.75" customHeight="1">
      <c r="A546" s="172" t="s">
        <v>1581</v>
      </c>
      <c r="B546" s="186" t="s">
        <v>361</v>
      </c>
      <c r="C546" s="180"/>
      <c r="D546" s="180"/>
    </row>
    <row r="547" ht="15.75" customHeight="1">
      <c r="A547" s="169" t="s">
        <v>1752</v>
      </c>
      <c r="B547" s="186" t="s">
        <v>361</v>
      </c>
      <c r="C547" s="180"/>
      <c r="D547" s="180"/>
    </row>
    <row r="548" ht="15.75" customHeight="1">
      <c r="A548" s="175" t="s">
        <v>1781</v>
      </c>
      <c r="B548" s="186" t="s">
        <v>361</v>
      </c>
      <c r="C548" s="173"/>
      <c r="D548" s="173"/>
    </row>
    <row r="549" ht="15.75" customHeight="1">
      <c r="A549" s="172" t="s">
        <v>1807</v>
      </c>
      <c r="B549" s="186" t="s">
        <v>361</v>
      </c>
      <c r="C549" s="180"/>
      <c r="D549" s="180"/>
    </row>
    <row r="550" ht="15.75" customHeight="1">
      <c r="A550" s="175" t="s">
        <v>423</v>
      </c>
      <c r="B550" s="186" t="s">
        <v>386</v>
      </c>
      <c r="C550" s="173" t="s">
        <v>2012</v>
      </c>
      <c r="D550" s="173"/>
    </row>
    <row r="551" ht="15.75" customHeight="1">
      <c r="A551" s="175" t="s">
        <v>429</v>
      </c>
      <c r="B551" s="186" t="s">
        <v>386</v>
      </c>
      <c r="C551" s="173"/>
      <c r="D551" s="173"/>
    </row>
    <row r="552" ht="15.75" customHeight="1">
      <c r="A552" s="175" t="s">
        <v>979</v>
      </c>
      <c r="B552" s="186" t="s">
        <v>386</v>
      </c>
      <c r="C552" s="173"/>
      <c r="D552" s="173"/>
    </row>
    <row r="553" ht="15.75" customHeight="1">
      <c r="A553" s="175" t="s">
        <v>1348</v>
      </c>
      <c r="B553" s="186" t="s">
        <v>386</v>
      </c>
      <c r="C553" s="173"/>
      <c r="D553" s="173"/>
    </row>
    <row r="554" ht="15.75" customHeight="1">
      <c r="A554" s="172" t="s">
        <v>2411</v>
      </c>
      <c r="B554" s="186" t="s">
        <v>386</v>
      </c>
      <c r="C554" s="180"/>
      <c r="D554" s="180"/>
    </row>
    <row r="555" ht="15.75" customHeight="1">
      <c r="A555" s="172" t="s">
        <v>2412</v>
      </c>
      <c r="B555" s="186" t="s">
        <v>386</v>
      </c>
      <c r="C555" s="180"/>
      <c r="D555" s="180"/>
    </row>
    <row r="556" ht="15.75" customHeight="1">
      <c r="A556" s="175" t="s">
        <v>1379</v>
      </c>
      <c r="B556" s="186" t="s">
        <v>386</v>
      </c>
      <c r="C556" s="173"/>
      <c r="D556" s="173"/>
    </row>
    <row r="557" ht="15.75" customHeight="1">
      <c r="A557" s="175" t="s">
        <v>1467</v>
      </c>
      <c r="B557" s="186" t="s">
        <v>386</v>
      </c>
      <c r="C557" s="173"/>
      <c r="D557" s="173"/>
    </row>
    <row r="558" ht="15.75" customHeight="1">
      <c r="A558" s="172" t="s">
        <v>2242</v>
      </c>
      <c r="B558" s="186" t="s">
        <v>386</v>
      </c>
      <c r="C558" s="195"/>
      <c r="D558" s="195"/>
    </row>
    <row r="559" ht="15.75" customHeight="1">
      <c r="A559" s="172" t="s">
        <v>1713</v>
      </c>
      <c r="B559" s="186" t="s">
        <v>386</v>
      </c>
      <c r="C559" s="180"/>
      <c r="D559" s="180"/>
    </row>
    <row r="560" ht="15.75" customHeight="1">
      <c r="A560" s="175" t="s">
        <v>1829</v>
      </c>
      <c r="B560" s="186" t="s">
        <v>386</v>
      </c>
      <c r="C560" s="173"/>
      <c r="D560" s="173"/>
    </row>
    <row r="561" ht="15.75" customHeight="1">
      <c r="A561" s="175" t="s">
        <v>53</v>
      </c>
      <c r="B561" s="186" t="s">
        <v>250</v>
      </c>
      <c r="C561" s="173" t="s">
        <v>2012</v>
      </c>
      <c r="D561" s="173"/>
    </row>
    <row r="562" ht="15.75" customHeight="1">
      <c r="A562" s="175" t="s">
        <v>233</v>
      </c>
      <c r="B562" s="189" t="s">
        <v>250</v>
      </c>
      <c r="C562" s="167"/>
      <c r="D562" s="167"/>
    </row>
    <row r="563" ht="15.75" customHeight="1">
      <c r="A563" s="172" t="s">
        <v>432</v>
      </c>
      <c r="B563" s="186" t="s">
        <v>250</v>
      </c>
      <c r="C563" s="180"/>
      <c r="D563" s="180"/>
    </row>
    <row r="564" ht="15.75" customHeight="1">
      <c r="A564" s="175" t="s">
        <v>2103</v>
      </c>
      <c r="B564" s="186" t="s">
        <v>250</v>
      </c>
      <c r="C564" s="173"/>
      <c r="D564" s="173"/>
    </row>
    <row r="565" ht="15.75" customHeight="1">
      <c r="A565" s="172" t="s">
        <v>723</v>
      </c>
      <c r="B565" s="189" t="s">
        <v>250</v>
      </c>
      <c r="C565" s="170"/>
      <c r="D565" s="170"/>
    </row>
    <row r="566" ht="15.75" customHeight="1">
      <c r="A566" s="172" t="s">
        <v>748</v>
      </c>
      <c r="B566" s="189" t="s">
        <v>250</v>
      </c>
      <c r="C566" s="170"/>
      <c r="D566" s="170"/>
    </row>
    <row r="567" ht="15.75" customHeight="1">
      <c r="A567" s="172" t="s">
        <v>775</v>
      </c>
      <c r="B567" s="186" t="s">
        <v>250</v>
      </c>
      <c r="C567" s="180"/>
      <c r="D567" s="180"/>
    </row>
    <row r="568" ht="15.75" customHeight="1">
      <c r="A568" s="175" t="s">
        <v>996</v>
      </c>
      <c r="B568" s="186" t="s">
        <v>250</v>
      </c>
      <c r="C568" s="173"/>
      <c r="D568" s="173"/>
    </row>
    <row r="569" ht="15.75" customHeight="1">
      <c r="A569" s="172" t="s">
        <v>1018</v>
      </c>
      <c r="B569" s="186" t="s">
        <v>250</v>
      </c>
      <c r="C569" s="180"/>
      <c r="D569" s="180"/>
    </row>
    <row r="570" ht="15.75" customHeight="1">
      <c r="A570" s="172" t="s">
        <v>1147</v>
      </c>
      <c r="B570" s="186" t="s">
        <v>250</v>
      </c>
      <c r="C570" s="180"/>
      <c r="D570" s="180"/>
    </row>
    <row r="571" ht="15.75" customHeight="1">
      <c r="A571" s="175" t="s">
        <v>1387</v>
      </c>
      <c r="B571" s="186" t="s">
        <v>250</v>
      </c>
      <c r="C571" s="173"/>
      <c r="D571" s="173"/>
    </row>
    <row r="572" ht="15.75" customHeight="1">
      <c r="A572" s="172" t="s">
        <v>1778</v>
      </c>
      <c r="B572" s="186" t="s">
        <v>250</v>
      </c>
      <c r="C572" s="180"/>
      <c r="D572" s="180"/>
    </row>
    <row r="573" ht="15.75" customHeight="1">
      <c r="A573" s="175" t="s">
        <v>1904</v>
      </c>
      <c r="B573" s="186" t="s">
        <v>250</v>
      </c>
      <c r="C573" s="173"/>
      <c r="D573" s="173"/>
    </row>
    <row r="574" ht="15.75" customHeight="1">
      <c r="A574" s="175" t="s">
        <v>1962</v>
      </c>
      <c r="B574" s="186" t="s">
        <v>250</v>
      </c>
      <c r="C574" s="173"/>
      <c r="D574" s="173"/>
    </row>
    <row r="575" ht="15.75" customHeight="1">
      <c r="A575" s="172" t="s">
        <v>297</v>
      </c>
      <c r="B575" s="189" t="s">
        <v>279</v>
      </c>
      <c r="C575" s="170" t="s">
        <v>2012</v>
      </c>
      <c r="D575" s="170"/>
    </row>
    <row r="576" ht="15.75" customHeight="1">
      <c r="A576" s="175" t="s">
        <v>298</v>
      </c>
      <c r="B576" s="189" t="s">
        <v>279</v>
      </c>
      <c r="C576" s="167"/>
      <c r="D576" s="167"/>
    </row>
    <row r="577" ht="15.75" customHeight="1">
      <c r="A577" s="175" t="s">
        <v>330</v>
      </c>
      <c r="B577" s="186" t="s">
        <v>279</v>
      </c>
      <c r="C577" s="173"/>
      <c r="D577" s="173"/>
    </row>
    <row r="578" ht="15.75" customHeight="1">
      <c r="A578" s="172" t="s">
        <v>754</v>
      </c>
      <c r="B578" s="186" t="s">
        <v>279</v>
      </c>
      <c r="C578" s="180"/>
      <c r="D578" s="180"/>
    </row>
    <row r="579" ht="15.75" customHeight="1">
      <c r="A579" s="172" t="s">
        <v>2168</v>
      </c>
      <c r="B579" s="186" t="s">
        <v>279</v>
      </c>
      <c r="C579" s="180"/>
      <c r="D579" s="180"/>
    </row>
    <row r="580" ht="15.75" customHeight="1">
      <c r="A580" s="175" t="s">
        <v>2023</v>
      </c>
      <c r="B580" s="186" t="s">
        <v>279</v>
      </c>
      <c r="C580" s="173"/>
      <c r="D580" s="173"/>
    </row>
    <row r="581" ht="15.75" customHeight="1">
      <c r="A581" s="172" t="s">
        <v>1404</v>
      </c>
      <c r="B581" s="186" t="s">
        <v>279</v>
      </c>
      <c r="C581" s="180"/>
      <c r="D581" s="180"/>
    </row>
    <row r="582" ht="15.75" customHeight="1">
      <c r="A582" s="172" t="s">
        <v>2413</v>
      </c>
      <c r="B582" s="186" t="s">
        <v>279</v>
      </c>
      <c r="C582" s="180"/>
      <c r="D582" s="180"/>
    </row>
    <row r="583" ht="15.75" customHeight="1">
      <c r="A583" s="172" t="s">
        <v>1659</v>
      </c>
      <c r="B583" s="186" t="s">
        <v>279</v>
      </c>
      <c r="C583" s="180"/>
      <c r="D583" s="180"/>
    </row>
    <row r="584" ht="15.75" customHeight="1">
      <c r="A584" s="172" t="s">
        <v>255</v>
      </c>
      <c r="B584" s="189" t="s">
        <v>256</v>
      </c>
      <c r="C584" s="170" t="s">
        <v>2012</v>
      </c>
      <c r="D584" s="170"/>
    </row>
    <row r="585" ht="15.75" customHeight="1">
      <c r="A585" s="172" t="s">
        <v>411</v>
      </c>
      <c r="B585" s="189" t="s">
        <v>256</v>
      </c>
      <c r="C585" s="170"/>
      <c r="D585" s="170"/>
    </row>
    <row r="586" ht="15.75" customHeight="1">
      <c r="A586" s="172" t="s">
        <v>2118</v>
      </c>
      <c r="B586" s="189" t="s">
        <v>256</v>
      </c>
      <c r="C586" s="170"/>
      <c r="D586" s="170"/>
    </row>
    <row r="587" ht="15.75" customHeight="1">
      <c r="A587" s="175" t="s">
        <v>2414</v>
      </c>
      <c r="B587" s="186" t="s">
        <v>256</v>
      </c>
      <c r="C587" s="173"/>
      <c r="D587" s="173"/>
    </row>
    <row r="588" ht="15.75" customHeight="1">
      <c r="A588" s="172" t="s">
        <v>936</v>
      </c>
      <c r="B588" s="186" t="s">
        <v>256</v>
      </c>
      <c r="C588" s="180"/>
      <c r="D588" s="180"/>
    </row>
    <row r="589" ht="15.75" customHeight="1">
      <c r="A589" s="172" t="s">
        <v>980</v>
      </c>
      <c r="B589" s="186" t="s">
        <v>256</v>
      </c>
      <c r="C589" s="180"/>
      <c r="D589" s="180"/>
    </row>
    <row r="590" ht="15.75" customHeight="1">
      <c r="A590" s="172" t="s">
        <v>1066</v>
      </c>
      <c r="B590" s="186" t="s">
        <v>256</v>
      </c>
      <c r="C590" s="180"/>
      <c r="D590" s="180"/>
    </row>
    <row r="591" ht="15.75" customHeight="1">
      <c r="A591" s="175" t="s">
        <v>1246</v>
      </c>
      <c r="B591" s="186" t="s">
        <v>256</v>
      </c>
      <c r="C591" s="173"/>
      <c r="D591" s="173"/>
    </row>
    <row r="592" ht="15.75" customHeight="1">
      <c r="A592" s="172" t="s">
        <v>1385</v>
      </c>
      <c r="B592" s="186" t="s">
        <v>256</v>
      </c>
      <c r="C592" s="180"/>
      <c r="D592" s="180"/>
    </row>
    <row r="593" ht="15.75" customHeight="1">
      <c r="A593" s="175" t="s">
        <v>1472</v>
      </c>
      <c r="B593" s="186" t="s">
        <v>256</v>
      </c>
      <c r="C593" s="173"/>
      <c r="D593" s="173"/>
    </row>
    <row r="594" ht="15.75" customHeight="1">
      <c r="A594" s="172" t="s">
        <v>1725</v>
      </c>
      <c r="B594" s="186" t="s">
        <v>256</v>
      </c>
      <c r="C594" s="180"/>
      <c r="D594" s="180"/>
    </row>
    <row r="595" ht="15.75" customHeight="1">
      <c r="A595" s="172" t="s">
        <v>567</v>
      </c>
      <c r="B595" s="186" t="s">
        <v>338</v>
      </c>
      <c r="C595" s="180" t="s">
        <v>2012</v>
      </c>
      <c r="D595" s="180"/>
    </row>
    <row r="596" ht="15.75" customHeight="1">
      <c r="A596" s="172" t="s">
        <v>865</v>
      </c>
      <c r="B596" s="186" t="s">
        <v>338</v>
      </c>
      <c r="C596" s="180"/>
      <c r="D596" s="180"/>
    </row>
    <row r="597" ht="15.75" customHeight="1">
      <c r="A597" s="172" t="s">
        <v>1020</v>
      </c>
      <c r="B597" s="186" t="s">
        <v>338</v>
      </c>
      <c r="C597" s="180"/>
      <c r="D597" s="180"/>
    </row>
    <row r="598" ht="15.75" customHeight="1">
      <c r="A598" s="172" t="s">
        <v>1180</v>
      </c>
      <c r="B598" s="186" t="s">
        <v>338</v>
      </c>
      <c r="C598" s="180"/>
      <c r="D598" s="180"/>
    </row>
    <row r="599" ht="15.75" customHeight="1">
      <c r="A599" s="172" t="s">
        <v>1327</v>
      </c>
      <c r="B599" s="186" t="s">
        <v>338</v>
      </c>
      <c r="C599" s="180"/>
      <c r="D599" s="180"/>
    </row>
    <row r="600" ht="15.75" customHeight="1">
      <c r="A600" s="172" t="s">
        <v>1507</v>
      </c>
      <c r="B600" s="186" t="s">
        <v>338</v>
      </c>
      <c r="C600" s="180"/>
      <c r="D600" s="180"/>
    </row>
    <row r="601" ht="15.75" customHeight="1">
      <c r="A601" s="175" t="s">
        <v>1641</v>
      </c>
      <c r="B601" s="186" t="s">
        <v>338</v>
      </c>
      <c r="C601" s="173"/>
      <c r="D601" s="173"/>
    </row>
    <row r="602" ht="15.75" customHeight="1">
      <c r="A602" s="175" t="s">
        <v>1667</v>
      </c>
      <c r="B602" s="186" t="s">
        <v>338</v>
      </c>
      <c r="C602" s="173"/>
      <c r="D602" s="173"/>
    </row>
    <row r="603" ht="15.75" customHeight="1">
      <c r="A603" s="175" t="s">
        <v>1881</v>
      </c>
      <c r="B603" s="186" t="s">
        <v>338</v>
      </c>
      <c r="C603" s="193"/>
      <c r="D603" s="193"/>
    </row>
    <row r="604" ht="15.75" customHeight="1">
      <c r="A604" s="172" t="s">
        <v>1889</v>
      </c>
      <c r="B604" s="186" t="s">
        <v>338</v>
      </c>
      <c r="C604" s="180"/>
      <c r="D604" s="180"/>
    </row>
    <row r="605" ht="15.75" customHeight="1">
      <c r="A605" s="172" t="s">
        <v>36</v>
      </c>
      <c r="B605" s="189" t="s">
        <v>173</v>
      </c>
      <c r="C605" s="170" t="s">
        <v>2012</v>
      </c>
      <c r="D605" s="170"/>
    </row>
    <row r="606" ht="15.75" customHeight="1">
      <c r="A606" s="175" t="s">
        <v>118</v>
      </c>
      <c r="B606" s="189" t="s">
        <v>173</v>
      </c>
      <c r="C606" s="167"/>
      <c r="D606" s="167"/>
    </row>
    <row r="607" ht="15.75" customHeight="1">
      <c r="A607" s="187" t="s">
        <v>122</v>
      </c>
      <c r="B607" s="189" t="s">
        <v>173</v>
      </c>
      <c r="C607" s="167"/>
      <c r="D607" s="167"/>
    </row>
    <row r="608" ht="15.75" customHeight="1">
      <c r="A608" s="175" t="s">
        <v>2415</v>
      </c>
      <c r="B608" s="186" t="s">
        <v>173</v>
      </c>
      <c r="C608" s="173"/>
      <c r="D608" s="173"/>
    </row>
    <row r="609" ht="15.75" customHeight="1">
      <c r="A609" s="172" t="s">
        <v>493</v>
      </c>
      <c r="B609" s="189" t="s">
        <v>173</v>
      </c>
      <c r="C609" s="170"/>
      <c r="D609" s="170"/>
    </row>
    <row r="610" ht="15.75" customHeight="1">
      <c r="A610" s="172" t="s">
        <v>2350</v>
      </c>
      <c r="B610" s="186" t="s">
        <v>173</v>
      </c>
      <c r="C610" s="180"/>
      <c r="D610" s="180"/>
    </row>
    <row r="611" ht="15.75" customHeight="1">
      <c r="A611" s="175" t="s">
        <v>873</v>
      </c>
      <c r="B611" s="186" t="s">
        <v>173</v>
      </c>
      <c r="C611" s="173"/>
      <c r="D611" s="173"/>
    </row>
    <row r="612" ht="15.75" customHeight="1">
      <c r="A612" s="175" t="s">
        <v>910</v>
      </c>
      <c r="B612" s="186" t="s">
        <v>173</v>
      </c>
      <c r="C612" s="173"/>
      <c r="D612" s="173"/>
    </row>
    <row r="613" ht="15.75" customHeight="1">
      <c r="A613" s="172" t="s">
        <v>1003</v>
      </c>
      <c r="B613" s="186" t="s">
        <v>173</v>
      </c>
      <c r="C613" s="180"/>
      <c r="D613" s="180"/>
    </row>
    <row r="614" ht="15.75" customHeight="1">
      <c r="A614" s="175" t="s">
        <v>1461</v>
      </c>
      <c r="B614" s="186" t="s">
        <v>173</v>
      </c>
      <c r="C614" s="173"/>
      <c r="D614" s="173"/>
    </row>
    <row r="615" ht="15.75" customHeight="1">
      <c r="A615" s="175" t="s">
        <v>103</v>
      </c>
      <c r="B615" s="176" t="s">
        <v>198</v>
      </c>
      <c r="C615" s="167" t="s">
        <v>2416</v>
      </c>
      <c r="D615" s="167"/>
    </row>
    <row r="616" ht="15.75" customHeight="1">
      <c r="A616" s="175" t="s">
        <v>128</v>
      </c>
      <c r="B616" s="176" t="s">
        <v>198</v>
      </c>
      <c r="C616" s="167"/>
      <c r="D616" s="167"/>
    </row>
    <row r="617" ht="15.75" customHeight="1">
      <c r="A617" s="172" t="s">
        <v>2041</v>
      </c>
      <c r="B617" s="169" t="s">
        <v>198</v>
      </c>
      <c r="C617" s="170"/>
      <c r="D617" s="170"/>
    </row>
    <row r="618" ht="15.75" customHeight="1">
      <c r="A618" s="172" t="s">
        <v>306</v>
      </c>
      <c r="B618" s="169" t="s">
        <v>198</v>
      </c>
      <c r="C618" s="170"/>
      <c r="D618" s="170"/>
    </row>
    <row r="619" ht="15.75" customHeight="1">
      <c r="A619" s="172" t="s">
        <v>331</v>
      </c>
      <c r="B619" s="172" t="s">
        <v>198</v>
      </c>
      <c r="C619" s="180"/>
      <c r="D619" s="180"/>
    </row>
    <row r="620" ht="15.75" customHeight="1">
      <c r="A620" s="172" t="s">
        <v>2105</v>
      </c>
      <c r="B620" s="169" t="s">
        <v>198</v>
      </c>
      <c r="C620" s="170"/>
      <c r="D620" s="170"/>
    </row>
    <row r="621" ht="15.75" customHeight="1">
      <c r="A621" s="175" t="s">
        <v>2105</v>
      </c>
      <c r="B621" s="176" t="s">
        <v>198</v>
      </c>
      <c r="C621" s="167"/>
      <c r="D621" s="167"/>
    </row>
    <row r="622" ht="15.75" customHeight="1">
      <c r="A622" s="175" t="s">
        <v>2106</v>
      </c>
      <c r="B622" s="176" t="s">
        <v>198</v>
      </c>
      <c r="C622" s="167"/>
      <c r="D622" s="167"/>
    </row>
    <row r="623" ht="15.75" customHeight="1">
      <c r="A623" s="172" t="s">
        <v>2417</v>
      </c>
      <c r="B623" s="176" t="s">
        <v>198</v>
      </c>
      <c r="C623" s="167"/>
      <c r="D623" s="167"/>
    </row>
    <row r="624" ht="15.75" customHeight="1">
      <c r="A624" s="172" t="s">
        <v>2418</v>
      </c>
      <c r="B624" s="169" t="s">
        <v>198</v>
      </c>
      <c r="C624" s="170"/>
      <c r="D624" s="170"/>
    </row>
    <row r="625" ht="15.75" customHeight="1">
      <c r="A625" s="172" t="s">
        <v>2107</v>
      </c>
      <c r="B625" s="169" t="s">
        <v>198</v>
      </c>
      <c r="C625" s="170"/>
      <c r="D625" s="170"/>
    </row>
    <row r="626" ht="15.75" customHeight="1">
      <c r="A626" s="175" t="s">
        <v>2419</v>
      </c>
      <c r="B626" s="175" t="s">
        <v>198</v>
      </c>
      <c r="C626" s="170"/>
      <c r="D626" s="170"/>
    </row>
    <row r="627" ht="15.75" customHeight="1">
      <c r="A627" s="175" t="s">
        <v>722</v>
      </c>
      <c r="B627" s="176" t="s">
        <v>198</v>
      </c>
      <c r="C627" s="167"/>
      <c r="D627" s="167"/>
    </row>
    <row r="628" ht="15.75" customHeight="1">
      <c r="A628" s="175" t="s">
        <v>914</v>
      </c>
      <c r="B628" s="175" t="s">
        <v>198</v>
      </c>
      <c r="C628" s="173"/>
      <c r="D628" s="173"/>
    </row>
    <row r="629" ht="15.75" customHeight="1">
      <c r="A629" s="172" t="s">
        <v>1011</v>
      </c>
      <c r="B629" s="172" t="s">
        <v>198</v>
      </c>
      <c r="C629" s="180"/>
      <c r="D629" s="180"/>
    </row>
    <row r="630" ht="15.75" customHeight="1">
      <c r="A630" s="172" t="s">
        <v>2187</v>
      </c>
      <c r="B630" s="172" t="s">
        <v>198</v>
      </c>
      <c r="C630" s="180"/>
      <c r="D630" s="180"/>
    </row>
    <row r="631" ht="15.75" customHeight="1">
      <c r="A631" s="172" t="s">
        <v>1303</v>
      </c>
      <c r="B631" s="172" t="s">
        <v>198</v>
      </c>
      <c r="C631" s="180"/>
      <c r="D631" s="180"/>
    </row>
    <row r="632" ht="15.75" customHeight="1">
      <c r="A632" s="172" t="s">
        <v>1329</v>
      </c>
      <c r="B632" s="172" t="s">
        <v>198</v>
      </c>
      <c r="C632" s="180"/>
      <c r="D632" s="180"/>
    </row>
    <row r="633" ht="15.75" customHeight="1">
      <c r="A633" s="172" t="s">
        <v>2039</v>
      </c>
      <c r="B633" s="172" t="s">
        <v>198</v>
      </c>
      <c r="C633" s="180"/>
      <c r="D633" s="180"/>
    </row>
    <row r="634" ht="15.75" customHeight="1">
      <c r="A634" s="175" t="s">
        <v>1417</v>
      </c>
      <c r="B634" s="172" t="s">
        <v>198</v>
      </c>
      <c r="C634" s="193"/>
      <c r="D634" s="193"/>
    </row>
    <row r="635" ht="15.75" customHeight="1">
      <c r="A635" s="172" t="s">
        <v>2420</v>
      </c>
      <c r="B635" s="172" t="s">
        <v>198</v>
      </c>
      <c r="C635" s="180"/>
      <c r="D635" s="180"/>
    </row>
    <row r="636" ht="15.75" customHeight="1">
      <c r="A636" s="175" t="s">
        <v>2126</v>
      </c>
      <c r="B636" s="175" t="s">
        <v>198</v>
      </c>
      <c r="C636" s="173"/>
      <c r="D636" s="173"/>
    </row>
    <row r="637" ht="15.75" customHeight="1">
      <c r="A637" s="175" t="s">
        <v>1600</v>
      </c>
      <c r="B637" s="175" t="s">
        <v>198</v>
      </c>
      <c r="C637" s="173"/>
      <c r="D637" s="173"/>
    </row>
    <row r="638" ht="15.75" customHeight="1">
      <c r="A638" s="172" t="s">
        <v>1832</v>
      </c>
      <c r="B638" s="172" t="s">
        <v>198</v>
      </c>
      <c r="C638" s="180"/>
      <c r="D638" s="180"/>
    </row>
    <row r="639" ht="15.75" customHeight="1">
      <c r="A639" s="172" t="s">
        <v>1834</v>
      </c>
      <c r="B639" s="172" t="s">
        <v>198</v>
      </c>
      <c r="C639" s="180"/>
      <c r="D639" s="180"/>
    </row>
    <row r="640" ht="15.75" customHeight="1">
      <c r="A640" s="175" t="s">
        <v>1867</v>
      </c>
      <c r="B640" s="175" t="s">
        <v>198</v>
      </c>
      <c r="C640" s="173"/>
      <c r="D640" s="173"/>
    </row>
    <row r="641" ht="15.75" customHeight="1">
      <c r="A641" s="175" t="s">
        <v>358</v>
      </c>
      <c r="B641" s="175" t="s">
        <v>347</v>
      </c>
      <c r="C641" s="195" t="s">
        <v>2114</v>
      </c>
      <c r="D641" s="195"/>
    </row>
    <row r="642" ht="15.75" customHeight="1">
      <c r="A642" s="172" t="s">
        <v>540</v>
      </c>
      <c r="B642" s="172" t="s">
        <v>347</v>
      </c>
      <c r="C642" s="195"/>
      <c r="D642" s="195"/>
    </row>
    <row r="643" ht="15.75" customHeight="1">
      <c r="A643" s="175" t="s">
        <v>544</v>
      </c>
      <c r="B643" s="175" t="s">
        <v>347</v>
      </c>
      <c r="C643" s="180"/>
      <c r="D643" s="180"/>
    </row>
    <row r="644" ht="15.75" customHeight="1">
      <c r="A644" s="175" t="s">
        <v>2038</v>
      </c>
      <c r="B644" s="175" t="s">
        <v>347</v>
      </c>
      <c r="C644" s="199"/>
      <c r="D644" s="199"/>
    </row>
    <row r="645" ht="15.75" customHeight="1">
      <c r="A645" s="172" t="s">
        <v>1197</v>
      </c>
      <c r="B645" s="172" t="s">
        <v>347</v>
      </c>
      <c r="C645" s="195"/>
      <c r="D645" s="195"/>
    </row>
    <row r="646" ht="15.75" customHeight="1">
      <c r="A646" s="172" t="s">
        <v>1738</v>
      </c>
      <c r="B646" s="172" t="s">
        <v>347</v>
      </c>
      <c r="C646" s="180"/>
      <c r="D646" s="180"/>
    </row>
    <row r="647" ht="15.75" customHeight="1">
      <c r="A647" s="175" t="s">
        <v>1802</v>
      </c>
      <c r="B647" s="175" t="s">
        <v>347</v>
      </c>
      <c r="C647" s="170"/>
      <c r="D647" s="170"/>
    </row>
    <row r="648" ht="15.75" customHeight="1">
      <c r="A648" s="175" t="s">
        <v>1886</v>
      </c>
      <c r="B648" s="175" t="s">
        <v>347</v>
      </c>
      <c r="C648" s="195"/>
      <c r="D648" s="195"/>
    </row>
    <row r="649" ht="15.75" customHeight="1">
      <c r="A649" s="175" t="s">
        <v>964</v>
      </c>
      <c r="B649" s="169" t="s">
        <v>68</v>
      </c>
      <c r="C649" s="173" t="s">
        <v>2114</v>
      </c>
      <c r="D649" s="173"/>
    </row>
    <row r="650" ht="15.75" customHeight="1">
      <c r="A650" s="172" t="s">
        <v>1231</v>
      </c>
      <c r="B650" s="169" t="s">
        <v>68</v>
      </c>
      <c r="C650" s="193"/>
      <c r="D650" s="193"/>
    </row>
    <row r="651" ht="15.75" customHeight="1">
      <c r="A651" s="172" t="s">
        <v>1237</v>
      </c>
      <c r="B651" s="172" t="s">
        <v>68</v>
      </c>
      <c r="C651" s="180"/>
      <c r="D651" s="180"/>
    </row>
    <row r="652" ht="15.75" customHeight="1">
      <c r="A652" s="175" t="s">
        <v>262</v>
      </c>
      <c r="B652" s="189" t="s">
        <v>451</v>
      </c>
      <c r="C652" s="170" t="s">
        <v>2012</v>
      </c>
      <c r="D652" s="170"/>
    </row>
    <row r="653" ht="15.75" customHeight="1">
      <c r="A653" s="172" t="s">
        <v>349</v>
      </c>
      <c r="B653" s="186" t="s">
        <v>451</v>
      </c>
      <c r="C653" s="180"/>
      <c r="D653" s="180"/>
    </row>
    <row r="654" ht="15.75" customHeight="1">
      <c r="A654" s="172" t="s">
        <v>360</v>
      </c>
      <c r="B654" s="186" t="s">
        <v>451</v>
      </c>
      <c r="C654" s="180"/>
      <c r="D654" s="180"/>
    </row>
    <row r="655" ht="15.75" customHeight="1">
      <c r="A655" s="187" t="s">
        <v>365</v>
      </c>
      <c r="B655" s="186" t="s">
        <v>451</v>
      </c>
      <c r="C655" s="173"/>
      <c r="D655" s="173"/>
    </row>
    <row r="656" ht="15.75" customHeight="1">
      <c r="A656" s="236" t="s">
        <v>484</v>
      </c>
      <c r="B656" s="189" t="s">
        <v>451</v>
      </c>
      <c r="C656" s="167"/>
      <c r="D656" s="167"/>
    </row>
    <row r="657" ht="15.75" customHeight="1">
      <c r="A657" s="175" t="s">
        <v>688</v>
      </c>
      <c r="B657" s="189" t="s">
        <v>451</v>
      </c>
      <c r="C657" s="167"/>
      <c r="D657" s="167"/>
    </row>
    <row r="658" ht="15.75" customHeight="1">
      <c r="A658" s="175" t="s">
        <v>962</v>
      </c>
      <c r="B658" s="186" t="s">
        <v>451</v>
      </c>
      <c r="C658" s="173"/>
      <c r="D658" s="173"/>
    </row>
    <row r="659" ht="15.75" customHeight="1">
      <c r="A659" s="175" t="s">
        <v>1306</v>
      </c>
      <c r="B659" s="186" t="s">
        <v>451</v>
      </c>
      <c r="C659" s="173"/>
      <c r="D659" s="173"/>
    </row>
    <row r="660" ht="15.75" customHeight="1">
      <c r="A660" s="172" t="s">
        <v>1717</v>
      </c>
      <c r="B660" s="186" t="s">
        <v>451</v>
      </c>
      <c r="C660" s="180"/>
      <c r="D660" s="180"/>
    </row>
    <row r="661" ht="15.75" customHeight="1">
      <c r="A661" s="172" t="s">
        <v>1925</v>
      </c>
      <c r="B661" s="186" t="s">
        <v>451</v>
      </c>
      <c r="C661" s="180"/>
      <c r="D661" s="180"/>
    </row>
    <row r="662" ht="15.75" customHeight="1">
      <c r="A662" s="175" t="s">
        <v>1939</v>
      </c>
      <c r="B662" s="186" t="s">
        <v>451</v>
      </c>
      <c r="C662" s="173"/>
      <c r="D662" s="173"/>
    </row>
    <row r="663" ht="15.75" customHeight="1">
      <c r="A663" s="175" t="s">
        <v>99</v>
      </c>
      <c r="B663" s="189" t="s">
        <v>311</v>
      </c>
      <c r="C663" s="167" t="s">
        <v>2012</v>
      </c>
      <c r="D663" s="167"/>
    </row>
    <row r="664" ht="15.75" customHeight="1">
      <c r="A664" s="172" t="s">
        <v>2129</v>
      </c>
      <c r="B664" s="189" t="s">
        <v>311</v>
      </c>
      <c r="C664" s="170"/>
      <c r="D664" s="170"/>
    </row>
    <row r="665" ht="15.75" customHeight="1">
      <c r="A665" s="172" t="s">
        <v>729</v>
      </c>
      <c r="B665" s="189" t="s">
        <v>311</v>
      </c>
      <c r="C665" s="170"/>
      <c r="D665" s="170"/>
    </row>
    <row r="666" ht="15.75" customHeight="1">
      <c r="A666" s="175" t="s">
        <v>966</v>
      </c>
      <c r="B666" s="186" t="s">
        <v>311</v>
      </c>
      <c r="C666" s="173"/>
      <c r="D666" s="173"/>
    </row>
    <row r="667" ht="15.75" customHeight="1">
      <c r="A667" s="175" t="s">
        <v>1071</v>
      </c>
      <c r="B667" s="186" t="s">
        <v>311</v>
      </c>
      <c r="C667" s="173"/>
      <c r="D667" s="173"/>
    </row>
    <row r="668" ht="15.75" customHeight="1">
      <c r="A668" s="172" t="s">
        <v>2133</v>
      </c>
      <c r="B668" s="186" t="s">
        <v>311</v>
      </c>
      <c r="C668" s="180"/>
      <c r="D668" s="180"/>
    </row>
    <row r="669" ht="15.75" customHeight="1">
      <c r="A669" s="175" t="s">
        <v>1603</v>
      </c>
      <c r="B669" s="186" t="s">
        <v>311</v>
      </c>
      <c r="C669" s="173"/>
      <c r="D669" s="173"/>
    </row>
    <row r="670" ht="15.75" customHeight="1">
      <c r="A670" s="172" t="s">
        <v>1750</v>
      </c>
      <c r="B670" s="186" t="s">
        <v>311</v>
      </c>
      <c r="C670" s="180"/>
      <c r="D670" s="180"/>
    </row>
    <row r="671" ht="15.75" customHeight="1">
      <c r="A671" s="175" t="s">
        <v>1815</v>
      </c>
      <c r="B671" s="186" t="s">
        <v>311</v>
      </c>
      <c r="C671" s="173"/>
      <c r="D671" s="173"/>
    </row>
    <row r="672" ht="15.75" customHeight="1">
      <c r="A672" s="172" t="s">
        <v>1826</v>
      </c>
      <c r="B672" s="186" t="s">
        <v>311</v>
      </c>
      <c r="C672" s="180"/>
      <c r="D672" s="180"/>
    </row>
    <row r="673" ht="15.75" customHeight="1">
      <c r="A673" s="175" t="s">
        <v>1833</v>
      </c>
      <c r="B673" s="186" t="s">
        <v>311</v>
      </c>
      <c r="C673" s="173"/>
      <c r="D673" s="173"/>
    </row>
    <row r="674" ht="15.75" customHeight="1">
      <c r="A674" s="172" t="s">
        <v>756</v>
      </c>
      <c r="B674" s="189" t="s">
        <v>225</v>
      </c>
      <c r="C674" s="170" t="s">
        <v>2012</v>
      </c>
      <c r="D674" s="170"/>
    </row>
    <row r="675" ht="15.75" customHeight="1">
      <c r="A675" s="175" t="s">
        <v>776</v>
      </c>
      <c r="B675" s="186" t="s">
        <v>225</v>
      </c>
      <c r="C675" s="173"/>
      <c r="D675" s="173"/>
    </row>
    <row r="676" ht="15.75" customHeight="1">
      <c r="A676" s="175" t="s">
        <v>1983</v>
      </c>
      <c r="B676" s="186" t="s">
        <v>225</v>
      </c>
      <c r="C676" s="173"/>
      <c r="D676" s="173"/>
    </row>
    <row r="677" ht="15.75" customHeight="1">
      <c r="A677" s="175" t="s">
        <v>899</v>
      </c>
      <c r="B677" s="186" t="s">
        <v>225</v>
      </c>
      <c r="C677" s="173"/>
      <c r="D677" s="173"/>
    </row>
    <row r="678" ht="15.75" customHeight="1">
      <c r="A678" s="175" t="s">
        <v>922</v>
      </c>
      <c r="B678" s="186" t="s">
        <v>225</v>
      </c>
      <c r="C678" s="173"/>
      <c r="D678" s="173"/>
    </row>
    <row r="679" ht="15.75" customHeight="1">
      <c r="A679" s="175" t="s">
        <v>1154</v>
      </c>
      <c r="B679" s="186" t="s">
        <v>225</v>
      </c>
      <c r="C679" s="170"/>
      <c r="D679" s="170"/>
    </row>
    <row r="680" ht="15.75" customHeight="1">
      <c r="A680" s="172" t="s">
        <v>1155</v>
      </c>
      <c r="B680" s="186" t="s">
        <v>225</v>
      </c>
      <c r="C680" s="180"/>
      <c r="D680" s="180"/>
    </row>
    <row r="681" ht="15.75" customHeight="1">
      <c r="A681" s="175" t="s">
        <v>1167</v>
      </c>
      <c r="B681" s="186" t="s">
        <v>225</v>
      </c>
      <c r="C681" s="173"/>
      <c r="D681" s="173"/>
    </row>
    <row r="682" ht="15.75" customHeight="1">
      <c r="A682" s="172" t="s">
        <v>1536</v>
      </c>
      <c r="B682" s="186" t="s">
        <v>225</v>
      </c>
      <c r="C682" s="180"/>
      <c r="D682" s="180"/>
    </row>
    <row r="683" ht="15.75" customHeight="1">
      <c r="A683" s="172" t="s">
        <v>1608</v>
      </c>
      <c r="B683" s="186" t="s">
        <v>225</v>
      </c>
      <c r="C683" s="180"/>
      <c r="D683" s="180"/>
    </row>
    <row r="684" ht="15.75" customHeight="1">
      <c r="A684" s="172" t="s">
        <v>1619</v>
      </c>
      <c r="B684" s="186" t="s">
        <v>225</v>
      </c>
      <c r="C684" s="180"/>
      <c r="D684" s="180"/>
    </row>
    <row r="685" ht="15.75" customHeight="1">
      <c r="A685" s="175" t="s">
        <v>1712</v>
      </c>
      <c r="B685" s="186" t="s">
        <v>225</v>
      </c>
      <c r="C685" s="173"/>
      <c r="D685" s="173"/>
    </row>
    <row r="686" ht="15.75" customHeight="1">
      <c r="A686" s="175" t="s">
        <v>2421</v>
      </c>
      <c r="B686" s="172" t="s">
        <v>100</v>
      </c>
      <c r="C686" s="180" t="s">
        <v>2114</v>
      </c>
      <c r="D686" s="180"/>
    </row>
    <row r="687" ht="15.75" customHeight="1">
      <c r="A687" s="175" t="s">
        <v>84</v>
      </c>
      <c r="B687" s="175" t="s">
        <v>100</v>
      </c>
      <c r="C687" s="173"/>
      <c r="D687" s="173"/>
    </row>
    <row r="688" ht="15.75" customHeight="1">
      <c r="A688" s="175" t="s">
        <v>181</v>
      </c>
      <c r="B688" s="176" t="s">
        <v>100</v>
      </c>
      <c r="C688" s="167"/>
      <c r="D688" s="167"/>
    </row>
    <row r="689" ht="15.75" customHeight="1">
      <c r="A689" s="172" t="s">
        <v>2422</v>
      </c>
      <c r="B689" s="169" t="s">
        <v>100</v>
      </c>
      <c r="C689" s="170"/>
      <c r="D689" s="170"/>
    </row>
    <row r="690" ht="15.75" customHeight="1">
      <c r="A690" s="175" t="s">
        <v>219</v>
      </c>
      <c r="B690" s="237" t="s">
        <v>100</v>
      </c>
      <c r="C690" s="193"/>
      <c r="D690" s="193"/>
    </row>
    <row r="691" ht="15.75" customHeight="1">
      <c r="A691" s="172" t="s">
        <v>231</v>
      </c>
      <c r="B691" s="172" t="s">
        <v>100</v>
      </c>
      <c r="C691" s="180"/>
      <c r="D691" s="180"/>
    </row>
    <row r="692" ht="15.75" customHeight="1">
      <c r="A692" s="175" t="s">
        <v>272</v>
      </c>
      <c r="B692" s="175" t="s">
        <v>100</v>
      </c>
      <c r="C692" s="173"/>
      <c r="D692" s="173"/>
    </row>
    <row r="693" ht="15.75" customHeight="1">
      <c r="A693" s="172" t="s">
        <v>313</v>
      </c>
      <c r="B693" s="169" t="s">
        <v>100</v>
      </c>
      <c r="C693" s="170"/>
      <c r="D693" s="170"/>
    </row>
    <row r="694" ht="15.75" customHeight="1">
      <c r="A694" s="172" t="s">
        <v>325</v>
      </c>
      <c r="B694" s="169" t="s">
        <v>100</v>
      </c>
      <c r="C694" s="170"/>
      <c r="D694" s="170"/>
    </row>
    <row r="695" ht="15.75" customHeight="1">
      <c r="A695" s="172" t="s">
        <v>2176</v>
      </c>
      <c r="B695" s="169" t="s">
        <v>100</v>
      </c>
      <c r="C695" s="170"/>
      <c r="D695" s="170"/>
    </row>
    <row r="696" ht="15.75" customHeight="1">
      <c r="A696" s="172" t="s">
        <v>911</v>
      </c>
      <c r="B696" s="172" t="s">
        <v>100</v>
      </c>
      <c r="C696" s="180"/>
      <c r="D696" s="180"/>
    </row>
    <row r="697" ht="15.75" customHeight="1">
      <c r="A697" s="175" t="s">
        <v>968</v>
      </c>
      <c r="B697" s="175" t="s">
        <v>100</v>
      </c>
      <c r="C697" s="173"/>
      <c r="D697" s="173"/>
    </row>
    <row r="698" ht="15.75" customHeight="1">
      <c r="A698" s="175" t="s">
        <v>1023</v>
      </c>
      <c r="B698" s="175" t="s">
        <v>100</v>
      </c>
      <c r="C698" s="173"/>
      <c r="D698" s="173"/>
    </row>
    <row r="699" ht="15.75" customHeight="1">
      <c r="A699" s="175" t="s">
        <v>2186</v>
      </c>
      <c r="B699" s="175" t="s">
        <v>100</v>
      </c>
      <c r="C699" s="173"/>
      <c r="D699" s="173"/>
    </row>
    <row r="700" ht="15.75" customHeight="1">
      <c r="A700" s="175" t="s">
        <v>1338</v>
      </c>
      <c r="B700" s="175" t="s">
        <v>100</v>
      </c>
      <c r="C700" s="173"/>
      <c r="D700" s="173"/>
    </row>
    <row r="701" ht="15.75" customHeight="1">
      <c r="A701" s="176" t="s">
        <v>2423</v>
      </c>
      <c r="B701" s="237" t="s">
        <v>100</v>
      </c>
      <c r="C701" s="193"/>
      <c r="D701" s="193"/>
    </row>
    <row r="702" ht="15.75" customHeight="1">
      <c r="A702" s="175" t="s">
        <v>1513</v>
      </c>
      <c r="B702" s="175" t="s">
        <v>100</v>
      </c>
      <c r="C702" s="173"/>
      <c r="D702" s="173"/>
    </row>
    <row r="703" ht="15.75" customHeight="1">
      <c r="A703" s="172" t="s">
        <v>1567</v>
      </c>
      <c r="B703" s="172" t="s">
        <v>100</v>
      </c>
      <c r="C703" s="180"/>
      <c r="D703" s="180"/>
    </row>
    <row r="704" ht="15.75" customHeight="1">
      <c r="A704" s="172" t="s">
        <v>1578</v>
      </c>
      <c r="B704" s="172" t="s">
        <v>100</v>
      </c>
      <c r="C704" s="180"/>
      <c r="D704" s="180"/>
    </row>
    <row r="705" ht="15.75" customHeight="1">
      <c r="A705" s="175" t="s">
        <v>1618</v>
      </c>
      <c r="B705" s="175" t="s">
        <v>100</v>
      </c>
      <c r="C705" s="173"/>
      <c r="D705" s="173"/>
    </row>
    <row r="706" ht="15.75" customHeight="1">
      <c r="A706" s="175" t="s">
        <v>1643</v>
      </c>
      <c r="B706" s="175" t="s">
        <v>100</v>
      </c>
      <c r="C706" s="173"/>
      <c r="D706" s="173"/>
    </row>
    <row r="707" ht="15.75" customHeight="1">
      <c r="A707" s="175" t="s">
        <v>1652</v>
      </c>
      <c r="B707" s="175" t="s">
        <v>100</v>
      </c>
      <c r="C707" s="173"/>
      <c r="D707" s="173"/>
    </row>
    <row r="708" ht="15.75" customHeight="1">
      <c r="A708" s="172" t="s">
        <v>1666</v>
      </c>
      <c r="B708" s="172" t="s">
        <v>100</v>
      </c>
      <c r="C708" s="180"/>
      <c r="D708" s="180"/>
    </row>
    <row r="709" ht="15.75" customHeight="1">
      <c r="A709" s="175" t="s">
        <v>1686</v>
      </c>
      <c r="B709" s="175" t="s">
        <v>100</v>
      </c>
      <c r="C709" s="173"/>
      <c r="D709" s="173"/>
    </row>
    <row r="710" ht="15.75" customHeight="1">
      <c r="A710" s="175" t="s">
        <v>1995</v>
      </c>
      <c r="B710" s="175" t="s">
        <v>100</v>
      </c>
      <c r="C710" s="173"/>
      <c r="D710" s="173"/>
    </row>
    <row r="711" ht="15.75" customHeight="1">
      <c r="A711" s="172" t="s">
        <v>1918</v>
      </c>
      <c r="B711" s="237" t="s">
        <v>100</v>
      </c>
      <c r="C711" s="193"/>
      <c r="D711" s="193"/>
    </row>
    <row r="712" ht="15.75" customHeight="1">
      <c r="A712" s="175" t="s">
        <v>208</v>
      </c>
      <c r="B712" s="186" t="s">
        <v>218</v>
      </c>
      <c r="C712" s="201" t="s">
        <v>2012</v>
      </c>
      <c r="D712" s="201"/>
    </row>
    <row r="713" ht="15.75" customHeight="1">
      <c r="A713" s="172" t="s">
        <v>2424</v>
      </c>
      <c r="B713" s="186" t="s">
        <v>218</v>
      </c>
      <c r="C713" s="170"/>
      <c r="D713" s="170"/>
    </row>
    <row r="714" ht="15.75" customHeight="1">
      <c r="A714" s="175" t="s">
        <v>346</v>
      </c>
      <c r="B714" s="186" t="s">
        <v>218</v>
      </c>
      <c r="C714" s="173"/>
      <c r="D714" s="173"/>
    </row>
    <row r="715" ht="15.75" customHeight="1">
      <c r="A715" s="172" t="s">
        <v>606</v>
      </c>
      <c r="B715" s="186" t="s">
        <v>218</v>
      </c>
      <c r="C715" s="180"/>
      <c r="D715" s="180"/>
    </row>
    <row r="716" ht="15.75" customHeight="1">
      <c r="A716" s="175" t="s">
        <v>853</v>
      </c>
      <c r="B716" s="186" t="s">
        <v>218</v>
      </c>
      <c r="C716" s="173"/>
      <c r="D716" s="173"/>
    </row>
    <row r="717" ht="15.75" customHeight="1">
      <c r="A717" s="172" t="s">
        <v>885</v>
      </c>
      <c r="B717" s="186" t="s">
        <v>218</v>
      </c>
      <c r="C717" s="180"/>
      <c r="D717" s="180"/>
    </row>
    <row r="718" ht="15.75" customHeight="1">
      <c r="A718" s="175" t="s">
        <v>1043</v>
      </c>
      <c r="B718" s="186" t="s">
        <v>218</v>
      </c>
      <c r="C718" s="173"/>
      <c r="D718" s="173"/>
    </row>
    <row r="719" ht="15.75" customHeight="1">
      <c r="A719" s="175" t="s">
        <v>1343</v>
      </c>
      <c r="B719" s="186" t="s">
        <v>218</v>
      </c>
      <c r="C719" s="173"/>
      <c r="D719" s="173"/>
    </row>
    <row r="720" ht="15.75" customHeight="1">
      <c r="A720" s="172" t="s">
        <v>1842</v>
      </c>
      <c r="B720" s="186" t="s">
        <v>218</v>
      </c>
      <c r="C720" s="195"/>
      <c r="D720" s="195"/>
    </row>
    <row r="721" ht="15.75" customHeight="1">
      <c r="A721" s="175" t="s">
        <v>1902</v>
      </c>
      <c r="B721" s="186" t="s">
        <v>218</v>
      </c>
      <c r="C721" s="173"/>
      <c r="D721" s="173"/>
    </row>
    <row r="722" ht="15.75" customHeight="1">
      <c r="A722" s="172" t="s">
        <v>1938</v>
      </c>
      <c r="B722" s="186" t="s">
        <v>218</v>
      </c>
      <c r="C722" s="180"/>
      <c r="D722" s="180"/>
    </row>
    <row r="723" ht="15.75" customHeight="1">
      <c r="A723" s="172" t="s">
        <v>2132</v>
      </c>
      <c r="B723" s="189" t="s">
        <v>778</v>
      </c>
      <c r="C723" s="170" t="s">
        <v>2012</v>
      </c>
      <c r="D723" s="170"/>
    </row>
    <row r="724" ht="15.75" customHeight="1">
      <c r="A724" s="175" t="s">
        <v>622</v>
      </c>
      <c r="B724" s="189" t="s">
        <v>778</v>
      </c>
      <c r="C724" s="167"/>
      <c r="D724" s="167"/>
    </row>
    <row r="725" ht="15.75" customHeight="1">
      <c r="A725" s="175" t="s">
        <v>925</v>
      </c>
      <c r="B725" s="186" t="s">
        <v>778</v>
      </c>
      <c r="C725" s="195"/>
      <c r="D725" s="195"/>
    </row>
    <row r="726" ht="15.75" customHeight="1">
      <c r="A726" s="175" t="s">
        <v>1026</v>
      </c>
      <c r="B726" s="186" t="s">
        <v>778</v>
      </c>
      <c r="C726" s="173"/>
      <c r="D726" s="173"/>
    </row>
    <row r="727" ht="15.75" customHeight="1">
      <c r="A727" s="175" t="s">
        <v>2138</v>
      </c>
      <c r="B727" s="186" t="s">
        <v>778</v>
      </c>
      <c r="C727" s="173"/>
      <c r="D727" s="173"/>
    </row>
    <row r="728" ht="15.75" customHeight="1">
      <c r="A728" s="175" t="s">
        <v>1122</v>
      </c>
      <c r="B728" s="186" t="s">
        <v>778</v>
      </c>
      <c r="C728" s="173"/>
      <c r="D728" s="173"/>
    </row>
    <row r="729" ht="15.75" customHeight="1">
      <c r="A729" s="172" t="s">
        <v>1322</v>
      </c>
      <c r="B729" s="186" t="s">
        <v>778</v>
      </c>
      <c r="C729" s="180"/>
      <c r="D729" s="180"/>
    </row>
    <row r="730" ht="15.75" customHeight="1">
      <c r="A730" s="175" t="s">
        <v>1356</v>
      </c>
      <c r="B730" s="186" t="s">
        <v>778</v>
      </c>
      <c r="C730" s="173"/>
      <c r="D730" s="173"/>
    </row>
    <row r="731" ht="15.75" customHeight="1">
      <c r="A731" s="172" t="s">
        <v>1473</v>
      </c>
      <c r="B731" s="186" t="s">
        <v>778</v>
      </c>
      <c r="C731" s="180"/>
      <c r="D731" s="180"/>
    </row>
    <row r="732" ht="15.75" customHeight="1">
      <c r="A732" s="172" t="s">
        <v>2134</v>
      </c>
      <c r="B732" s="186" t="s">
        <v>778</v>
      </c>
      <c r="C732" s="180"/>
      <c r="D732" s="180"/>
    </row>
    <row r="733" ht="15.75" customHeight="1">
      <c r="A733" s="175" t="s">
        <v>686</v>
      </c>
      <c r="B733" s="189" t="s">
        <v>263</v>
      </c>
      <c r="C733" s="167" t="s">
        <v>2012</v>
      </c>
      <c r="D733" s="167"/>
    </row>
    <row r="734" ht="15.75" customHeight="1">
      <c r="A734" s="172" t="s">
        <v>1978</v>
      </c>
      <c r="B734" s="186" t="s">
        <v>263</v>
      </c>
      <c r="C734" s="180"/>
      <c r="D734" s="180"/>
    </row>
    <row r="735" ht="15.75" customHeight="1">
      <c r="A735" s="172" t="s">
        <v>1042</v>
      </c>
      <c r="B735" s="186" t="s">
        <v>263</v>
      </c>
      <c r="C735" s="180"/>
      <c r="D735" s="180"/>
    </row>
    <row r="736" ht="15.75" customHeight="1">
      <c r="A736" s="175" t="s">
        <v>1423</v>
      </c>
      <c r="B736" s="186" t="s">
        <v>263</v>
      </c>
      <c r="C736" s="173"/>
      <c r="D736" s="173"/>
    </row>
    <row r="737" ht="15.75" customHeight="1">
      <c r="A737" s="175" t="s">
        <v>1440</v>
      </c>
      <c r="B737" s="186" t="s">
        <v>263</v>
      </c>
      <c r="C737" s="173"/>
      <c r="D737" s="173"/>
    </row>
    <row r="738" ht="15.75" customHeight="1">
      <c r="A738" s="172" t="s">
        <v>1538</v>
      </c>
      <c r="B738" s="186" t="s">
        <v>263</v>
      </c>
      <c r="C738" s="180"/>
      <c r="D738" s="180"/>
    </row>
    <row r="739" ht="15.75" customHeight="1">
      <c r="A739" s="172" t="s">
        <v>1639</v>
      </c>
      <c r="B739" s="186" t="s">
        <v>263</v>
      </c>
      <c r="C739" s="180"/>
      <c r="D739" s="180"/>
    </row>
    <row r="740" ht="15.75" customHeight="1">
      <c r="A740" s="172" t="s">
        <v>1649</v>
      </c>
      <c r="B740" s="186" t="s">
        <v>263</v>
      </c>
      <c r="C740" s="180"/>
      <c r="D740" s="180"/>
    </row>
    <row r="741" ht="15.75" customHeight="1">
      <c r="A741" s="172" t="s">
        <v>1838</v>
      </c>
      <c r="B741" s="186" t="s">
        <v>263</v>
      </c>
      <c r="C741" s="180"/>
      <c r="D741" s="180"/>
    </row>
    <row r="742" ht="15.75" customHeight="1">
      <c r="A742" s="172" t="s">
        <v>28</v>
      </c>
      <c r="B742" s="189" t="s">
        <v>189</v>
      </c>
      <c r="C742" s="170" t="s">
        <v>2012</v>
      </c>
      <c r="D742" s="170"/>
    </row>
    <row r="743" ht="15.75" customHeight="1">
      <c r="A743" s="175" t="s">
        <v>30</v>
      </c>
      <c r="B743" s="189" t="s">
        <v>189</v>
      </c>
      <c r="C743" s="167"/>
      <c r="D743" s="167"/>
    </row>
    <row r="744" ht="15.75" customHeight="1">
      <c r="A744" s="172" t="s">
        <v>259</v>
      </c>
      <c r="B744" s="189" t="s">
        <v>189</v>
      </c>
      <c r="C744" s="170"/>
      <c r="D744" s="170"/>
    </row>
    <row r="745" ht="15.75" customHeight="1">
      <c r="A745" s="175" t="s">
        <v>677</v>
      </c>
      <c r="B745" s="189" t="s">
        <v>189</v>
      </c>
      <c r="C745" s="167"/>
      <c r="D745" s="167"/>
    </row>
    <row r="746" ht="15.75" customHeight="1">
      <c r="A746" s="172" t="s">
        <v>1432</v>
      </c>
      <c r="B746" s="186" t="s">
        <v>189</v>
      </c>
      <c r="C746" s="180"/>
      <c r="D746" s="180"/>
    </row>
    <row r="747" ht="15.75" customHeight="1">
      <c r="A747" s="175" t="s">
        <v>2025</v>
      </c>
      <c r="B747" s="186" t="s">
        <v>189</v>
      </c>
      <c r="C747" s="173"/>
      <c r="D747" s="173"/>
    </row>
    <row r="748" ht="15.75" customHeight="1">
      <c r="A748" s="175" t="s">
        <v>1560</v>
      </c>
      <c r="B748" s="186" t="s">
        <v>189</v>
      </c>
      <c r="C748" s="173"/>
      <c r="D748" s="173"/>
    </row>
    <row r="749" ht="15.75" customHeight="1">
      <c r="A749" s="172" t="s">
        <v>2370</v>
      </c>
      <c r="B749" s="186" t="s">
        <v>189</v>
      </c>
      <c r="C749" s="180"/>
      <c r="D749" s="180"/>
    </row>
    <row r="750" ht="15.75" customHeight="1">
      <c r="A750" s="175" t="s">
        <v>1709</v>
      </c>
      <c r="B750" s="186" t="s">
        <v>189</v>
      </c>
      <c r="C750" s="173"/>
      <c r="D750" s="173"/>
    </row>
    <row r="751" ht="15.75" customHeight="1">
      <c r="A751" s="172" t="s">
        <v>1801</v>
      </c>
      <c r="B751" s="186" t="s">
        <v>189</v>
      </c>
      <c r="C751" s="180"/>
      <c r="D751" s="180"/>
    </row>
    <row r="752" ht="15.75" customHeight="1">
      <c r="A752" s="172" t="s">
        <v>1947</v>
      </c>
      <c r="B752" s="186" t="s">
        <v>189</v>
      </c>
      <c r="C752" s="180"/>
      <c r="D752" s="180"/>
    </row>
    <row r="753" ht="15.75" customHeight="1">
      <c r="A753" s="175" t="s">
        <v>318</v>
      </c>
      <c r="B753" s="189" t="s">
        <v>166</v>
      </c>
      <c r="C753" s="167" t="s">
        <v>2012</v>
      </c>
      <c r="D753" s="167"/>
    </row>
    <row r="754" ht="15.75" customHeight="1">
      <c r="A754" s="175" t="s">
        <v>385</v>
      </c>
      <c r="B754" s="189" t="s">
        <v>166</v>
      </c>
      <c r="C754" s="173"/>
      <c r="D754" s="173"/>
    </row>
    <row r="755" ht="15.75" customHeight="1">
      <c r="A755" s="172" t="s">
        <v>2223</v>
      </c>
      <c r="B755" s="189" t="s">
        <v>166</v>
      </c>
      <c r="C755" s="170"/>
      <c r="D755" s="170"/>
    </row>
    <row r="756" ht="15.75" customHeight="1">
      <c r="A756" s="172" t="s">
        <v>693</v>
      </c>
      <c r="B756" s="189" t="s">
        <v>166</v>
      </c>
      <c r="C756" s="170"/>
      <c r="D756" s="170"/>
    </row>
    <row r="757" ht="15.75" customHeight="1">
      <c r="A757" s="172" t="s">
        <v>2224</v>
      </c>
      <c r="B757" s="186" t="s">
        <v>166</v>
      </c>
      <c r="C757" s="180"/>
      <c r="D757" s="180"/>
    </row>
    <row r="758" ht="15.75" customHeight="1">
      <c r="A758" s="175" t="s">
        <v>1051</v>
      </c>
      <c r="B758" s="186" t="s">
        <v>166</v>
      </c>
      <c r="C758" s="173"/>
      <c r="D758" s="173"/>
    </row>
    <row r="759" ht="15.75" customHeight="1">
      <c r="A759" s="172" t="s">
        <v>1257</v>
      </c>
      <c r="B759" s="186" t="s">
        <v>166</v>
      </c>
      <c r="C759" s="180"/>
      <c r="D759" s="180"/>
    </row>
    <row r="760" ht="15.75" customHeight="1">
      <c r="A760" s="172" t="s">
        <v>1278</v>
      </c>
      <c r="B760" s="186" t="s">
        <v>166</v>
      </c>
      <c r="C760" s="180"/>
      <c r="D760" s="180"/>
    </row>
    <row r="761" ht="15.75" customHeight="1">
      <c r="A761" s="172" t="s">
        <v>1512</v>
      </c>
      <c r="B761" s="186" t="s">
        <v>166</v>
      </c>
      <c r="C761" s="180"/>
      <c r="D761" s="180"/>
    </row>
    <row r="762" ht="15.75" customHeight="1">
      <c r="A762" s="175" t="s">
        <v>1661</v>
      </c>
      <c r="B762" s="186" t="s">
        <v>166</v>
      </c>
      <c r="C762" s="173"/>
      <c r="D762" s="173"/>
    </row>
    <row r="763" ht="15.75" customHeight="1">
      <c r="A763" s="175" t="s">
        <v>1924</v>
      </c>
      <c r="B763" s="186" t="s">
        <v>166</v>
      </c>
      <c r="C763" s="173"/>
      <c r="D763" s="173"/>
    </row>
    <row r="764" ht="15.75" customHeight="1">
      <c r="A764" s="175" t="s">
        <v>1945</v>
      </c>
      <c r="B764" s="186" t="s">
        <v>166</v>
      </c>
      <c r="C764" s="173"/>
      <c r="D764" s="173"/>
    </row>
    <row r="765" ht="15.75" customHeight="1">
      <c r="A765" s="172" t="s">
        <v>97</v>
      </c>
      <c r="B765" s="169" t="s">
        <v>900</v>
      </c>
      <c r="C765" s="170" t="s">
        <v>2425</v>
      </c>
      <c r="D765" s="170"/>
    </row>
    <row r="766" ht="15.75" customHeight="1">
      <c r="A766" s="175" t="s">
        <v>359</v>
      </c>
      <c r="B766" s="175" t="s">
        <v>900</v>
      </c>
      <c r="C766" s="173"/>
      <c r="D766" s="173"/>
    </row>
    <row r="767" ht="15.75" customHeight="1">
      <c r="A767" s="175" t="s">
        <v>2222</v>
      </c>
      <c r="B767" s="176" t="s">
        <v>900</v>
      </c>
      <c r="C767" s="167"/>
      <c r="D767" s="167"/>
    </row>
    <row r="768" ht="15.75" customHeight="1">
      <c r="A768" s="172" t="s">
        <v>502</v>
      </c>
      <c r="B768" s="169" t="s">
        <v>900</v>
      </c>
      <c r="C768" s="170"/>
      <c r="D768" s="170"/>
    </row>
    <row r="769" ht="15.75" customHeight="1">
      <c r="A769" s="175" t="s">
        <v>503</v>
      </c>
      <c r="B769" s="176" t="s">
        <v>900</v>
      </c>
      <c r="C769" s="167"/>
      <c r="D769" s="167"/>
    </row>
    <row r="770" ht="15.75" customHeight="1">
      <c r="A770" s="175" t="s">
        <v>507</v>
      </c>
      <c r="B770" s="175" t="s">
        <v>900</v>
      </c>
      <c r="C770" s="173"/>
      <c r="D770" s="173"/>
    </row>
    <row r="771" ht="15.75" customHeight="1">
      <c r="A771" s="172" t="s">
        <v>556</v>
      </c>
      <c r="B771" s="172" t="s">
        <v>900</v>
      </c>
      <c r="C771" s="180"/>
      <c r="D771" s="180"/>
    </row>
    <row r="772" ht="15.75" customHeight="1">
      <c r="A772" s="175" t="s">
        <v>592</v>
      </c>
      <c r="B772" s="176" t="s">
        <v>900</v>
      </c>
      <c r="C772" s="167"/>
      <c r="D772" s="167"/>
    </row>
    <row r="773" ht="15.75" customHeight="1">
      <c r="A773" s="175" t="s">
        <v>648</v>
      </c>
      <c r="B773" s="176" t="s">
        <v>900</v>
      </c>
      <c r="C773" s="167"/>
      <c r="D773" s="167"/>
    </row>
    <row r="774" ht="15.75" customHeight="1">
      <c r="A774" s="175" t="s">
        <v>653</v>
      </c>
      <c r="B774" s="175" t="s">
        <v>900</v>
      </c>
      <c r="C774" s="173"/>
      <c r="D774" s="173"/>
    </row>
    <row r="775" ht="15.75" customHeight="1">
      <c r="A775" s="172" t="s">
        <v>2110</v>
      </c>
      <c r="B775" s="169" t="s">
        <v>900</v>
      </c>
      <c r="C775" s="170"/>
      <c r="D775" s="170"/>
    </row>
    <row r="776" ht="15.75" customHeight="1">
      <c r="A776" s="175" t="s">
        <v>2230</v>
      </c>
      <c r="B776" s="175" t="s">
        <v>900</v>
      </c>
      <c r="C776" s="173"/>
      <c r="D776" s="173"/>
    </row>
    <row r="777" ht="15.75" customHeight="1">
      <c r="A777" s="175" t="s">
        <v>822</v>
      </c>
      <c r="B777" s="175" t="s">
        <v>900</v>
      </c>
      <c r="C777" s="173"/>
      <c r="D777" s="173"/>
    </row>
    <row r="778" ht="15.75" customHeight="1">
      <c r="A778" s="172" t="s">
        <v>896</v>
      </c>
      <c r="B778" s="172" t="s">
        <v>900</v>
      </c>
      <c r="C778" s="180"/>
      <c r="D778" s="180"/>
    </row>
    <row r="779" ht="15.75" customHeight="1">
      <c r="A779" s="175" t="s">
        <v>2185</v>
      </c>
      <c r="B779" s="175" t="s">
        <v>900</v>
      </c>
      <c r="C779" s="173"/>
      <c r="D779" s="173"/>
    </row>
    <row r="780" ht="15.75" customHeight="1">
      <c r="A780" s="172" t="s">
        <v>1984</v>
      </c>
      <c r="B780" s="172" t="s">
        <v>900</v>
      </c>
      <c r="C780" s="180"/>
      <c r="D780" s="180"/>
    </row>
    <row r="781" ht="15.75" customHeight="1">
      <c r="A781" s="175" t="s">
        <v>1085</v>
      </c>
      <c r="B781" s="175" t="s">
        <v>900</v>
      </c>
      <c r="C781" s="173"/>
      <c r="D781" s="173"/>
    </row>
    <row r="782" ht="15.75" customHeight="1">
      <c r="A782" s="172" t="s">
        <v>1335</v>
      </c>
      <c r="B782" s="172" t="s">
        <v>900</v>
      </c>
      <c r="C782" s="180"/>
      <c r="D782" s="180"/>
    </row>
    <row r="783" ht="15.75" customHeight="1">
      <c r="A783" s="172" t="s">
        <v>1367</v>
      </c>
      <c r="B783" s="172" t="s">
        <v>900</v>
      </c>
      <c r="C783" s="180"/>
      <c r="D783" s="180"/>
    </row>
    <row r="784" ht="15.75" customHeight="1">
      <c r="A784" s="172" t="s">
        <v>1514</v>
      </c>
      <c r="B784" s="172" t="s">
        <v>900</v>
      </c>
      <c r="C784" s="180"/>
      <c r="D784" s="180"/>
    </row>
    <row r="785" ht="15.75" customHeight="1">
      <c r="A785" s="175" t="s">
        <v>2140</v>
      </c>
      <c r="B785" s="175" t="s">
        <v>535</v>
      </c>
      <c r="C785" s="173" t="s">
        <v>2426</v>
      </c>
      <c r="D785" s="173"/>
    </row>
    <row r="786" ht="15.75" customHeight="1">
      <c r="A786" s="172" t="s">
        <v>539</v>
      </c>
      <c r="B786" s="175" t="s">
        <v>535</v>
      </c>
      <c r="C786" s="173"/>
      <c r="D786" s="173"/>
    </row>
    <row r="787" ht="15.75" customHeight="1">
      <c r="A787" s="172" t="s">
        <v>537</v>
      </c>
      <c r="B787" s="172" t="s">
        <v>535</v>
      </c>
      <c r="C787" s="180"/>
      <c r="D787" s="180"/>
    </row>
    <row r="788" ht="15.75" customHeight="1">
      <c r="A788" s="175" t="s">
        <v>2142</v>
      </c>
      <c r="B788" s="176" t="s">
        <v>535</v>
      </c>
      <c r="C788" s="167"/>
      <c r="D788" s="167"/>
    </row>
    <row r="789" ht="15.75" customHeight="1">
      <c r="A789" s="172" t="s">
        <v>1789</v>
      </c>
      <c r="B789" s="172" t="s">
        <v>535</v>
      </c>
      <c r="C789" s="180"/>
      <c r="D789" s="180"/>
    </row>
    <row r="790" ht="15.75" customHeight="1">
      <c r="A790" s="176" t="s">
        <v>1792</v>
      </c>
      <c r="B790" s="175" t="s">
        <v>535</v>
      </c>
      <c r="C790" s="173"/>
      <c r="D790" s="173"/>
    </row>
    <row r="791" ht="15.75" customHeight="1">
      <c r="A791" s="169" t="s">
        <v>1793</v>
      </c>
      <c r="B791" s="172" t="s">
        <v>535</v>
      </c>
      <c r="C791" s="180"/>
      <c r="D791" s="180"/>
    </row>
    <row r="792" ht="15.75" customHeight="1">
      <c r="A792" s="176" t="s">
        <v>1794</v>
      </c>
      <c r="B792" s="175" t="s">
        <v>535</v>
      </c>
      <c r="C792" s="173"/>
      <c r="D792" s="173"/>
    </row>
    <row r="793" ht="15.75" customHeight="1">
      <c r="A793" s="169" t="s">
        <v>1795</v>
      </c>
      <c r="B793" s="172" t="s">
        <v>535</v>
      </c>
      <c r="C793" s="180"/>
      <c r="D793" s="180"/>
    </row>
    <row r="794" ht="15.75" customHeight="1">
      <c r="A794" s="176" t="s">
        <v>1796</v>
      </c>
      <c r="B794" s="175" t="s">
        <v>535</v>
      </c>
      <c r="C794" s="173"/>
      <c r="D794" s="173"/>
    </row>
    <row r="795" ht="15.75" customHeight="1">
      <c r="A795" s="169" t="s">
        <v>1797</v>
      </c>
      <c r="B795" s="172" t="s">
        <v>535</v>
      </c>
      <c r="C795" s="180"/>
      <c r="D795" s="180"/>
    </row>
    <row r="796" ht="15.75" customHeight="1">
      <c r="A796" s="175" t="s">
        <v>1798</v>
      </c>
      <c r="B796" s="175" t="s">
        <v>535</v>
      </c>
      <c r="C796" s="173"/>
      <c r="D796" s="173"/>
    </row>
    <row r="797" ht="15.75" customHeight="1">
      <c r="A797" s="175" t="s">
        <v>780</v>
      </c>
      <c r="B797" s="175" t="s">
        <v>781</v>
      </c>
      <c r="C797" s="173" t="s">
        <v>2426</v>
      </c>
      <c r="D797" s="173"/>
    </row>
    <row r="798" ht="15.75" customHeight="1">
      <c r="A798" s="203" t="s">
        <v>782</v>
      </c>
      <c r="B798" s="203" t="s">
        <v>781</v>
      </c>
      <c r="C798" s="195"/>
      <c r="D798" s="195"/>
    </row>
    <row r="799" ht="15.75" customHeight="1">
      <c r="A799" s="175" t="s">
        <v>783</v>
      </c>
      <c r="B799" s="175" t="s">
        <v>781</v>
      </c>
      <c r="C799" s="173"/>
      <c r="D799" s="173"/>
    </row>
    <row r="800" ht="15.75" customHeight="1">
      <c r="A800" s="175" t="s">
        <v>982</v>
      </c>
      <c r="B800" s="175" t="s">
        <v>781</v>
      </c>
      <c r="C800" s="173"/>
      <c r="D800" s="173"/>
    </row>
    <row r="801" ht="15.75" customHeight="1">
      <c r="A801" s="172" t="s">
        <v>2427</v>
      </c>
      <c r="B801" s="172" t="s">
        <v>781</v>
      </c>
      <c r="C801" s="180"/>
      <c r="D801" s="180"/>
    </row>
    <row r="802" ht="15.75" customHeight="1">
      <c r="A802" s="175" t="s">
        <v>2428</v>
      </c>
      <c r="B802" s="175" t="s">
        <v>781</v>
      </c>
      <c r="C802" s="173"/>
      <c r="D802" s="173"/>
    </row>
    <row r="803" ht="15.75" customHeight="1">
      <c r="A803" s="172" t="s">
        <v>2429</v>
      </c>
      <c r="B803" s="172" t="s">
        <v>781</v>
      </c>
      <c r="C803" s="180"/>
      <c r="D803" s="180"/>
    </row>
    <row r="804" ht="15.75" customHeight="1">
      <c r="A804" s="175" t="s">
        <v>2430</v>
      </c>
      <c r="B804" s="175" t="s">
        <v>781</v>
      </c>
      <c r="C804" s="173"/>
      <c r="D804" s="173"/>
    </row>
    <row r="805" ht="15.75" customHeight="1">
      <c r="A805" s="172" t="s">
        <v>2431</v>
      </c>
      <c r="B805" s="172" t="s">
        <v>781</v>
      </c>
      <c r="C805" s="180"/>
      <c r="D805" s="180"/>
    </row>
    <row r="806" ht="15.75" customHeight="1">
      <c r="A806" s="172" t="s">
        <v>288</v>
      </c>
      <c r="B806" s="189" t="s">
        <v>258</v>
      </c>
      <c r="C806" s="170" t="s">
        <v>2012</v>
      </c>
      <c r="D806" s="170"/>
    </row>
    <row r="807" ht="15.75" customHeight="1">
      <c r="A807" s="175" t="s">
        <v>650</v>
      </c>
      <c r="B807" s="186" t="s">
        <v>258</v>
      </c>
      <c r="C807" s="173"/>
      <c r="D807" s="173"/>
    </row>
    <row r="808" ht="15.75" customHeight="1">
      <c r="A808" s="172" t="s">
        <v>2122</v>
      </c>
      <c r="B808" s="186" t="s">
        <v>258</v>
      </c>
      <c r="C808" s="180"/>
      <c r="D808" s="180"/>
    </row>
    <row r="809" ht="15.75" customHeight="1">
      <c r="A809" s="172" t="s">
        <v>689</v>
      </c>
      <c r="B809" s="189" t="s">
        <v>258</v>
      </c>
      <c r="C809" s="170"/>
      <c r="D809" s="170"/>
    </row>
    <row r="810" ht="15.75" customHeight="1">
      <c r="A810" s="175" t="s">
        <v>715</v>
      </c>
      <c r="B810" s="189" t="s">
        <v>258</v>
      </c>
      <c r="C810" s="167"/>
      <c r="D810" s="167"/>
    </row>
    <row r="811" ht="15.75" customHeight="1">
      <c r="A811" s="175" t="s">
        <v>2007</v>
      </c>
      <c r="B811" s="189" t="s">
        <v>258</v>
      </c>
      <c r="C811" s="167"/>
      <c r="D811" s="167"/>
    </row>
    <row r="812" ht="15.75" customHeight="1">
      <c r="A812" s="172" t="s">
        <v>905</v>
      </c>
      <c r="B812" s="186" t="s">
        <v>258</v>
      </c>
      <c r="C812" s="180"/>
      <c r="D812" s="180"/>
    </row>
    <row r="813" ht="15.75" customHeight="1">
      <c r="A813" s="175" t="s">
        <v>2143</v>
      </c>
      <c r="B813" s="186" t="s">
        <v>258</v>
      </c>
      <c r="C813" s="173"/>
      <c r="D813" s="173"/>
    </row>
    <row r="814" ht="15.75" customHeight="1">
      <c r="A814" s="172" t="s">
        <v>1195</v>
      </c>
      <c r="B814" s="186" t="s">
        <v>258</v>
      </c>
      <c r="C814" s="180"/>
      <c r="D814" s="180"/>
    </row>
    <row r="815" ht="15.75" customHeight="1">
      <c r="A815" s="175" t="s">
        <v>1836</v>
      </c>
      <c r="B815" s="186" t="s">
        <v>258</v>
      </c>
      <c r="C815" s="173"/>
      <c r="D815" s="173"/>
    </row>
    <row r="816" ht="15.75" customHeight="1">
      <c r="A816" s="172" t="s">
        <v>1850</v>
      </c>
      <c r="B816" s="186" t="s">
        <v>258</v>
      </c>
      <c r="C816" s="180"/>
      <c r="D816" s="180"/>
    </row>
    <row r="817" ht="15.75" customHeight="1">
      <c r="A817" s="172" t="s">
        <v>835</v>
      </c>
      <c r="B817" s="186" t="s">
        <v>403</v>
      </c>
      <c r="C817" s="180" t="s">
        <v>2012</v>
      </c>
      <c r="D817" s="180"/>
    </row>
    <row r="818" ht="15.75" customHeight="1">
      <c r="A818" s="175" t="s">
        <v>976</v>
      </c>
      <c r="B818" s="186" t="s">
        <v>403</v>
      </c>
      <c r="C818" s="173"/>
      <c r="D818" s="173"/>
    </row>
    <row r="819" ht="15.75" customHeight="1">
      <c r="A819" s="175" t="s">
        <v>1196</v>
      </c>
      <c r="B819" s="186" t="s">
        <v>403</v>
      </c>
      <c r="C819" s="173"/>
      <c r="D819" s="173"/>
    </row>
    <row r="820" ht="15.75" customHeight="1">
      <c r="A820" s="175" t="s">
        <v>2028</v>
      </c>
      <c r="B820" s="186" t="s">
        <v>403</v>
      </c>
      <c r="C820" s="173"/>
      <c r="D820" s="173"/>
    </row>
    <row r="821" ht="15.75" customHeight="1">
      <c r="A821" s="175" t="s">
        <v>1305</v>
      </c>
      <c r="B821" s="186" t="s">
        <v>403</v>
      </c>
      <c r="C821" s="180"/>
      <c r="D821" s="180"/>
    </row>
    <row r="822" ht="15.75" customHeight="1">
      <c r="A822" s="172" t="s">
        <v>1476</v>
      </c>
      <c r="B822" s="186" t="s">
        <v>403</v>
      </c>
      <c r="C822" s="180"/>
      <c r="D822" s="180"/>
    </row>
    <row r="823" ht="15.75" customHeight="1">
      <c r="A823" s="175" t="s">
        <v>1748</v>
      </c>
      <c r="B823" s="186" t="s">
        <v>403</v>
      </c>
      <c r="C823" s="173"/>
      <c r="D823" s="173"/>
    </row>
    <row r="824" ht="15.75" customHeight="1">
      <c r="A824" s="175" t="s">
        <v>2166</v>
      </c>
      <c r="B824" s="186" t="s">
        <v>403</v>
      </c>
      <c r="C824" s="173"/>
      <c r="D824" s="173"/>
    </row>
    <row r="825" ht="15.75" customHeight="1">
      <c r="A825" s="175" t="s">
        <v>191</v>
      </c>
      <c r="B825" s="186" t="s">
        <v>192</v>
      </c>
      <c r="C825" s="173" t="s">
        <v>2012</v>
      </c>
      <c r="D825" s="173"/>
    </row>
    <row r="826" ht="15.75" customHeight="1">
      <c r="A826" s="175" t="s">
        <v>251</v>
      </c>
      <c r="B826" s="189" t="s">
        <v>192</v>
      </c>
      <c r="C826" s="167"/>
      <c r="D826" s="167"/>
    </row>
    <row r="827" ht="15.75" customHeight="1">
      <c r="A827" s="175" t="s">
        <v>257</v>
      </c>
      <c r="B827" s="189" t="s">
        <v>192</v>
      </c>
      <c r="C827" s="167"/>
      <c r="D827" s="167"/>
    </row>
    <row r="828" ht="15.75" customHeight="1">
      <c r="A828" s="175" t="s">
        <v>418</v>
      </c>
      <c r="B828" s="186" t="s">
        <v>192</v>
      </c>
      <c r="C828" s="173"/>
      <c r="D828" s="173"/>
    </row>
    <row r="829" ht="15.75" customHeight="1">
      <c r="A829" s="172" t="s">
        <v>721</v>
      </c>
      <c r="B829" s="189" t="s">
        <v>192</v>
      </c>
      <c r="C829" s="170"/>
      <c r="D829" s="170"/>
    </row>
    <row r="830" ht="15.75" customHeight="1">
      <c r="A830" s="172" t="s">
        <v>846</v>
      </c>
      <c r="B830" s="186" t="s">
        <v>192</v>
      </c>
      <c r="C830" s="180"/>
      <c r="D830" s="180"/>
    </row>
    <row r="831" ht="15.75" customHeight="1">
      <c r="A831" s="172" t="s">
        <v>2031</v>
      </c>
      <c r="B831" s="186" t="s">
        <v>192</v>
      </c>
      <c r="C831" s="180"/>
      <c r="D831" s="180"/>
    </row>
    <row r="832" ht="15.75" customHeight="1">
      <c r="A832" s="175" t="s">
        <v>2027</v>
      </c>
      <c r="B832" s="186" t="s">
        <v>192</v>
      </c>
      <c r="C832" s="173"/>
      <c r="D832" s="173"/>
    </row>
    <row r="833" ht="15.75" customHeight="1">
      <c r="A833" s="172" t="s">
        <v>1824</v>
      </c>
      <c r="B833" s="186" t="s">
        <v>192</v>
      </c>
      <c r="C833" s="180"/>
      <c r="D833" s="180"/>
    </row>
    <row r="834" ht="15.75" customHeight="1">
      <c r="A834" s="175" t="s">
        <v>1855</v>
      </c>
      <c r="B834" s="189" t="s">
        <v>192</v>
      </c>
      <c r="C834" s="173"/>
      <c r="D834" s="173"/>
    </row>
    <row r="835" ht="15.75" customHeight="1">
      <c r="A835" s="175" t="s">
        <v>188</v>
      </c>
      <c r="B835" s="186" t="s">
        <v>119</v>
      </c>
      <c r="C835" s="167" t="s">
        <v>2012</v>
      </c>
      <c r="D835" s="167"/>
    </row>
    <row r="836" ht="15.75" customHeight="1">
      <c r="A836" s="175" t="s">
        <v>203</v>
      </c>
      <c r="B836" s="189" t="s">
        <v>119</v>
      </c>
      <c r="C836" s="173"/>
      <c r="D836" s="173"/>
    </row>
    <row r="837" ht="15.75" customHeight="1">
      <c r="A837" s="172" t="s">
        <v>466</v>
      </c>
      <c r="B837" s="186" t="s">
        <v>119</v>
      </c>
      <c r="C837" s="170"/>
      <c r="D837" s="170"/>
    </row>
    <row r="838" ht="15.75" customHeight="1">
      <c r="A838" s="175" t="s">
        <v>584</v>
      </c>
      <c r="B838" s="189" t="s">
        <v>119</v>
      </c>
      <c r="C838" s="167"/>
      <c r="D838" s="167"/>
    </row>
    <row r="839" ht="15.75" customHeight="1">
      <c r="A839" s="175" t="s">
        <v>725</v>
      </c>
      <c r="B839" s="186" t="s">
        <v>119</v>
      </c>
      <c r="C839" s="167"/>
      <c r="D839" s="167"/>
    </row>
    <row r="840" ht="15.75" customHeight="1">
      <c r="A840" s="175" t="s">
        <v>875</v>
      </c>
      <c r="B840" s="186" t="s">
        <v>119</v>
      </c>
      <c r="C840" s="173"/>
      <c r="D840" s="173"/>
    </row>
    <row r="841" ht="15.75" customHeight="1">
      <c r="A841" s="175" t="s">
        <v>1164</v>
      </c>
      <c r="B841" s="186" t="s">
        <v>119</v>
      </c>
      <c r="C841" s="204"/>
      <c r="D841" s="204"/>
    </row>
    <row r="842" ht="15.75" customHeight="1">
      <c r="A842" s="172" t="s">
        <v>1252</v>
      </c>
      <c r="B842" s="186" t="s">
        <v>119</v>
      </c>
      <c r="C842" s="180"/>
      <c r="D842" s="180"/>
    </row>
    <row r="843" ht="15.75" customHeight="1">
      <c r="A843" s="175" t="s">
        <v>1727</v>
      </c>
      <c r="B843" s="186" t="s">
        <v>119</v>
      </c>
      <c r="C843" s="173"/>
      <c r="D843" s="173"/>
    </row>
    <row r="844" ht="15.75" customHeight="1">
      <c r="A844" s="175" t="s">
        <v>2137</v>
      </c>
      <c r="B844" s="186" t="s">
        <v>119</v>
      </c>
      <c r="C844" s="173"/>
      <c r="D844" s="173"/>
    </row>
    <row r="845" ht="15.75" customHeight="1">
      <c r="A845" s="175" t="s">
        <v>260</v>
      </c>
      <c r="B845" s="189" t="s">
        <v>157</v>
      </c>
      <c r="C845" s="167" t="s">
        <v>2012</v>
      </c>
      <c r="D845" s="167"/>
    </row>
    <row r="846" ht="15.75" customHeight="1">
      <c r="A846" s="172" t="s">
        <v>301</v>
      </c>
      <c r="B846" s="189" t="s">
        <v>157</v>
      </c>
      <c r="C846" s="170"/>
      <c r="D846" s="170"/>
    </row>
    <row r="847" ht="15.75" customHeight="1">
      <c r="A847" s="175" t="s">
        <v>935</v>
      </c>
      <c r="B847" s="186" t="s">
        <v>157</v>
      </c>
      <c r="C847" s="173"/>
      <c r="D847" s="173"/>
    </row>
    <row r="848" ht="15.75" customHeight="1">
      <c r="A848" s="175" t="s">
        <v>990</v>
      </c>
      <c r="B848" s="186" t="s">
        <v>157</v>
      </c>
      <c r="C848" s="173"/>
      <c r="D848" s="173"/>
    </row>
    <row r="849" ht="15.75" customHeight="1">
      <c r="A849" s="172" t="s">
        <v>1313</v>
      </c>
      <c r="B849" s="186" t="s">
        <v>157</v>
      </c>
      <c r="C849" s="180"/>
      <c r="D849" s="180"/>
    </row>
    <row r="850" ht="15.75" customHeight="1">
      <c r="A850" s="172" t="s">
        <v>1572</v>
      </c>
      <c r="B850" s="186" t="s">
        <v>157</v>
      </c>
      <c r="C850" s="180"/>
      <c r="D850" s="180"/>
    </row>
    <row r="851" ht="15.75" customHeight="1">
      <c r="A851" s="172" t="s">
        <v>1589</v>
      </c>
      <c r="B851" s="186" t="s">
        <v>157</v>
      </c>
      <c r="C851" s="180"/>
      <c r="D851" s="180"/>
    </row>
    <row r="852" ht="15.75" customHeight="1">
      <c r="A852" s="172" t="s">
        <v>1602</v>
      </c>
      <c r="B852" s="186" t="s">
        <v>157</v>
      </c>
      <c r="C852" s="180"/>
      <c r="D852" s="180"/>
    </row>
    <row r="853" ht="15.75" customHeight="1">
      <c r="A853" s="175" t="s">
        <v>104</v>
      </c>
      <c r="B853" s="175" t="s">
        <v>65</v>
      </c>
      <c r="C853" s="193" t="s">
        <v>2305</v>
      </c>
      <c r="D853" s="193"/>
    </row>
    <row r="854" ht="15.75" customHeight="1">
      <c r="A854" s="172" t="s">
        <v>620</v>
      </c>
      <c r="B854" s="169" t="s">
        <v>65</v>
      </c>
      <c r="C854" s="173"/>
      <c r="D854" s="173"/>
    </row>
    <row r="855" ht="15.75" customHeight="1">
      <c r="A855" s="175" t="s">
        <v>2227</v>
      </c>
      <c r="B855" s="175" t="s">
        <v>65</v>
      </c>
      <c r="C855" s="205"/>
      <c r="D855" s="206"/>
    </row>
    <row r="856" ht="15.75" customHeight="1">
      <c r="A856" s="176" t="s">
        <v>2153</v>
      </c>
      <c r="B856" s="175" t="s">
        <v>65</v>
      </c>
      <c r="C856" s="173"/>
      <c r="D856" s="173"/>
    </row>
    <row r="857" ht="15.75" customHeight="1">
      <c r="A857" s="175" t="s">
        <v>1277</v>
      </c>
      <c r="B857" s="175" t="s">
        <v>65</v>
      </c>
      <c r="C857" s="173"/>
      <c r="D857" s="173"/>
    </row>
    <row r="858" ht="15.75" customHeight="1">
      <c r="A858" s="172" t="s">
        <v>2432</v>
      </c>
      <c r="B858" s="172" t="s">
        <v>65</v>
      </c>
      <c r="C858" s="180"/>
      <c r="D858" s="180"/>
    </row>
    <row r="859" ht="15.75" customHeight="1">
      <c r="A859" s="175" t="s">
        <v>1788</v>
      </c>
      <c r="B859" s="175" t="s">
        <v>65</v>
      </c>
      <c r="C859" s="173"/>
      <c r="D859" s="173"/>
    </row>
    <row r="860" ht="15.75" customHeight="1">
      <c r="A860" s="187" t="s">
        <v>1488</v>
      </c>
      <c r="B860" s="172" t="s">
        <v>2433</v>
      </c>
      <c r="C860" s="180"/>
      <c r="D860" s="180"/>
    </row>
    <row r="861" ht="15.75" customHeight="1">
      <c r="A861" s="172" t="s">
        <v>470</v>
      </c>
      <c r="B861" s="172" t="s">
        <v>471</v>
      </c>
      <c r="C861" s="180" t="s">
        <v>2434</v>
      </c>
      <c r="D861" s="180"/>
    </row>
    <row r="862" ht="15.75" customHeight="1">
      <c r="A862" s="175" t="s">
        <v>474</v>
      </c>
      <c r="B862" s="175" t="s">
        <v>471</v>
      </c>
      <c r="C862" s="173"/>
      <c r="D862" s="173"/>
    </row>
    <row r="863" ht="15.75" customHeight="1">
      <c r="A863" s="172" t="s">
        <v>2165</v>
      </c>
      <c r="B863" s="172" t="s">
        <v>471</v>
      </c>
      <c r="C863" s="180"/>
      <c r="D863" s="180"/>
    </row>
    <row r="864" ht="15.75" customHeight="1">
      <c r="A864" s="172" t="s">
        <v>477</v>
      </c>
      <c r="B864" s="172" t="s">
        <v>471</v>
      </c>
      <c r="C864" s="180"/>
      <c r="D864" s="180"/>
    </row>
    <row r="865" ht="15.75" customHeight="1">
      <c r="A865" s="175" t="s">
        <v>2164</v>
      </c>
      <c r="B865" s="175" t="s">
        <v>471</v>
      </c>
      <c r="C865" s="173"/>
      <c r="D865" s="173"/>
    </row>
    <row r="866" ht="15.75" customHeight="1">
      <c r="A866" s="175" t="s">
        <v>478</v>
      </c>
      <c r="B866" s="175" t="s">
        <v>471</v>
      </c>
      <c r="C866" s="173"/>
      <c r="D866" s="173"/>
    </row>
    <row r="867" ht="15.75" customHeight="1">
      <c r="A867" s="172" t="s">
        <v>481</v>
      </c>
      <c r="B867" s="172" t="s">
        <v>471</v>
      </c>
      <c r="C867" s="180"/>
      <c r="D867" s="180"/>
    </row>
    <row r="868" ht="15.75" customHeight="1">
      <c r="A868" s="175" t="s">
        <v>476</v>
      </c>
      <c r="B868" s="175" t="s">
        <v>471</v>
      </c>
      <c r="C868" s="173"/>
      <c r="D868" s="173"/>
    </row>
    <row r="869" ht="15.75" customHeight="1">
      <c r="A869" s="172" t="s">
        <v>2435</v>
      </c>
      <c r="B869" s="172" t="s">
        <v>471</v>
      </c>
      <c r="C869" s="180"/>
      <c r="D869" s="180"/>
    </row>
    <row r="870" ht="15.75" customHeight="1">
      <c r="A870" s="172" t="s">
        <v>483</v>
      </c>
      <c r="B870" s="169" t="s">
        <v>471</v>
      </c>
      <c r="C870" s="170"/>
      <c r="D870" s="170"/>
    </row>
    <row r="871" ht="15.75" customHeight="1">
      <c r="A871" s="172" t="s">
        <v>131</v>
      </c>
      <c r="B871" s="186" t="s">
        <v>562</v>
      </c>
      <c r="C871" s="170" t="s">
        <v>2012</v>
      </c>
      <c r="D871" s="170"/>
    </row>
    <row r="872" ht="15.75" customHeight="1">
      <c r="A872" s="176" t="s">
        <v>405</v>
      </c>
      <c r="B872" s="186" t="s">
        <v>562</v>
      </c>
      <c r="C872" s="193"/>
      <c r="D872" s="193"/>
    </row>
    <row r="873" ht="15.75" customHeight="1">
      <c r="A873" s="172" t="s">
        <v>417</v>
      </c>
      <c r="B873" s="186" t="s">
        <v>562</v>
      </c>
      <c r="C873" s="180"/>
      <c r="D873" s="180"/>
    </row>
    <row r="874" ht="15.75" customHeight="1">
      <c r="A874" s="172" t="s">
        <v>563</v>
      </c>
      <c r="B874" s="186" t="s">
        <v>562</v>
      </c>
      <c r="C874" s="170"/>
      <c r="D874" s="170"/>
    </row>
    <row r="875" ht="15.75" customHeight="1">
      <c r="A875" s="172" t="s">
        <v>659</v>
      </c>
      <c r="B875" s="186" t="s">
        <v>562</v>
      </c>
      <c r="C875" s="193"/>
      <c r="D875" s="193"/>
    </row>
    <row r="876" ht="15.75" customHeight="1">
      <c r="A876" s="175" t="s">
        <v>669</v>
      </c>
      <c r="B876" s="186" t="s">
        <v>562</v>
      </c>
      <c r="C876" s="173"/>
      <c r="D876" s="173"/>
    </row>
    <row r="877" ht="15.75" customHeight="1">
      <c r="A877" s="172" t="s">
        <v>1041</v>
      </c>
      <c r="B877" s="186" t="s">
        <v>562</v>
      </c>
      <c r="C877" s="173"/>
      <c r="D877" s="173"/>
    </row>
    <row r="878" ht="15.75" customHeight="1">
      <c r="A878" s="175" t="s">
        <v>1138</v>
      </c>
      <c r="B878" s="186" t="s">
        <v>562</v>
      </c>
      <c r="C878" s="173"/>
      <c r="D878" s="173"/>
    </row>
    <row r="879" ht="15.75" customHeight="1">
      <c r="A879" s="172" t="s">
        <v>1769</v>
      </c>
      <c r="B879" s="186" t="s">
        <v>562</v>
      </c>
      <c r="C879" s="180"/>
      <c r="D879" s="180"/>
    </row>
    <row r="880" ht="15.75" customHeight="1">
      <c r="A880" s="175" t="s">
        <v>2144</v>
      </c>
      <c r="B880" s="186" t="s">
        <v>562</v>
      </c>
      <c r="C880" s="173"/>
      <c r="D880" s="173"/>
    </row>
    <row r="881" ht="15.75" customHeight="1">
      <c r="A881" s="175" t="s">
        <v>1776</v>
      </c>
      <c r="B881" s="186" t="s">
        <v>562</v>
      </c>
      <c r="C881" s="173"/>
      <c r="D881" s="173"/>
    </row>
    <row r="882" ht="15.75" customHeight="1">
      <c r="A882" s="172" t="s">
        <v>1901</v>
      </c>
      <c r="B882" s="186" t="s">
        <v>562</v>
      </c>
      <c r="C882" s="180"/>
      <c r="D882" s="180"/>
    </row>
    <row r="883" ht="15.75" customHeight="1">
      <c r="A883" s="175" t="s">
        <v>2436</v>
      </c>
      <c r="B883" s="186" t="s">
        <v>562</v>
      </c>
      <c r="C883" s="193"/>
      <c r="D883" s="193"/>
    </row>
    <row r="884" ht="15.75" customHeight="1">
      <c r="A884" s="172" t="s">
        <v>2437</v>
      </c>
      <c r="B884" s="186" t="s">
        <v>187</v>
      </c>
      <c r="C884" s="180" t="s">
        <v>2012</v>
      </c>
      <c r="D884" s="180"/>
    </row>
    <row r="885" ht="15.75" customHeight="1">
      <c r="A885" s="175" t="s">
        <v>920</v>
      </c>
      <c r="B885" s="186" t="s">
        <v>187</v>
      </c>
      <c r="C885" s="173"/>
      <c r="D885" s="173"/>
    </row>
    <row r="886" ht="15.75" customHeight="1">
      <c r="A886" s="172" t="s">
        <v>947</v>
      </c>
      <c r="B886" s="186" t="s">
        <v>187</v>
      </c>
      <c r="C886" s="180"/>
      <c r="D886" s="180"/>
    </row>
    <row r="887" ht="15.75" customHeight="1">
      <c r="A887" s="172" t="s">
        <v>975</v>
      </c>
      <c r="B887" s="186" t="s">
        <v>187</v>
      </c>
      <c r="C887" s="180"/>
      <c r="D887" s="180"/>
    </row>
    <row r="888" ht="15.75" customHeight="1">
      <c r="A888" s="172" t="s">
        <v>1468</v>
      </c>
      <c r="B888" s="186" t="s">
        <v>187</v>
      </c>
      <c r="C888" s="180"/>
      <c r="D888" s="180"/>
    </row>
    <row r="889" ht="15.75" customHeight="1">
      <c r="A889" s="172" t="s">
        <v>1553</v>
      </c>
      <c r="B889" s="186" t="s">
        <v>187</v>
      </c>
      <c r="C889" s="180"/>
      <c r="D889" s="180"/>
    </row>
    <row r="890" ht="15.75" customHeight="1">
      <c r="A890" s="175" t="s">
        <v>1697</v>
      </c>
      <c r="B890" s="186" t="s">
        <v>187</v>
      </c>
      <c r="C890" s="173"/>
      <c r="D890" s="173"/>
    </row>
    <row r="891" ht="15.75" customHeight="1">
      <c r="A891" s="172" t="s">
        <v>1736</v>
      </c>
      <c r="B891" s="186" t="s">
        <v>187</v>
      </c>
      <c r="C891" s="180"/>
      <c r="D891" s="180"/>
    </row>
    <row r="892" ht="15.75" customHeight="1">
      <c r="A892" s="175" t="s">
        <v>1737</v>
      </c>
      <c r="B892" s="186" t="s">
        <v>187</v>
      </c>
      <c r="C892" s="173"/>
      <c r="D892" s="173"/>
    </row>
    <row r="893" ht="15.75" customHeight="1">
      <c r="A893" s="172" t="s">
        <v>341</v>
      </c>
      <c r="B893" s="186" t="s">
        <v>421</v>
      </c>
      <c r="C893" s="180" t="s">
        <v>2012</v>
      </c>
      <c r="D893" s="180"/>
    </row>
    <row r="894" ht="15.75" customHeight="1">
      <c r="A894" s="175" t="s">
        <v>2130</v>
      </c>
      <c r="B894" s="186" t="s">
        <v>421</v>
      </c>
      <c r="C894" s="173"/>
      <c r="D894" s="173"/>
    </row>
    <row r="895" ht="15.75" customHeight="1">
      <c r="A895" s="175" t="s">
        <v>2131</v>
      </c>
      <c r="B895" s="189" t="s">
        <v>421</v>
      </c>
      <c r="C895" s="167"/>
      <c r="D895" s="167"/>
    </row>
    <row r="896" ht="15.75" customHeight="1">
      <c r="A896" s="175" t="s">
        <v>1029</v>
      </c>
      <c r="B896" s="189" t="s">
        <v>421</v>
      </c>
      <c r="C896" s="173"/>
      <c r="D896" s="173"/>
    </row>
    <row r="897" ht="15.75" customHeight="1">
      <c r="A897" s="172" t="s">
        <v>1097</v>
      </c>
      <c r="B897" s="186" t="s">
        <v>421</v>
      </c>
      <c r="C897" s="180"/>
      <c r="D897" s="180"/>
    </row>
    <row r="898" ht="15.75" customHeight="1">
      <c r="A898" s="175" t="s">
        <v>1101</v>
      </c>
      <c r="B898" s="186" t="s">
        <v>421</v>
      </c>
      <c r="C898" s="173"/>
      <c r="D898" s="173"/>
    </row>
    <row r="899" ht="15.75" customHeight="1">
      <c r="A899" s="172" t="s">
        <v>1341</v>
      </c>
      <c r="B899" s="186" t="s">
        <v>421</v>
      </c>
      <c r="C899" s="180"/>
      <c r="D899" s="180"/>
    </row>
    <row r="900" ht="15.75" customHeight="1">
      <c r="A900" s="172" t="s">
        <v>1564</v>
      </c>
      <c r="B900" s="186" t="s">
        <v>421</v>
      </c>
      <c r="C900" s="180"/>
      <c r="D900" s="180"/>
    </row>
    <row r="901" ht="15.75" customHeight="1">
      <c r="A901" s="175" t="s">
        <v>1605</v>
      </c>
      <c r="B901" s="186" t="s">
        <v>421</v>
      </c>
      <c r="C901" s="173"/>
      <c r="D901" s="173"/>
    </row>
    <row r="902" ht="15.75" customHeight="1">
      <c r="A902" s="172" t="s">
        <v>1841</v>
      </c>
      <c r="B902" s="186" t="s">
        <v>421</v>
      </c>
      <c r="C902" s="180"/>
      <c r="D902" s="180"/>
    </row>
    <row r="903" ht="15.75" customHeight="1">
      <c r="A903" s="175" t="s">
        <v>2121</v>
      </c>
      <c r="B903" s="176" t="s">
        <v>125</v>
      </c>
      <c r="C903" s="167" t="s">
        <v>2114</v>
      </c>
      <c r="D903" s="167"/>
    </row>
    <row r="904" ht="15.75" customHeight="1">
      <c r="A904" s="172" t="s">
        <v>455</v>
      </c>
      <c r="B904" s="169" t="s">
        <v>125</v>
      </c>
      <c r="C904" s="170"/>
      <c r="D904" s="170"/>
    </row>
    <row r="905" ht="15.75" customHeight="1">
      <c r="A905" s="169" t="s">
        <v>796</v>
      </c>
      <c r="B905" s="172" t="s">
        <v>125</v>
      </c>
      <c r="C905" s="180"/>
      <c r="D905" s="180"/>
    </row>
    <row r="906" ht="15.75" customHeight="1">
      <c r="A906" s="175" t="s">
        <v>1183</v>
      </c>
      <c r="B906" s="175" t="s">
        <v>125</v>
      </c>
      <c r="C906" s="173"/>
      <c r="D906" s="173"/>
    </row>
    <row r="907" ht="15.75" customHeight="1">
      <c r="A907" s="175" t="s">
        <v>2237</v>
      </c>
      <c r="B907" s="175" t="s">
        <v>125</v>
      </c>
      <c r="C907" s="173"/>
      <c r="D907" s="173"/>
    </row>
    <row r="908" ht="15.75" customHeight="1">
      <c r="A908" s="172" t="s">
        <v>525</v>
      </c>
      <c r="B908" s="169" t="s">
        <v>234</v>
      </c>
      <c r="C908" s="170" t="s">
        <v>2114</v>
      </c>
      <c r="D908" s="170"/>
    </row>
    <row r="909" ht="15.75" customHeight="1">
      <c r="A909" s="175" t="s">
        <v>676</v>
      </c>
      <c r="B909" s="175" t="s">
        <v>234</v>
      </c>
      <c r="C909" s="180"/>
      <c r="D909" s="180"/>
    </row>
    <row r="910" ht="15.75" customHeight="1">
      <c r="A910" s="175" t="s">
        <v>2220</v>
      </c>
      <c r="B910" s="176" t="s">
        <v>234</v>
      </c>
      <c r="C910" s="167"/>
      <c r="D910" s="167"/>
    </row>
    <row r="911" ht="15.75" customHeight="1">
      <c r="A911" s="175" t="s">
        <v>1979</v>
      </c>
      <c r="B911" s="176" t="s">
        <v>234</v>
      </c>
      <c r="C911" s="167"/>
      <c r="D911" s="167"/>
    </row>
    <row r="912" ht="15.75" customHeight="1">
      <c r="A912" s="175" t="s">
        <v>939</v>
      </c>
      <c r="B912" s="175" t="s">
        <v>234</v>
      </c>
      <c r="C912" s="173"/>
      <c r="D912" s="173"/>
    </row>
    <row r="913" ht="15.75" customHeight="1">
      <c r="A913" s="172" t="s">
        <v>983</v>
      </c>
      <c r="B913" s="172" t="s">
        <v>234</v>
      </c>
      <c r="C913" s="180"/>
      <c r="D913" s="180"/>
    </row>
    <row r="914" ht="15.75" customHeight="1">
      <c r="A914" s="175" t="s">
        <v>1063</v>
      </c>
      <c r="B914" s="175" t="s">
        <v>234</v>
      </c>
      <c r="C914" s="173"/>
      <c r="D914" s="173"/>
    </row>
    <row r="915" ht="15.75" customHeight="1">
      <c r="A915" s="175" t="s">
        <v>1171</v>
      </c>
      <c r="B915" s="175" t="s">
        <v>234</v>
      </c>
      <c r="C915" s="173"/>
      <c r="D915" s="173"/>
    </row>
    <row r="916" ht="15.75" customHeight="1">
      <c r="A916" s="175" t="s">
        <v>1254</v>
      </c>
      <c r="B916" s="175" t="s">
        <v>234</v>
      </c>
      <c r="C916" s="173"/>
      <c r="D916" s="173"/>
    </row>
    <row r="917" ht="15.75" customHeight="1">
      <c r="A917" s="172" t="s">
        <v>1275</v>
      </c>
      <c r="B917" s="172" t="s">
        <v>234</v>
      </c>
      <c r="C917" s="180"/>
      <c r="D917" s="180"/>
    </row>
    <row r="918" ht="15.75" customHeight="1">
      <c r="A918" s="175" t="s">
        <v>1353</v>
      </c>
      <c r="B918" s="175" t="s">
        <v>234</v>
      </c>
      <c r="C918" s="173"/>
      <c r="D918" s="173"/>
    </row>
    <row r="919" ht="15.75" customHeight="1">
      <c r="A919" s="172" t="s">
        <v>1353</v>
      </c>
      <c r="B919" s="172" t="s">
        <v>234</v>
      </c>
      <c r="C919" s="180"/>
      <c r="D919" s="180"/>
    </row>
    <row r="920" ht="15.75" customHeight="1">
      <c r="A920" s="175" t="s">
        <v>1395</v>
      </c>
      <c r="B920" s="175" t="s">
        <v>234</v>
      </c>
      <c r="C920" s="173"/>
      <c r="D920" s="173"/>
    </row>
    <row r="921" ht="15.75" customHeight="1">
      <c r="A921" s="175" t="s">
        <v>1415</v>
      </c>
      <c r="B921" s="175" t="s">
        <v>234</v>
      </c>
      <c r="C921" s="173"/>
      <c r="D921" s="173"/>
    </row>
    <row r="922" ht="15.75" customHeight="1">
      <c r="A922" s="175" t="s">
        <v>1733</v>
      </c>
      <c r="B922" s="175" t="s">
        <v>234</v>
      </c>
      <c r="C922" s="173"/>
      <c r="D922" s="173"/>
    </row>
    <row r="923" ht="15.75" customHeight="1">
      <c r="A923" s="175" t="s">
        <v>2000</v>
      </c>
      <c r="B923" s="175" t="s">
        <v>234</v>
      </c>
      <c r="C923" s="173"/>
      <c r="D923" s="173"/>
    </row>
    <row r="924" ht="15.75" customHeight="1">
      <c r="A924" s="175" t="s">
        <v>2161</v>
      </c>
      <c r="B924" s="175" t="s">
        <v>155</v>
      </c>
      <c r="C924" s="173" t="s">
        <v>2114</v>
      </c>
      <c r="D924" s="173"/>
    </row>
    <row r="925" ht="15.75" customHeight="1">
      <c r="A925" s="172" t="s">
        <v>424</v>
      </c>
      <c r="B925" s="172" t="s">
        <v>155</v>
      </c>
      <c r="C925" s="180"/>
      <c r="D925" s="180"/>
    </row>
    <row r="926" ht="15.75" customHeight="1">
      <c r="A926" s="172" t="s">
        <v>647</v>
      </c>
      <c r="B926" s="169" t="s">
        <v>155</v>
      </c>
      <c r="C926" s="170"/>
      <c r="D926" s="170"/>
    </row>
    <row r="927" ht="15.75" customHeight="1">
      <c r="A927" s="172" t="s">
        <v>1245</v>
      </c>
      <c r="B927" s="172" t="s">
        <v>155</v>
      </c>
      <c r="C927" s="180"/>
      <c r="D927" s="180"/>
    </row>
    <row r="928" ht="15.75" customHeight="1">
      <c r="A928" s="175" t="s">
        <v>1665</v>
      </c>
      <c r="B928" s="175" t="s">
        <v>155</v>
      </c>
      <c r="C928" s="173"/>
      <c r="D928" s="173"/>
    </row>
    <row r="929" ht="15.75" customHeight="1">
      <c r="A929" s="172" t="s">
        <v>1672</v>
      </c>
      <c r="B929" s="172" t="s">
        <v>155</v>
      </c>
      <c r="C929" s="180"/>
      <c r="D929" s="180"/>
    </row>
    <row r="930" ht="15.75" customHeight="1">
      <c r="A930" s="175" t="s">
        <v>1800</v>
      </c>
      <c r="B930" s="175" t="s">
        <v>155</v>
      </c>
      <c r="C930" s="173"/>
      <c r="D930" s="173"/>
    </row>
    <row r="931" ht="15.75" customHeight="1">
      <c r="A931" s="175" t="s">
        <v>1817</v>
      </c>
      <c r="B931" s="175" t="s">
        <v>155</v>
      </c>
      <c r="C931" s="173"/>
      <c r="D931" s="173"/>
    </row>
    <row r="932" ht="15.75" customHeight="1">
      <c r="A932" s="175" t="s">
        <v>1840</v>
      </c>
      <c r="B932" s="175" t="s">
        <v>155</v>
      </c>
      <c r="C932" s="173"/>
      <c r="D932" s="173"/>
    </row>
    <row r="933" ht="15.75" customHeight="1">
      <c r="A933" s="175" t="s">
        <v>1853</v>
      </c>
      <c r="B933" s="175" t="s">
        <v>155</v>
      </c>
      <c r="C933" s="173"/>
      <c r="D933" s="173"/>
    </row>
    <row r="934" ht="15.75" customHeight="1">
      <c r="A934" s="172" t="s">
        <v>1893</v>
      </c>
      <c r="B934" s="172" t="s">
        <v>155</v>
      </c>
      <c r="C934" s="180"/>
      <c r="D934" s="180"/>
    </row>
    <row r="935" ht="15.75" customHeight="1">
      <c r="A935" s="175" t="s">
        <v>1920</v>
      </c>
      <c r="B935" s="175" t="s">
        <v>155</v>
      </c>
      <c r="C935" s="173"/>
      <c r="D935" s="173"/>
    </row>
    <row r="936" ht="15.75" customHeight="1">
      <c r="A936" s="175" t="s">
        <v>1937</v>
      </c>
      <c r="B936" s="175" t="s">
        <v>155</v>
      </c>
      <c r="C936" s="173"/>
      <c r="D936" s="173"/>
    </row>
    <row r="937" ht="15.75" customHeight="1">
      <c r="A937" s="172" t="s">
        <v>48</v>
      </c>
      <c r="B937" s="169" t="s">
        <v>247</v>
      </c>
      <c r="C937" s="170" t="s">
        <v>2114</v>
      </c>
      <c r="D937" s="170"/>
    </row>
    <row r="938" ht="15.75" customHeight="1">
      <c r="A938" s="175" t="s">
        <v>394</v>
      </c>
      <c r="B938" s="176" t="s">
        <v>247</v>
      </c>
      <c r="C938" s="167"/>
      <c r="D938" s="167"/>
    </row>
    <row r="939" ht="15.75" customHeight="1">
      <c r="A939" s="172" t="s">
        <v>607</v>
      </c>
      <c r="B939" s="169" t="s">
        <v>247</v>
      </c>
      <c r="C939" s="170"/>
      <c r="D939" s="170"/>
    </row>
    <row r="940" ht="15.75" customHeight="1">
      <c r="A940" s="172" t="s">
        <v>813</v>
      </c>
      <c r="B940" s="172" t="s">
        <v>247</v>
      </c>
      <c r="C940" s="180"/>
      <c r="D940" s="180"/>
    </row>
    <row r="941" ht="15.75" customHeight="1">
      <c r="A941" s="172" t="s">
        <v>2228</v>
      </c>
      <c r="B941" s="172" t="s">
        <v>247</v>
      </c>
      <c r="C941" s="180"/>
      <c r="D941" s="180"/>
    </row>
    <row r="942" ht="15.75" customHeight="1">
      <c r="A942" s="175" t="s">
        <v>855</v>
      </c>
      <c r="B942" s="175" t="s">
        <v>247</v>
      </c>
      <c r="C942" s="173"/>
      <c r="D942" s="173"/>
    </row>
    <row r="943" ht="15.75" customHeight="1">
      <c r="A943" s="172" t="s">
        <v>2177</v>
      </c>
      <c r="B943" s="172" t="s">
        <v>247</v>
      </c>
      <c r="C943" s="180"/>
      <c r="D943" s="180"/>
    </row>
    <row r="944" ht="15.75" customHeight="1">
      <c r="A944" s="175" t="s">
        <v>1019</v>
      </c>
      <c r="B944" s="172" t="s">
        <v>247</v>
      </c>
      <c r="C944" s="180"/>
      <c r="D944" s="180"/>
    </row>
    <row r="945" ht="15.75" customHeight="1">
      <c r="A945" s="172" t="s">
        <v>2173</v>
      </c>
      <c r="B945" s="172" t="s">
        <v>247</v>
      </c>
      <c r="C945" s="180"/>
      <c r="D945" s="180"/>
    </row>
    <row r="946" ht="15.75" customHeight="1">
      <c r="A946" s="172" t="s">
        <v>1843</v>
      </c>
      <c r="B946" s="172" t="s">
        <v>247</v>
      </c>
      <c r="C946" s="180"/>
      <c r="D946" s="180"/>
    </row>
    <row r="947" ht="15.75" customHeight="1">
      <c r="A947" s="172" t="s">
        <v>1854</v>
      </c>
      <c r="B947" s="172" t="s">
        <v>247</v>
      </c>
      <c r="C947" s="180"/>
      <c r="D947" s="180"/>
    </row>
    <row r="948" ht="15.75" customHeight="1">
      <c r="A948" s="175" t="s">
        <v>64</v>
      </c>
      <c r="B948" s="176" t="s">
        <v>29</v>
      </c>
      <c r="C948" s="167" t="s">
        <v>2114</v>
      </c>
      <c r="D948" s="167"/>
    </row>
    <row r="949" ht="15.75" customHeight="1">
      <c r="A949" s="172" t="s">
        <v>124</v>
      </c>
      <c r="B949" s="169" t="s">
        <v>29</v>
      </c>
      <c r="C949" s="170"/>
      <c r="D949" s="170"/>
    </row>
    <row r="950" ht="15.75" customHeight="1">
      <c r="A950" s="175" t="s">
        <v>292</v>
      </c>
      <c r="B950" s="176" t="s">
        <v>29</v>
      </c>
      <c r="C950" s="167"/>
      <c r="D950" s="167"/>
    </row>
    <row r="951" ht="15.75" customHeight="1">
      <c r="A951" s="172" t="s">
        <v>299</v>
      </c>
      <c r="B951" s="169" t="s">
        <v>29</v>
      </c>
      <c r="C951" s="170"/>
      <c r="D951" s="170"/>
    </row>
    <row r="952" ht="15.75" customHeight="1">
      <c r="A952" s="172" t="s">
        <v>372</v>
      </c>
      <c r="B952" s="172" t="s">
        <v>29</v>
      </c>
      <c r="C952" s="180"/>
      <c r="D952" s="180"/>
    </row>
    <row r="953" ht="15.75" customHeight="1">
      <c r="A953" s="172" t="s">
        <v>387</v>
      </c>
      <c r="B953" s="169" t="s">
        <v>29</v>
      </c>
      <c r="C953" s="170"/>
      <c r="D953" s="170"/>
    </row>
    <row r="954" ht="15.75" customHeight="1">
      <c r="A954" s="175" t="s">
        <v>413</v>
      </c>
      <c r="B954" s="175" t="s">
        <v>29</v>
      </c>
      <c r="C954" s="173"/>
      <c r="D954" s="173"/>
    </row>
    <row r="955" ht="15.75" customHeight="1">
      <c r="A955" s="175" t="s">
        <v>523</v>
      </c>
      <c r="B955" s="176" t="s">
        <v>29</v>
      </c>
      <c r="C955" s="167"/>
      <c r="D955" s="167"/>
    </row>
    <row r="956" ht="15.75" customHeight="1">
      <c r="A956" s="172" t="s">
        <v>523</v>
      </c>
      <c r="B956" s="169" t="s">
        <v>29</v>
      </c>
      <c r="C956" s="170"/>
      <c r="D956" s="170"/>
    </row>
    <row r="957" ht="15.75" customHeight="1">
      <c r="A957" s="175" t="s">
        <v>660</v>
      </c>
      <c r="B957" s="175" t="s">
        <v>29</v>
      </c>
      <c r="C957" s="193"/>
      <c r="D957" s="193"/>
    </row>
    <row r="958" ht="15.75" customHeight="1">
      <c r="A958" s="175" t="s">
        <v>774</v>
      </c>
      <c r="B958" s="175" t="s">
        <v>29</v>
      </c>
      <c r="C958" s="173"/>
      <c r="D958" s="173"/>
    </row>
    <row r="959" ht="15.75" customHeight="1">
      <c r="A959" s="172" t="s">
        <v>1040</v>
      </c>
      <c r="B959" s="172" t="s">
        <v>29</v>
      </c>
      <c r="C959" s="180"/>
      <c r="D959" s="180"/>
    </row>
    <row r="960" ht="15.75" customHeight="1">
      <c r="A960" s="172" t="s">
        <v>2438</v>
      </c>
      <c r="B960" s="172" t="s">
        <v>29</v>
      </c>
      <c r="C960" s="180"/>
      <c r="D960" s="180"/>
    </row>
    <row r="961" ht="15.75" customHeight="1">
      <c r="A961" s="175" t="s">
        <v>1397</v>
      </c>
      <c r="B961" s="175" t="s">
        <v>29</v>
      </c>
      <c r="C961" s="173"/>
      <c r="D961" s="173"/>
    </row>
    <row r="962" ht="15.75" customHeight="1">
      <c r="A962" s="187" t="s">
        <v>1398</v>
      </c>
      <c r="B962" s="172" t="s">
        <v>29</v>
      </c>
      <c r="C962" s="180"/>
      <c r="D962" s="180"/>
    </row>
    <row r="963" ht="15.75" customHeight="1">
      <c r="A963" s="172" t="s">
        <v>1400</v>
      </c>
      <c r="B963" s="172" t="s">
        <v>29</v>
      </c>
      <c r="C963" s="180"/>
      <c r="D963" s="180"/>
    </row>
    <row r="964" ht="15.75" customHeight="1">
      <c r="A964" s="203" t="s">
        <v>1530</v>
      </c>
      <c r="B964" s="203" t="s">
        <v>29</v>
      </c>
      <c r="C964" s="195"/>
      <c r="D964" s="195"/>
    </row>
    <row r="965" ht="15.75" customHeight="1">
      <c r="A965" s="172" t="s">
        <v>1539</v>
      </c>
      <c r="B965" s="172" t="s">
        <v>29</v>
      </c>
      <c r="C965" s="167"/>
      <c r="D965" s="167"/>
    </row>
    <row r="966" ht="15.75" customHeight="1">
      <c r="A966" s="172" t="s">
        <v>1675</v>
      </c>
      <c r="B966" s="172" t="s">
        <v>29</v>
      </c>
      <c r="C966" s="180"/>
      <c r="D966" s="180"/>
    </row>
    <row r="967" ht="15.75" customHeight="1">
      <c r="A967" s="175" t="s">
        <v>212</v>
      </c>
      <c r="B967" s="175" t="s">
        <v>265</v>
      </c>
      <c r="C967" s="173" t="s">
        <v>2439</v>
      </c>
      <c r="D967" s="173"/>
    </row>
    <row r="968" ht="15.75" customHeight="1">
      <c r="A968" s="172" t="s">
        <v>2216</v>
      </c>
      <c r="B968" s="172" t="s">
        <v>265</v>
      </c>
      <c r="C968" s="180"/>
      <c r="D968" s="180"/>
    </row>
    <row r="969" ht="15.75" customHeight="1">
      <c r="A969" s="175" t="s">
        <v>2440</v>
      </c>
      <c r="B969" s="175" t="s">
        <v>265</v>
      </c>
      <c r="C969" s="173"/>
      <c r="D969" s="173"/>
    </row>
    <row r="970" ht="15.75" customHeight="1">
      <c r="A970" s="175" t="s">
        <v>730</v>
      </c>
      <c r="B970" s="175" t="s">
        <v>265</v>
      </c>
      <c r="C970" s="173"/>
      <c r="D970" s="173"/>
    </row>
    <row r="971" ht="15.75" customHeight="1">
      <c r="A971" s="175" t="s">
        <v>814</v>
      </c>
      <c r="B971" s="175" t="s">
        <v>265</v>
      </c>
      <c r="C971" s="173"/>
      <c r="D971" s="173"/>
    </row>
    <row r="972" ht="15.75" customHeight="1">
      <c r="A972" s="175" t="s">
        <v>2217</v>
      </c>
      <c r="B972" s="175" t="s">
        <v>265</v>
      </c>
      <c r="C972" s="173"/>
      <c r="D972" s="173"/>
    </row>
    <row r="973" ht="15.75" customHeight="1">
      <c r="A973" s="172" t="s">
        <v>1294</v>
      </c>
      <c r="B973" s="172" t="s">
        <v>265</v>
      </c>
      <c r="C973" s="180"/>
      <c r="D973" s="180"/>
    </row>
    <row r="974" ht="15.75" customHeight="1">
      <c r="A974" s="175" t="s">
        <v>1294</v>
      </c>
      <c r="B974" s="175" t="s">
        <v>265</v>
      </c>
      <c r="C974" s="173"/>
      <c r="D974" s="173"/>
    </row>
    <row r="975" ht="15.75" customHeight="1">
      <c r="A975" s="172" t="s">
        <v>1466</v>
      </c>
      <c r="B975" s="172" t="s">
        <v>265</v>
      </c>
      <c r="C975" s="180"/>
      <c r="D975" s="180"/>
    </row>
    <row r="976" ht="15.75" customHeight="1">
      <c r="A976" s="172" t="s">
        <v>2233</v>
      </c>
      <c r="B976" s="172" t="s">
        <v>265</v>
      </c>
      <c r="C976" s="180"/>
      <c r="D976" s="180"/>
    </row>
    <row r="977" ht="15.75" customHeight="1">
      <c r="A977" s="176" t="s">
        <v>2441</v>
      </c>
      <c r="B977" s="169" t="s">
        <v>265</v>
      </c>
      <c r="C977" s="167"/>
      <c r="D977" s="167"/>
    </row>
    <row r="978" ht="15.75" customHeight="1">
      <c r="A978" s="172" t="s">
        <v>1760</v>
      </c>
      <c r="B978" s="172" t="s">
        <v>265</v>
      </c>
      <c r="C978" s="180"/>
      <c r="D978" s="180"/>
    </row>
    <row r="979" ht="15.75" customHeight="1">
      <c r="A979" s="175" t="s">
        <v>1820</v>
      </c>
      <c r="B979" s="175" t="s">
        <v>265</v>
      </c>
      <c r="C979" s="173"/>
      <c r="D979" s="173"/>
    </row>
    <row r="980" ht="15.75" customHeight="1">
      <c r="A980" s="175" t="s">
        <v>254</v>
      </c>
      <c r="B980" s="176" t="s">
        <v>488</v>
      </c>
      <c r="C980" s="167" t="s">
        <v>2114</v>
      </c>
      <c r="D980" s="167"/>
    </row>
    <row r="981" ht="15.75" customHeight="1">
      <c r="A981" s="175" t="s">
        <v>284</v>
      </c>
      <c r="B981" s="176" t="s">
        <v>488</v>
      </c>
      <c r="C981" s="167"/>
      <c r="D981" s="167"/>
    </row>
    <row r="982" ht="15.75" customHeight="1">
      <c r="A982" s="175" t="s">
        <v>307</v>
      </c>
      <c r="B982" s="175" t="s">
        <v>488</v>
      </c>
      <c r="C982" s="173"/>
      <c r="D982" s="173"/>
    </row>
    <row r="983" ht="15.75" customHeight="1">
      <c r="A983" s="172" t="s">
        <v>444</v>
      </c>
      <c r="B983" s="169" t="s">
        <v>488</v>
      </c>
      <c r="C983" s="170"/>
      <c r="D983" s="170"/>
    </row>
    <row r="984" ht="15.75" customHeight="1">
      <c r="A984" s="172" t="s">
        <v>520</v>
      </c>
      <c r="B984" s="172" t="s">
        <v>488</v>
      </c>
      <c r="C984" s="180"/>
      <c r="D984" s="180"/>
    </row>
    <row r="985" ht="15.75" customHeight="1">
      <c r="A985" s="175" t="s">
        <v>2231</v>
      </c>
      <c r="B985" s="175" t="s">
        <v>488</v>
      </c>
      <c r="C985" s="173"/>
      <c r="D985" s="173"/>
    </row>
    <row r="986" ht="15.75" customHeight="1">
      <c r="A986" s="175" t="s">
        <v>2232</v>
      </c>
      <c r="B986" s="175" t="s">
        <v>488</v>
      </c>
      <c r="C986" s="173"/>
      <c r="D986" s="173"/>
    </row>
    <row r="987" ht="15.75" customHeight="1">
      <c r="A987" s="175" t="s">
        <v>2442</v>
      </c>
      <c r="B987" s="175" t="s">
        <v>488</v>
      </c>
      <c r="C987" s="173"/>
      <c r="D987" s="173"/>
    </row>
    <row r="988" ht="15.75" customHeight="1">
      <c r="A988" s="172" t="s">
        <v>1128</v>
      </c>
      <c r="B988" s="172" t="s">
        <v>488</v>
      </c>
      <c r="C988" s="180"/>
      <c r="D988" s="180"/>
    </row>
    <row r="989" ht="15.75" customHeight="1">
      <c r="A989" s="175" t="s">
        <v>1236</v>
      </c>
      <c r="B989" s="175" t="s">
        <v>488</v>
      </c>
      <c r="C989" s="173"/>
      <c r="D989" s="173"/>
    </row>
    <row r="990" ht="15.75" customHeight="1">
      <c r="A990" s="175" t="s">
        <v>1382</v>
      </c>
      <c r="B990" s="175" t="s">
        <v>488</v>
      </c>
      <c r="C990" s="173"/>
      <c r="D990" s="173"/>
    </row>
    <row r="991" ht="15.75" customHeight="1">
      <c r="A991" s="172" t="s">
        <v>1617</v>
      </c>
      <c r="B991" s="172" t="s">
        <v>488</v>
      </c>
      <c r="C991" s="180"/>
      <c r="D991" s="180"/>
    </row>
    <row r="992" ht="15.75" customHeight="1">
      <c r="A992" s="175" t="s">
        <v>2175</v>
      </c>
      <c r="B992" s="175" t="s">
        <v>488</v>
      </c>
      <c r="C992" s="173"/>
      <c r="D992" s="173"/>
    </row>
    <row r="993" ht="15.75" customHeight="1">
      <c r="A993" s="175" t="s">
        <v>1751</v>
      </c>
      <c r="B993" s="175" t="s">
        <v>488</v>
      </c>
      <c r="C993" s="173"/>
      <c r="D993" s="173"/>
    </row>
    <row r="994" ht="15.75" customHeight="1">
      <c r="A994" s="175" t="s">
        <v>1857</v>
      </c>
      <c r="B994" s="175" t="s">
        <v>488</v>
      </c>
      <c r="C994" s="173"/>
      <c r="D994" s="173"/>
    </row>
    <row r="995" ht="15.75" customHeight="1">
      <c r="A995" s="172" t="s">
        <v>569</v>
      </c>
      <c r="B995" s="172" t="s">
        <v>85</v>
      </c>
      <c r="C995" s="170" t="s">
        <v>2114</v>
      </c>
      <c r="D995" s="170" t="s">
        <v>2443</v>
      </c>
    </row>
    <row r="996" ht="15.75" customHeight="1">
      <c r="A996" s="175" t="s">
        <v>570</v>
      </c>
      <c r="B996" s="175" t="s">
        <v>85</v>
      </c>
      <c r="C996" s="173"/>
      <c r="D996" s="173"/>
    </row>
    <row r="997" ht="15.75" customHeight="1">
      <c r="A997" s="172" t="s">
        <v>687</v>
      </c>
      <c r="B997" s="169" t="s">
        <v>85</v>
      </c>
      <c r="C997" s="170"/>
      <c r="D997" s="170"/>
    </row>
    <row r="998" ht="15.75" customHeight="1">
      <c r="A998" s="172" t="s">
        <v>961</v>
      </c>
      <c r="B998" s="172" t="s">
        <v>85</v>
      </c>
      <c r="C998" s="180"/>
      <c r="D998" s="180"/>
    </row>
    <row r="999" ht="15.75" customHeight="1">
      <c r="A999" s="175" t="s">
        <v>1006</v>
      </c>
      <c r="B999" s="175" t="s">
        <v>85</v>
      </c>
      <c r="C999" s="173"/>
      <c r="D999" s="173"/>
    </row>
    <row r="1000" ht="15.75" customHeight="1">
      <c r="A1000" s="172" t="s">
        <v>1006</v>
      </c>
      <c r="B1000" s="172" t="s">
        <v>85</v>
      </c>
      <c r="C1000" s="180"/>
      <c r="D1000" s="180"/>
    </row>
    <row r="1001" ht="15.75" customHeight="1">
      <c r="A1001" s="175" t="s">
        <v>1006</v>
      </c>
      <c r="B1001" s="175" t="s">
        <v>85</v>
      </c>
      <c r="C1001" s="173"/>
      <c r="D1001" s="173"/>
    </row>
    <row r="1002" ht="15.75" customHeight="1">
      <c r="A1002" s="175" t="s">
        <v>1433</v>
      </c>
      <c r="B1002" s="175" t="s">
        <v>85</v>
      </c>
      <c r="C1002" s="173"/>
      <c r="D1002" s="173"/>
    </row>
    <row r="1003" ht="15.75" customHeight="1">
      <c r="A1003" s="172" t="s">
        <v>2444</v>
      </c>
      <c r="B1003" s="172" t="s">
        <v>85</v>
      </c>
      <c r="C1003" s="180"/>
      <c r="D1003" s="180"/>
    </row>
    <row r="1004" ht="15.75" customHeight="1">
      <c r="A1004" s="175" t="s">
        <v>1808</v>
      </c>
      <c r="B1004" s="175" t="s">
        <v>85</v>
      </c>
      <c r="C1004" s="173"/>
      <c r="D1004" s="173"/>
    </row>
    <row r="1005" ht="15.75" customHeight="1">
      <c r="A1005" s="172" t="s">
        <v>1809</v>
      </c>
      <c r="B1005" s="172" t="s">
        <v>85</v>
      </c>
      <c r="C1005" s="180"/>
      <c r="D1005" s="180"/>
    </row>
    <row r="1006" ht="15.75" customHeight="1">
      <c r="A1006" s="175" t="s">
        <v>2116</v>
      </c>
      <c r="B1006" s="175" t="s">
        <v>85</v>
      </c>
      <c r="C1006" s="173"/>
      <c r="D1006" s="173"/>
    </row>
    <row r="1007" ht="15.75" customHeight="1">
      <c r="A1007" s="172" t="s">
        <v>2210</v>
      </c>
      <c r="B1007" s="186" t="s">
        <v>160</v>
      </c>
      <c r="C1007" s="180" t="s">
        <v>2012</v>
      </c>
      <c r="D1007" s="180"/>
    </row>
    <row r="1008" ht="15.75" customHeight="1">
      <c r="A1008" s="172" t="s">
        <v>2445</v>
      </c>
      <c r="B1008" s="186" t="s">
        <v>160</v>
      </c>
      <c r="C1008" s="180"/>
      <c r="D1008" s="180"/>
    </row>
    <row r="1009" ht="15.75" customHeight="1">
      <c r="A1009" s="175" t="s">
        <v>1312</v>
      </c>
      <c r="B1009" s="186" t="s">
        <v>160</v>
      </c>
      <c r="C1009" s="173"/>
      <c r="D1009" s="173"/>
    </row>
    <row r="1010" ht="15.75" customHeight="1">
      <c r="A1010" s="175" t="s">
        <v>1540</v>
      </c>
      <c r="B1010" s="186" t="s">
        <v>160</v>
      </c>
      <c r="C1010" s="173"/>
      <c r="D1010" s="173"/>
    </row>
    <row r="1011" ht="15.75" customHeight="1">
      <c r="A1011" s="172" t="s">
        <v>1885</v>
      </c>
      <c r="B1011" s="186" t="s">
        <v>160</v>
      </c>
      <c r="C1011" s="180"/>
      <c r="D1011" s="180"/>
    </row>
    <row r="1012" ht="15.75" customHeight="1">
      <c r="A1012" s="175" t="s">
        <v>1892</v>
      </c>
      <c r="B1012" s="186" t="s">
        <v>160</v>
      </c>
      <c r="C1012" s="173"/>
      <c r="D1012" s="173"/>
    </row>
    <row r="1013" ht="15.75" customHeight="1">
      <c r="A1013" s="172" t="s">
        <v>2188</v>
      </c>
      <c r="B1013" s="189" t="s">
        <v>1013</v>
      </c>
      <c r="C1013" s="170" t="s">
        <v>2012</v>
      </c>
      <c r="D1013" s="170"/>
    </row>
    <row r="1014" ht="15.75" customHeight="1">
      <c r="A1014" s="175" t="s">
        <v>2019</v>
      </c>
      <c r="B1014" s="186" t="s">
        <v>1013</v>
      </c>
      <c r="C1014" s="173"/>
      <c r="D1014" s="173"/>
    </row>
    <row r="1015" ht="15.75" customHeight="1">
      <c r="A1015" s="175" t="s">
        <v>916</v>
      </c>
      <c r="B1015" s="186" t="s">
        <v>1013</v>
      </c>
      <c r="C1015" s="173"/>
      <c r="D1015" s="173"/>
    </row>
    <row r="1016" ht="15.75" customHeight="1">
      <c r="A1016" s="172" t="s">
        <v>2360</v>
      </c>
      <c r="B1016" s="186" t="s">
        <v>1013</v>
      </c>
      <c r="C1016" s="180"/>
      <c r="D1016" s="180"/>
    </row>
    <row r="1017" ht="15.75" customHeight="1">
      <c r="A1017" s="172" t="s">
        <v>1261</v>
      </c>
      <c r="B1017" s="186" t="s">
        <v>1013</v>
      </c>
      <c r="C1017" s="180"/>
      <c r="D1017" s="180"/>
    </row>
    <row r="1018" ht="15.75" customHeight="1">
      <c r="A1018" s="175" t="s">
        <v>446</v>
      </c>
      <c r="B1018" s="189" t="s">
        <v>370</v>
      </c>
      <c r="C1018" s="167" t="s">
        <v>2012</v>
      </c>
      <c r="D1018" s="167"/>
    </row>
    <row r="1019" ht="15.75" customHeight="1">
      <c r="A1019" s="175" t="s">
        <v>881</v>
      </c>
      <c r="B1019" s="186" t="s">
        <v>370</v>
      </c>
      <c r="C1019" s="173"/>
      <c r="D1019" s="173"/>
    </row>
    <row r="1020" ht="15.75" customHeight="1">
      <c r="A1020" s="172" t="s">
        <v>1352</v>
      </c>
      <c r="B1020" s="186" t="s">
        <v>370</v>
      </c>
      <c r="C1020" s="180"/>
      <c r="D1020" s="180"/>
    </row>
    <row r="1021" ht="15.75" customHeight="1">
      <c r="A1021" s="175" t="s">
        <v>1597</v>
      </c>
      <c r="B1021" s="186" t="s">
        <v>370</v>
      </c>
      <c r="C1021" s="173"/>
      <c r="D1021" s="173"/>
    </row>
    <row r="1022" ht="15.75" customHeight="1">
      <c r="A1022" s="175" t="s">
        <v>144</v>
      </c>
      <c r="B1022" s="189" t="s">
        <v>206</v>
      </c>
      <c r="C1022" s="167" t="s">
        <v>2012</v>
      </c>
      <c r="D1022" s="167"/>
    </row>
    <row r="1023" ht="15.75" customHeight="1">
      <c r="A1023" s="172" t="s">
        <v>1112</v>
      </c>
      <c r="B1023" s="186" t="s">
        <v>206</v>
      </c>
      <c r="C1023" s="180"/>
      <c r="D1023" s="180"/>
    </row>
    <row r="1024" ht="15.75" customHeight="1">
      <c r="A1024" s="175" t="s">
        <v>1579</v>
      </c>
      <c r="B1024" s="186" t="s">
        <v>206</v>
      </c>
      <c r="C1024" s="173"/>
      <c r="D1024" s="173"/>
    </row>
    <row r="1025" ht="15.75" customHeight="1">
      <c r="A1025" s="172" t="s">
        <v>2446</v>
      </c>
      <c r="B1025" s="186" t="s">
        <v>206</v>
      </c>
      <c r="C1025" s="180"/>
      <c r="D1025" s="180"/>
    </row>
    <row r="1026" ht="15.75" customHeight="1">
      <c r="A1026" s="172" t="s">
        <v>1803</v>
      </c>
      <c r="B1026" s="186" t="s">
        <v>206</v>
      </c>
      <c r="C1026" s="180"/>
      <c r="D1026" s="180"/>
    </row>
    <row r="1027" ht="15.75" customHeight="1">
      <c r="A1027" s="175" t="s">
        <v>168</v>
      </c>
      <c r="B1027" s="186" t="s">
        <v>763</v>
      </c>
      <c r="C1027" s="173" t="s">
        <v>2012</v>
      </c>
      <c r="D1027" s="173"/>
    </row>
    <row r="1028" ht="15.75" customHeight="1">
      <c r="A1028" s="175" t="s">
        <v>2119</v>
      </c>
      <c r="B1028" s="189" t="s">
        <v>763</v>
      </c>
      <c r="C1028" s="167"/>
      <c r="D1028" s="167"/>
    </row>
    <row r="1029" ht="15.75" customHeight="1">
      <c r="A1029" s="172" t="s">
        <v>406</v>
      </c>
      <c r="B1029" s="189" t="s">
        <v>763</v>
      </c>
      <c r="C1029" s="170"/>
      <c r="D1029" s="170"/>
    </row>
    <row r="1030" ht="15.75" customHeight="1">
      <c r="A1030" s="175" t="s">
        <v>694</v>
      </c>
      <c r="B1030" s="189" t="s">
        <v>763</v>
      </c>
      <c r="C1030" s="167"/>
      <c r="D1030" s="167"/>
    </row>
    <row r="1031" ht="15.75" customHeight="1">
      <c r="A1031" s="172" t="s">
        <v>2139</v>
      </c>
      <c r="B1031" s="186" t="s">
        <v>763</v>
      </c>
      <c r="C1031" s="180"/>
      <c r="D1031" s="180"/>
    </row>
    <row r="1032" ht="15.75" customHeight="1">
      <c r="A1032" s="175" t="s">
        <v>277</v>
      </c>
      <c r="B1032" s="186" t="s">
        <v>456</v>
      </c>
      <c r="C1032" s="167"/>
      <c r="D1032" s="167"/>
    </row>
    <row r="1033" ht="15.75" customHeight="1">
      <c r="A1033" s="172" t="s">
        <v>697</v>
      </c>
      <c r="B1033" s="186" t="s">
        <v>456</v>
      </c>
      <c r="C1033" s="180" t="s">
        <v>2012</v>
      </c>
      <c r="D1033" s="180"/>
    </row>
    <row r="1034" ht="15.75" customHeight="1">
      <c r="A1034" s="175" t="s">
        <v>1047</v>
      </c>
      <c r="B1034" s="186" t="s">
        <v>456</v>
      </c>
      <c r="C1034" s="173"/>
      <c r="D1034" s="173"/>
    </row>
    <row r="1035" ht="15.75" customHeight="1">
      <c r="A1035" s="172" t="s">
        <v>1086</v>
      </c>
      <c r="B1035" s="186" t="s">
        <v>456</v>
      </c>
      <c r="C1035" s="180"/>
      <c r="D1035" s="180"/>
    </row>
    <row r="1036" ht="15.75" customHeight="1">
      <c r="A1036" s="175" t="s">
        <v>1535</v>
      </c>
      <c r="B1036" s="186" t="s">
        <v>456</v>
      </c>
      <c r="C1036" s="173"/>
      <c r="D1036" s="173"/>
    </row>
    <row r="1037" ht="15.75" customHeight="1">
      <c r="A1037" s="172" t="s">
        <v>201</v>
      </c>
      <c r="B1037" s="172" t="s">
        <v>202</v>
      </c>
      <c r="C1037" s="180" t="s">
        <v>2114</v>
      </c>
      <c r="D1037" s="180"/>
    </row>
    <row r="1038" ht="15.75" customHeight="1">
      <c r="A1038" s="172" t="s">
        <v>713</v>
      </c>
      <c r="B1038" s="180" t="s">
        <v>202</v>
      </c>
      <c r="C1038" s="180"/>
      <c r="D1038" s="180"/>
    </row>
    <row r="1039" ht="15.75" customHeight="1">
      <c r="A1039" s="175" t="s">
        <v>1049</v>
      </c>
      <c r="B1039" s="175" t="s">
        <v>202</v>
      </c>
      <c r="C1039" s="173"/>
      <c r="D1039" s="173"/>
    </row>
    <row r="1040" ht="15.75" customHeight="1">
      <c r="A1040" s="172" t="s">
        <v>1346</v>
      </c>
      <c r="B1040" s="172" t="s">
        <v>202</v>
      </c>
      <c r="C1040" s="180"/>
      <c r="D1040" s="180"/>
    </row>
    <row r="1041" ht="15.75" customHeight="1">
      <c r="A1041" s="175" t="s">
        <v>1948</v>
      </c>
      <c r="B1041" s="175" t="s">
        <v>202</v>
      </c>
      <c r="C1041" s="173"/>
      <c r="D1041" s="173"/>
    </row>
    <row r="1042" ht="15.75" customHeight="1">
      <c r="A1042" s="175" t="s">
        <v>2190</v>
      </c>
      <c r="B1042" s="186" t="s">
        <v>678</v>
      </c>
      <c r="C1042" s="173" t="s">
        <v>2012</v>
      </c>
      <c r="D1042" s="173"/>
    </row>
    <row r="1043" ht="15.75" customHeight="1">
      <c r="A1043" s="172" t="s">
        <v>1852</v>
      </c>
      <c r="B1043" s="186" t="s">
        <v>678</v>
      </c>
      <c r="C1043" s="180"/>
      <c r="D1043" s="180"/>
    </row>
    <row r="1044" ht="15.75" customHeight="1">
      <c r="A1044" s="172" t="s">
        <v>1932</v>
      </c>
      <c r="B1044" s="186" t="s">
        <v>678</v>
      </c>
      <c r="C1044" s="173"/>
      <c r="D1044" s="173"/>
    </row>
    <row r="1045" ht="15.75" customHeight="1">
      <c r="A1045" s="172" t="s">
        <v>1933</v>
      </c>
      <c r="B1045" s="186" t="s">
        <v>678</v>
      </c>
      <c r="C1045" s="180"/>
      <c r="D1045" s="180"/>
    </row>
    <row r="1046" ht="15.75" customHeight="1">
      <c r="A1046" s="175" t="s">
        <v>1934</v>
      </c>
      <c r="B1046" s="186" t="s">
        <v>678</v>
      </c>
      <c r="C1046" s="173"/>
      <c r="D1046" s="173"/>
    </row>
    <row r="1047" ht="15.75" customHeight="1">
      <c r="A1047" s="175" t="s">
        <v>1935</v>
      </c>
      <c r="B1047" s="186" t="s">
        <v>678</v>
      </c>
      <c r="C1047" s="180"/>
      <c r="D1047" s="180"/>
    </row>
    <row r="1048" ht="15.75" customHeight="1">
      <c r="A1048" s="175" t="s">
        <v>2447</v>
      </c>
      <c r="B1048" s="186" t="s">
        <v>678</v>
      </c>
      <c r="C1048" s="173"/>
      <c r="D1048" s="173"/>
    </row>
    <row r="1049" ht="15.75" customHeight="1">
      <c r="A1049" s="172" t="s">
        <v>2193</v>
      </c>
      <c r="B1049" s="186" t="s">
        <v>194</v>
      </c>
      <c r="C1049" s="180" t="s">
        <v>2012</v>
      </c>
      <c r="D1049" s="180"/>
    </row>
    <row r="1050" ht="15.75" customHeight="1">
      <c r="A1050" s="172" t="s">
        <v>504</v>
      </c>
      <c r="B1050" s="189" t="s">
        <v>194</v>
      </c>
      <c r="C1050" s="170"/>
      <c r="D1050" s="170"/>
    </row>
    <row r="1051" ht="15.75" customHeight="1">
      <c r="A1051" s="172" t="s">
        <v>2194</v>
      </c>
      <c r="B1051" s="189" t="s">
        <v>194</v>
      </c>
      <c r="C1051" s="170"/>
      <c r="D1051" s="170"/>
    </row>
    <row r="1052" ht="15.75" customHeight="1">
      <c r="A1052" s="175" t="s">
        <v>505</v>
      </c>
      <c r="B1052" s="189" t="s">
        <v>194</v>
      </c>
      <c r="C1052" s="167"/>
      <c r="D1052" s="167"/>
    </row>
    <row r="1053" ht="15.75" customHeight="1">
      <c r="A1053" s="172" t="s">
        <v>1152</v>
      </c>
      <c r="B1053" s="186" t="s">
        <v>194</v>
      </c>
      <c r="C1053" s="180"/>
      <c r="D1053" s="180"/>
    </row>
    <row r="1054" ht="15.75" customHeight="1">
      <c r="A1054" s="175" t="s">
        <v>1198</v>
      </c>
      <c r="B1054" s="186" t="s">
        <v>194</v>
      </c>
      <c r="C1054" s="173"/>
      <c r="D1054" s="173"/>
    </row>
    <row r="1055" ht="15.75" customHeight="1">
      <c r="A1055" s="175" t="s">
        <v>1314</v>
      </c>
      <c r="B1055" s="186" t="s">
        <v>194</v>
      </c>
      <c r="C1055" s="173"/>
      <c r="D1055" s="173"/>
    </row>
    <row r="1056" ht="15.75" customHeight="1">
      <c r="A1056" s="172" t="s">
        <v>89</v>
      </c>
      <c r="B1056" s="186" t="s">
        <v>169</v>
      </c>
      <c r="C1056" s="180" t="s">
        <v>2012</v>
      </c>
      <c r="D1056" s="180"/>
    </row>
    <row r="1057" ht="15.75" customHeight="1">
      <c r="A1057" s="175" t="s">
        <v>312</v>
      </c>
      <c r="B1057" s="189" t="s">
        <v>169</v>
      </c>
      <c r="C1057" s="167"/>
      <c r="D1057" s="167"/>
    </row>
    <row r="1058" ht="15.75" customHeight="1">
      <c r="A1058" s="172" t="s">
        <v>1182</v>
      </c>
      <c r="B1058" s="186" t="s">
        <v>169</v>
      </c>
      <c r="C1058" s="180"/>
      <c r="D1058" s="180"/>
    </row>
    <row r="1059" ht="15.75" customHeight="1">
      <c r="A1059" s="175" t="s">
        <v>1240</v>
      </c>
      <c r="B1059" s="186" t="s">
        <v>169</v>
      </c>
      <c r="C1059" s="173"/>
      <c r="D1059" s="173"/>
    </row>
    <row r="1060" ht="15.75" customHeight="1">
      <c r="A1060" s="172" t="s">
        <v>1637</v>
      </c>
      <c r="B1060" s="186" t="s">
        <v>169</v>
      </c>
      <c r="C1060" s="180"/>
      <c r="D1060" s="180"/>
    </row>
    <row r="1061" ht="15.75" customHeight="1">
      <c r="A1061" s="236" t="s">
        <v>1632</v>
      </c>
      <c r="B1061" s="175" t="s">
        <v>572</v>
      </c>
      <c r="C1061" s="173" t="s">
        <v>2448</v>
      </c>
      <c r="D1061" s="173"/>
    </row>
    <row r="1062" ht="15.75" customHeight="1">
      <c r="A1062" s="172" t="s">
        <v>1633</v>
      </c>
      <c r="B1062" s="172" t="s">
        <v>572</v>
      </c>
      <c r="C1062" s="180"/>
      <c r="D1062" s="180"/>
    </row>
    <row r="1063" ht="15.75" customHeight="1">
      <c r="A1063" s="175" t="s">
        <v>2449</v>
      </c>
      <c r="B1063" s="175" t="s">
        <v>572</v>
      </c>
      <c r="C1063" s="173"/>
      <c r="D1063" s="173"/>
    </row>
    <row r="1064" ht="15.75" customHeight="1">
      <c r="A1064" s="172" t="s">
        <v>2136</v>
      </c>
      <c r="B1064" s="172" t="s">
        <v>572</v>
      </c>
      <c r="C1064" s="180"/>
      <c r="D1064" s="180"/>
    </row>
    <row r="1065" ht="15.75" customHeight="1">
      <c r="A1065" s="175" t="s">
        <v>2330</v>
      </c>
      <c r="B1065" s="176" t="s">
        <v>211</v>
      </c>
      <c r="C1065" s="167" t="s">
        <v>2114</v>
      </c>
      <c r="D1065" s="167"/>
    </row>
    <row r="1066" ht="15.75" customHeight="1">
      <c r="A1066" s="172" t="s">
        <v>929</v>
      </c>
      <c r="B1066" s="172" t="s">
        <v>211</v>
      </c>
      <c r="C1066" s="180"/>
      <c r="D1066" s="180"/>
    </row>
    <row r="1067" ht="15.75" customHeight="1">
      <c r="A1067" s="175" t="s">
        <v>390</v>
      </c>
      <c r="B1067" s="169" t="s">
        <v>2450</v>
      </c>
      <c r="C1067" s="180"/>
      <c r="D1067" s="180"/>
    </row>
    <row r="1068" ht="15.75" customHeight="1">
      <c r="A1068" s="172" t="s">
        <v>508</v>
      </c>
      <c r="B1068" s="169" t="s">
        <v>2450</v>
      </c>
      <c r="C1068" s="173"/>
      <c r="D1068" s="173"/>
    </row>
    <row r="1069" ht="15.75" customHeight="1">
      <c r="A1069" s="175" t="s">
        <v>1073</v>
      </c>
      <c r="B1069" s="169" t="s">
        <v>2450</v>
      </c>
      <c r="C1069" s="180"/>
      <c r="D1069" s="180"/>
    </row>
    <row r="1070" ht="15.75" customHeight="1">
      <c r="A1070" s="172" t="s">
        <v>1255</v>
      </c>
      <c r="B1070" s="169" t="s">
        <v>2450</v>
      </c>
      <c r="C1070" s="180"/>
      <c r="D1070" s="180"/>
    </row>
    <row r="1071" ht="15.75" customHeight="1">
      <c r="A1071" s="172" t="s">
        <v>1426</v>
      </c>
      <c r="B1071" s="169" t="s">
        <v>2450</v>
      </c>
      <c r="C1071" s="180"/>
      <c r="D1071" s="180"/>
    </row>
    <row r="1072" ht="15.75" customHeight="1">
      <c r="A1072" s="175" t="s">
        <v>1430</v>
      </c>
      <c r="B1072" s="169" t="s">
        <v>2450</v>
      </c>
      <c r="C1072" s="173"/>
      <c r="D1072" s="173"/>
    </row>
    <row r="1073" ht="15.75" customHeight="1">
      <c r="A1073" s="172" t="s">
        <v>2451</v>
      </c>
      <c r="B1073" s="186" t="s">
        <v>668</v>
      </c>
      <c r="C1073" s="180" t="s">
        <v>2012</v>
      </c>
      <c r="D1073" s="180"/>
    </row>
    <row r="1074" ht="15.75" customHeight="1">
      <c r="A1074" s="175" t="s">
        <v>2192</v>
      </c>
      <c r="B1074" s="186" t="s">
        <v>668</v>
      </c>
      <c r="C1074" s="173"/>
      <c r="D1074" s="173"/>
    </row>
    <row r="1075" ht="15.75" customHeight="1">
      <c r="A1075" s="172" t="s">
        <v>882</v>
      </c>
      <c r="B1075" s="186" t="s">
        <v>668</v>
      </c>
      <c r="C1075" s="180"/>
      <c r="D1075" s="180"/>
    </row>
    <row r="1076" ht="15.75" customHeight="1">
      <c r="A1076" s="172" t="s">
        <v>971</v>
      </c>
      <c r="B1076" s="186" t="s">
        <v>668</v>
      </c>
      <c r="C1076" s="180"/>
      <c r="D1076" s="180"/>
    </row>
    <row r="1077" ht="15.75" customHeight="1">
      <c r="A1077" s="172" t="s">
        <v>1584</v>
      </c>
      <c r="B1077" s="186" t="s">
        <v>668</v>
      </c>
      <c r="C1077" s="180"/>
      <c r="D1077" s="180"/>
    </row>
    <row r="1078" ht="15.75" customHeight="1">
      <c r="A1078" s="175" t="s">
        <v>1590</v>
      </c>
      <c r="B1078" s="186" t="s">
        <v>668</v>
      </c>
      <c r="C1078" s="173"/>
      <c r="D1078" s="173"/>
    </row>
    <row r="1079" ht="15.75" customHeight="1">
      <c r="A1079" s="175" t="s">
        <v>987</v>
      </c>
      <c r="B1079" s="186" t="s">
        <v>619</v>
      </c>
      <c r="C1079" s="173" t="s">
        <v>2012</v>
      </c>
      <c r="D1079" s="173"/>
    </row>
    <row r="1080" ht="15.75" customHeight="1">
      <c r="A1080" s="172" t="s">
        <v>1072</v>
      </c>
      <c r="B1080" s="186" t="s">
        <v>619</v>
      </c>
      <c r="C1080" s="180"/>
      <c r="D1080" s="180"/>
    </row>
    <row r="1081" ht="15.75" customHeight="1">
      <c r="A1081" s="175" t="s">
        <v>1363</v>
      </c>
      <c r="B1081" s="186" t="s">
        <v>619</v>
      </c>
      <c r="C1081" s="173"/>
      <c r="D1081" s="173"/>
    </row>
    <row r="1082" ht="15.75" customHeight="1">
      <c r="A1082" s="172" t="s">
        <v>1373</v>
      </c>
      <c r="B1082" s="186" t="s">
        <v>619</v>
      </c>
      <c r="C1082" s="180"/>
      <c r="D1082" s="180"/>
    </row>
    <row r="1083" ht="15.75" customHeight="1">
      <c r="A1083" s="175" t="s">
        <v>1523</v>
      </c>
      <c r="B1083" s="186" t="s">
        <v>619</v>
      </c>
      <c r="C1083" s="173"/>
      <c r="D1083" s="173"/>
    </row>
    <row r="1084" ht="15.75" customHeight="1">
      <c r="A1084" s="175" t="s">
        <v>1573</v>
      </c>
      <c r="B1084" s="186" t="s">
        <v>619</v>
      </c>
      <c r="C1084" s="173"/>
      <c r="D1084" s="173"/>
    </row>
    <row r="1085" ht="15.75" customHeight="1">
      <c r="A1085" s="172" t="s">
        <v>105</v>
      </c>
      <c r="B1085" s="189" t="s">
        <v>879</v>
      </c>
      <c r="C1085" s="170" t="s">
        <v>2012</v>
      </c>
      <c r="D1085" s="170"/>
    </row>
    <row r="1086" ht="15.75" customHeight="1">
      <c r="A1086" s="172" t="s">
        <v>213</v>
      </c>
      <c r="B1086" s="186" t="s">
        <v>879</v>
      </c>
      <c r="C1086" s="180"/>
      <c r="D1086" s="180"/>
    </row>
    <row r="1087" ht="15.75" customHeight="1">
      <c r="A1087" s="175" t="s">
        <v>618</v>
      </c>
      <c r="B1087" s="186" t="s">
        <v>879</v>
      </c>
      <c r="C1087" s="173"/>
      <c r="D1087" s="173"/>
    </row>
    <row r="1088" ht="15.75" customHeight="1">
      <c r="A1088" s="175" t="s">
        <v>2035</v>
      </c>
      <c r="B1088" s="186" t="s">
        <v>879</v>
      </c>
      <c r="C1088" s="173"/>
      <c r="D1088" s="173"/>
    </row>
    <row r="1089" ht="15.75" customHeight="1">
      <c r="A1089" s="175" t="s">
        <v>1498</v>
      </c>
      <c r="B1089" s="186" t="s">
        <v>879</v>
      </c>
      <c r="C1089" s="173"/>
      <c r="D1089" s="173"/>
    </row>
    <row r="1090" ht="15.75" customHeight="1">
      <c r="A1090" s="172" t="s">
        <v>2197</v>
      </c>
      <c r="B1090" s="186" t="s">
        <v>879</v>
      </c>
      <c r="C1090" s="180"/>
      <c r="D1090" s="180"/>
    </row>
    <row r="1091" ht="15.75" customHeight="1">
      <c r="A1091" s="172" t="s">
        <v>142</v>
      </c>
      <c r="B1091" s="189" t="s">
        <v>143</v>
      </c>
      <c r="C1091" s="170" t="s">
        <v>2012</v>
      </c>
      <c r="D1091" s="170"/>
    </row>
    <row r="1092" ht="15.75" customHeight="1">
      <c r="A1092" s="175" t="s">
        <v>351</v>
      </c>
      <c r="B1092" s="186" t="s">
        <v>143</v>
      </c>
      <c r="C1092" s="173"/>
      <c r="D1092" s="173"/>
    </row>
    <row r="1093" ht="15.75" customHeight="1">
      <c r="A1093" s="172" t="s">
        <v>353</v>
      </c>
      <c r="B1093" s="186" t="s">
        <v>143</v>
      </c>
      <c r="C1093" s="180"/>
      <c r="D1093" s="180"/>
    </row>
    <row r="1094" ht="15.75" customHeight="1">
      <c r="A1094" s="175" t="s">
        <v>416</v>
      </c>
      <c r="B1094" s="186" t="s">
        <v>143</v>
      </c>
      <c r="C1094" s="173"/>
      <c r="D1094" s="173"/>
    </row>
    <row r="1095" ht="15.75" customHeight="1">
      <c r="A1095" s="176" t="s">
        <v>1126</v>
      </c>
      <c r="B1095" s="186" t="s">
        <v>143</v>
      </c>
      <c r="C1095" s="173"/>
      <c r="D1095" s="173"/>
    </row>
    <row r="1096" ht="15.75" customHeight="1">
      <c r="A1096" s="175" t="s">
        <v>1330</v>
      </c>
      <c r="B1096" s="186" t="s">
        <v>143</v>
      </c>
      <c r="C1096" s="173"/>
      <c r="D1096" s="173"/>
    </row>
    <row r="1097" ht="15.75" customHeight="1">
      <c r="A1097" s="172" t="s">
        <v>1949</v>
      </c>
      <c r="B1097" s="186" t="s">
        <v>143</v>
      </c>
      <c r="C1097" s="180"/>
      <c r="D1097" s="180"/>
    </row>
    <row r="1098" ht="15.75" customHeight="1">
      <c r="A1098" s="172" t="s">
        <v>366</v>
      </c>
      <c r="B1098" s="186" t="s">
        <v>276</v>
      </c>
      <c r="C1098" s="180" t="s">
        <v>2012</v>
      </c>
      <c r="D1098" s="180"/>
    </row>
    <row r="1099" ht="15.75" customHeight="1">
      <c r="A1099" s="175" t="s">
        <v>380</v>
      </c>
      <c r="B1099" s="189" t="s">
        <v>276</v>
      </c>
      <c r="C1099" s="167"/>
      <c r="D1099" s="167"/>
    </row>
    <row r="1100" ht="15.75" customHeight="1">
      <c r="A1100" s="175" t="s">
        <v>384</v>
      </c>
      <c r="B1100" s="189" t="s">
        <v>276</v>
      </c>
      <c r="C1100" s="167"/>
      <c r="D1100" s="167"/>
    </row>
    <row r="1101" ht="15.75" customHeight="1">
      <c r="A1101" s="172" t="s">
        <v>391</v>
      </c>
      <c r="B1101" s="189" t="s">
        <v>276</v>
      </c>
      <c r="C1101" s="170"/>
      <c r="D1101" s="170"/>
    </row>
    <row r="1102" ht="15.75" customHeight="1">
      <c r="A1102" s="172" t="s">
        <v>2199</v>
      </c>
      <c r="B1102" s="186" t="s">
        <v>276</v>
      </c>
      <c r="C1102" s="180"/>
      <c r="D1102" s="180"/>
    </row>
    <row r="1103" ht="15.75" customHeight="1">
      <c r="A1103" s="175" t="s">
        <v>1206</v>
      </c>
      <c r="B1103" s="186" t="s">
        <v>276</v>
      </c>
      <c r="C1103" s="173"/>
      <c r="D1103" s="173"/>
    </row>
    <row r="1104" ht="15.75" customHeight="1">
      <c r="A1104" s="175" t="s">
        <v>275</v>
      </c>
      <c r="B1104" s="189" t="s">
        <v>392</v>
      </c>
      <c r="C1104" s="167" t="s">
        <v>2012</v>
      </c>
      <c r="D1104" s="167"/>
    </row>
    <row r="1105" ht="15.75" customHeight="1">
      <c r="A1105" s="172" t="s">
        <v>2452</v>
      </c>
      <c r="B1105" s="186" t="s">
        <v>392</v>
      </c>
      <c r="C1105" s="180"/>
      <c r="D1105" s="180"/>
    </row>
    <row r="1106" ht="15.75" customHeight="1">
      <c r="A1106" s="175" t="s">
        <v>566</v>
      </c>
      <c r="B1106" s="189" t="s">
        <v>392</v>
      </c>
      <c r="C1106" s="167"/>
      <c r="D1106" s="167"/>
    </row>
    <row r="1107" ht="15.75" customHeight="1">
      <c r="A1107" s="172" t="s">
        <v>2343</v>
      </c>
      <c r="B1107" s="186" t="s">
        <v>392</v>
      </c>
      <c r="C1107" s="180"/>
      <c r="D1107" s="180"/>
    </row>
    <row r="1108" ht="15.75" customHeight="1">
      <c r="A1108" s="172" t="s">
        <v>743</v>
      </c>
      <c r="B1108" s="189" t="s">
        <v>392</v>
      </c>
      <c r="C1108" s="170"/>
      <c r="D1108" s="170"/>
    </row>
    <row r="1109" ht="15.75" customHeight="1">
      <c r="A1109" s="175" t="s">
        <v>2453</v>
      </c>
      <c r="B1109" s="186" t="s">
        <v>392</v>
      </c>
      <c r="C1109" s="173"/>
      <c r="D1109" s="173"/>
    </row>
    <row r="1110" ht="15.75" customHeight="1">
      <c r="A1110" s="238" t="s">
        <v>2200</v>
      </c>
      <c r="B1110" s="175" t="s">
        <v>2454</v>
      </c>
      <c r="C1110" s="173" t="s">
        <v>2114</v>
      </c>
      <c r="D1110" s="173"/>
    </row>
    <row r="1111" ht="15.75" customHeight="1">
      <c r="A1111" s="239" t="s">
        <v>2045</v>
      </c>
      <c r="B1111" s="182" t="s">
        <v>2454</v>
      </c>
      <c r="C1111" s="167"/>
      <c r="D1111" s="167"/>
    </row>
    <row r="1112" ht="15.75" customHeight="1">
      <c r="A1112" s="187" t="s">
        <v>2455</v>
      </c>
      <c r="B1112" s="240" t="s">
        <v>2454</v>
      </c>
      <c r="C1112" s="180"/>
      <c r="D1112" s="180"/>
    </row>
    <row r="1113" ht="15.75" customHeight="1">
      <c r="A1113" s="187" t="s">
        <v>2202</v>
      </c>
      <c r="B1113" s="182" t="s">
        <v>2454</v>
      </c>
      <c r="C1113" s="170"/>
      <c r="D1113" s="170"/>
    </row>
    <row r="1114" ht="15.75" customHeight="1">
      <c r="A1114" s="172" t="s">
        <v>1174</v>
      </c>
      <c r="B1114" s="240" t="s">
        <v>2454</v>
      </c>
      <c r="C1114" s="180"/>
      <c r="D1114" s="180"/>
    </row>
    <row r="1115" ht="15.75" customHeight="1">
      <c r="A1115" s="172" t="s">
        <v>1172</v>
      </c>
      <c r="B1115" s="240" t="s">
        <v>2454</v>
      </c>
      <c r="C1115" s="180"/>
      <c r="D1115" s="180"/>
    </row>
    <row r="1116" ht="15.75" customHeight="1">
      <c r="A1116" s="187" t="s">
        <v>1216</v>
      </c>
      <c r="B1116" s="240" t="s">
        <v>2454</v>
      </c>
      <c r="C1116" s="180"/>
      <c r="D1116" s="180"/>
    </row>
    <row r="1117" ht="15.75" customHeight="1">
      <c r="A1117" s="187" t="s">
        <v>1452</v>
      </c>
      <c r="B1117" s="240" t="s">
        <v>2454</v>
      </c>
      <c r="C1117" s="173"/>
      <c r="D1117" s="173"/>
    </row>
    <row r="1118" ht="15.75" customHeight="1">
      <c r="A1118" s="187" t="s">
        <v>2456</v>
      </c>
      <c r="B1118" s="240" t="s">
        <v>2454</v>
      </c>
      <c r="C1118" s="180"/>
      <c r="D1118" s="180"/>
    </row>
    <row r="1119" ht="15.75" customHeight="1">
      <c r="A1119" s="187" t="s">
        <v>2457</v>
      </c>
      <c r="B1119" s="240" t="s">
        <v>2454</v>
      </c>
      <c r="C1119" s="180"/>
      <c r="D1119" s="180"/>
    </row>
    <row r="1120" ht="15.75" customHeight="1">
      <c r="A1120" s="238" t="s">
        <v>2458</v>
      </c>
      <c r="B1120" s="240" t="s">
        <v>2454</v>
      </c>
      <c r="C1120" s="173"/>
      <c r="D1120" s="173"/>
    </row>
    <row r="1121" ht="15.75" customHeight="1">
      <c r="A1121" s="238" t="s">
        <v>1900</v>
      </c>
      <c r="B1121" s="240" t="s">
        <v>2454</v>
      </c>
      <c r="C1121" s="173"/>
      <c r="D1121" s="173"/>
    </row>
    <row r="1122" ht="15.75" customHeight="1">
      <c r="A1122" s="187" t="s">
        <v>2459</v>
      </c>
      <c r="B1122" s="240" t="s">
        <v>2454</v>
      </c>
      <c r="C1122" s="180"/>
      <c r="D1122" s="180"/>
    </row>
    <row r="1123" ht="15.75" customHeight="1">
      <c r="A1123" s="175" t="s">
        <v>326</v>
      </c>
      <c r="B1123" s="169" t="s">
        <v>70</v>
      </c>
      <c r="C1123" s="167"/>
      <c r="D1123" s="167"/>
    </row>
    <row r="1124" ht="15.75" customHeight="1">
      <c r="A1124" s="175" t="s">
        <v>522</v>
      </c>
      <c r="B1124" s="169" t="s">
        <v>70</v>
      </c>
      <c r="C1124" s="167"/>
      <c r="D1124" s="167"/>
    </row>
    <row r="1125" ht="15.75" customHeight="1">
      <c r="A1125" s="172" t="s">
        <v>610</v>
      </c>
      <c r="B1125" s="169" t="s">
        <v>70</v>
      </c>
      <c r="C1125" s="170"/>
      <c r="D1125" s="170"/>
    </row>
    <row r="1126" ht="15.75" customHeight="1">
      <c r="A1126" s="172" t="s">
        <v>640</v>
      </c>
      <c r="B1126" s="169" t="s">
        <v>70</v>
      </c>
      <c r="C1126" s="173"/>
      <c r="D1126" s="173"/>
    </row>
    <row r="1127" ht="15.75" customHeight="1">
      <c r="A1127" s="175" t="s">
        <v>640</v>
      </c>
      <c r="B1127" s="169" t="s">
        <v>70</v>
      </c>
      <c r="C1127" s="170"/>
      <c r="D1127" s="170"/>
    </row>
    <row r="1128" ht="15.75" customHeight="1">
      <c r="A1128" s="172" t="s">
        <v>642</v>
      </c>
      <c r="B1128" s="169" t="s">
        <v>70</v>
      </c>
      <c r="C1128" s="170"/>
      <c r="D1128" s="170"/>
    </row>
    <row r="1129" ht="15.75" customHeight="1">
      <c r="A1129" s="172" t="s">
        <v>1084</v>
      </c>
      <c r="B1129" s="169" t="s">
        <v>70</v>
      </c>
      <c r="C1129" s="173"/>
      <c r="D1129" s="173"/>
    </row>
    <row r="1130" ht="15.75" customHeight="1">
      <c r="A1130" s="172" t="s">
        <v>1383</v>
      </c>
      <c r="B1130" s="169" t="s">
        <v>70</v>
      </c>
      <c r="C1130" s="180"/>
      <c r="D1130" s="180"/>
    </row>
    <row r="1131" ht="15.75" customHeight="1">
      <c r="A1131" s="172" t="s">
        <v>1420</v>
      </c>
      <c r="B1131" s="169" t="s">
        <v>70</v>
      </c>
      <c r="C1131" s="180"/>
      <c r="D1131" s="180"/>
    </row>
    <row r="1132" ht="15.75" customHeight="1">
      <c r="A1132" s="172" t="s">
        <v>1542</v>
      </c>
      <c r="B1132" s="169" t="s">
        <v>70</v>
      </c>
      <c r="C1132" s="180"/>
      <c r="D1132" s="180"/>
    </row>
    <row r="1133" ht="15.75" customHeight="1">
      <c r="A1133" s="175" t="s">
        <v>1638</v>
      </c>
      <c r="B1133" s="169" t="s">
        <v>286</v>
      </c>
      <c r="C1133" s="173"/>
      <c r="D1133" s="173"/>
    </row>
    <row r="1134" ht="15.75" customHeight="1">
      <c r="A1134" s="172" t="s">
        <v>285</v>
      </c>
      <c r="B1134" s="169" t="s">
        <v>286</v>
      </c>
      <c r="C1134" s="167" t="s">
        <v>2114</v>
      </c>
      <c r="D1134" s="167"/>
    </row>
    <row r="1135" ht="15.75" customHeight="1">
      <c r="A1135" s="175" t="s">
        <v>1997</v>
      </c>
      <c r="B1135" s="169" t="s">
        <v>286</v>
      </c>
      <c r="C1135" s="173"/>
      <c r="D1135" s="173"/>
    </row>
    <row r="1136" ht="15.75" customHeight="1">
      <c r="A1136" s="172" t="s">
        <v>1997</v>
      </c>
      <c r="B1136" s="169" t="s">
        <v>286</v>
      </c>
      <c r="C1136" s="180"/>
      <c r="D1136" s="180"/>
    </row>
    <row r="1137" ht="15.75" customHeight="1">
      <c r="A1137" s="172" t="s">
        <v>1811</v>
      </c>
      <c r="B1137" s="172" t="s">
        <v>286</v>
      </c>
      <c r="C1137" s="180"/>
      <c r="D1137" s="180"/>
    </row>
    <row r="1138" ht="15.75" customHeight="1">
      <c r="A1138" s="175" t="s">
        <v>1812</v>
      </c>
      <c r="B1138" s="175" t="s">
        <v>286</v>
      </c>
      <c r="C1138" s="173"/>
      <c r="D1138" s="173"/>
    </row>
    <row r="1139" ht="15.75" customHeight="1">
      <c r="A1139" s="172" t="s">
        <v>1814</v>
      </c>
      <c r="B1139" s="172" t="s">
        <v>286</v>
      </c>
      <c r="C1139" s="180"/>
      <c r="D1139" s="180"/>
    </row>
    <row r="1140" ht="15.75" customHeight="1">
      <c r="A1140" s="175" t="s">
        <v>829</v>
      </c>
      <c r="B1140" s="169" t="s">
        <v>1074</v>
      </c>
      <c r="C1140" s="173"/>
      <c r="D1140" s="173"/>
    </row>
    <row r="1141" ht="15.75" customHeight="1">
      <c r="A1141" s="176" t="s">
        <v>1234</v>
      </c>
      <c r="B1141" s="175" t="s">
        <v>1074</v>
      </c>
      <c r="C1141" s="193" t="s">
        <v>2450</v>
      </c>
      <c r="D1141" s="193"/>
    </row>
    <row r="1142" ht="15.75" customHeight="1">
      <c r="A1142" s="175" t="s">
        <v>2113</v>
      </c>
      <c r="B1142" s="169" t="s">
        <v>1074</v>
      </c>
      <c r="C1142" s="173"/>
      <c r="D1142" s="173"/>
    </row>
    <row r="1143" ht="15.75" customHeight="1">
      <c r="A1143" s="172" t="s">
        <v>703</v>
      </c>
      <c r="B1143" s="169" t="s">
        <v>55</v>
      </c>
      <c r="C1143" s="173"/>
      <c r="D1143" s="173"/>
    </row>
    <row r="1144" ht="15.75" customHeight="1">
      <c r="A1144" s="175" t="s">
        <v>1017</v>
      </c>
      <c r="B1144" s="169" t="s">
        <v>55</v>
      </c>
      <c r="C1144" s="173"/>
      <c r="D1144" s="173"/>
    </row>
    <row r="1145" ht="15.75" customHeight="1">
      <c r="A1145" s="232" t="s">
        <v>529</v>
      </c>
      <c r="B1145" s="232" t="s">
        <v>382</v>
      </c>
      <c r="C1145" s="177"/>
      <c r="D1145" s="177"/>
    </row>
    <row r="1146" ht="15.75" customHeight="1">
      <c r="A1146" s="232" t="s">
        <v>529</v>
      </c>
      <c r="B1146" s="233" t="s">
        <v>382</v>
      </c>
      <c r="C1146" s="181"/>
      <c r="D1146" s="181"/>
    </row>
    <row r="1147" ht="15.75" customHeight="1">
      <c r="A1147" s="175" t="s">
        <v>636</v>
      </c>
      <c r="B1147" s="176"/>
      <c r="C1147" s="193"/>
      <c r="D1147" s="193"/>
    </row>
    <row r="1148" ht="15.75" customHeight="1">
      <c r="A1148" s="241" t="s">
        <v>661</v>
      </c>
      <c r="B1148" s="175"/>
      <c r="C1148" s="193"/>
      <c r="D1148" s="193"/>
    </row>
    <row r="1149" ht="15.75" customHeight="1">
      <c r="A1149" s="241" t="s">
        <v>673</v>
      </c>
      <c r="B1149" s="175"/>
      <c r="C1149" s="193"/>
      <c r="D1149" s="193"/>
    </row>
    <row r="1150" ht="15.75" customHeight="1">
      <c r="A1150" s="241" t="s">
        <v>794</v>
      </c>
      <c r="B1150" s="175"/>
      <c r="C1150" s="193"/>
      <c r="D1150" s="193"/>
    </row>
    <row r="1151" ht="15.75" customHeight="1">
      <c r="A1151" s="241" t="s">
        <v>867</v>
      </c>
      <c r="B1151" s="175"/>
      <c r="C1151" s="193"/>
      <c r="D1151" s="193"/>
    </row>
    <row r="1152" ht="15.75" customHeight="1">
      <c r="A1152" s="241" t="s">
        <v>1985</v>
      </c>
      <c r="B1152" s="175"/>
      <c r="C1152" s="193"/>
      <c r="D1152" s="193"/>
    </row>
    <row r="1153" ht="15.75" customHeight="1">
      <c r="A1153" s="241" t="s">
        <v>1099</v>
      </c>
      <c r="B1153" s="175"/>
      <c r="C1153" s="193"/>
      <c r="D1153" s="193"/>
    </row>
    <row r="1154" ht="15.75" customHeight="1">
      <c r="A1154" s="175" t="s">
        <v>2189</v>
      </c>
      <c r="B1154" s="175"/>
      <c r="C1154" s="193"/>
      <c r="D1154" s="193"/>
    </row>
    <row r="1155" ht="15.75" customHeight="1">
      <c r="A1155" s="176" t="s">
        <v>1280</v>
      </c>
      <c r="B1155" s="175"/>
      <c r="C1155" s="193"/>
      <c r="D1155" s="193"/>
    </row>
    <row r="1156" ht="15.75" customHeight="1">
      <c r="A1156" s="176" t="s">
        <v>2460</v>
      </c>
      <c r="B1156" s="172"/>
      <c r="C1156" s="193"/>
      <c r="D1156" s="193"/>
    </row>
    <row r="1157" ht="15.75" customHeight="1">
      <c r="A1157" s="241" t="s">
        <v>1591</v>
      </c>
      <c r="B1157" s="175"/>
      <c r="C1157" s="193"/>
      <c r="D1157" s="193"/>
    </row>
    <row r="1158" ht="15.75" customHeight="1">
      <c r="A1158" s="175" t="s">
        <v>302</v>
      </c>
      <c r="B1158" s="175"/>
      <c r="C1158" s="193"/>
      <c r="D1158" s="193"/>
    </row>
    <row r="1159" ht="15.75" customHeight="1">
      <c r="A1159" s="175" t="s">
        <v>332</v>
      </c>
      <c r="B1159" s="175"/>
      <c r="C1159" s="193"/>
      <c r="D1159" s="193"/>
    </row>
    <row r="1160" ht="15.75" customHeight="1">
      <c r="A1160" s="175" t="s">
        <v>54</v>
      </c>
      <c r="B1160" s="175"/>
      <c r="C1160" s="193" t="s">
        <v>234</v>
      </c>
      <c r="D1160" s="193"/>
    </row>
  </sheetData>
  <conditionalFormatting sqref="A1099:A1160">
    <cfRule type="expression" dxfId="0" priority="1">
      <formula>$E1099="N"</formula>
    </cfRule>
  </conditionalFormatting>
  <conditionalFormatting sqref="A1099:A1160">
    <cfRule type="expression" dxfId="1" priority="2">
      <formula>($E1099&lt;&gt;"")</formula>
    </cfRule>
  </conditionalFormatting>
  <conditionalFormatting sqref="A595 B595">
    <cfRule type="expression" dxfId="1" priority="3">
      <formula>(#REF!&lt;&gt;"")</formula>
    </cfRule>
  </conditionalFormatting>
  <conditionalFormatting sqref="A595 B595">
    <cfRule type="expression" dxfId="0" priority="4">
      <formula>#REF!="N"</formula>
    </cfRule>
  </conditionalFormatting>
  <conditionalFormatting sqref="A596:A611 B596:B619">
    <cfRule type="expression" dxfId="1" priority="5">
      <formula>($D595&lt;&gt;"")</formula>
    </cfRule>
  </conditionalFormatting>
  <conditionalFormatting sqref="A596:A611 B596:B619">
    <cfRule type="expression" dxfId="0" priority="6">
      <formula>$D595="N"</formula>
    </cfRule>
  </conditionalFormatting>
  <conditionalFormatting sqref="A594 B594">
    <cfRule type="expression" dxfId="1" priority="7">
      <formula>($D609&lt;&gt;"")</formula>
    </cfRule>
  </conditionalFormatting>
  <conditionalFormatting sqref="A594 B594">
    <cfRule type="expression" dxfId="0" priority="8">
      <formula>$D609="N"</formula>
    </cfRule>
  </conditionalFormatting>
  <conditionalFormatting sqref="B74">
    <cfRule type="expression" dxfId="0" priority="9">
      <formula>$D75="N"</formula>
    </cfRule>
  </conditionalFormatting>
  <conditionalFormatting sqref="B74">
    <cfRule type="expression" dxfId="1" priority="10">
      <formula>($D75&lt;&gt;"")</formula>
    </cfRule>
  </conditionalFormatting>
  <conditionalFormatting sqref="A214">
    <cfRule type="expression" dxfId="1" priority="11">
      <formula>($D215&lt;&gt;"")</formula>
    </cfRule>
  </conditionalFormatting>
  <conditionalFormatting sqref="A214">
    <cfRule type="expression" dxfId="0" priority="12">
      <formula>$D215="N"</formula>
    </cfRule>
  </conditionalFormatting>
  <conditionalFormatting sqref="A267">
    <cfRule type="expression" dxfId="1" priority="13">
      <formula>($D269&lt;&gt;"")</formula>
    </cfRule>
  </conditionalFormatting>
  <conditionalFormatting sqref="A267">
    <cfRule type="expression" dxfId="0" priority="14">
      <formula>$D269="N"</formula>
    </cfRule>
  </conditionalFormatting>
  <conditionalFormatting sqref="B645:B646">
    <cfRule type="expression" dxfId="1" priority="15">
      <formula>($D646&lt;&gt;"")</formula>
    </cfRule>
  </conditionalFormatting>
  <conditionalFormatting sqref="B645:B646">
    <cfRule type="expression" dxfId="0" priority="16">
      <formula>$D646="N"</formula>
    </cfRule>
  </conditionalFormatting>
  <conditionalFormatting sqref="B285:B287 B382 B386 B396 B400 B445 B506">
    <cfRule type="expression" dxfId="0" priority="17">
      <formula>$D366="N"</formula>
    </cfRule>
  </conditionalFormatting>
  <conditionalFormatting sqref="B285:B287 B382 B386 B396 B400 B445 B506">
    <cfRule type="expression" dxfId="1" priority="18">
      <formula>($D366&lt;&gt;"")</formula>
    </cfRule>
  </conditionalFormatting>
  <conditionalFormatting sqref="B1110 B1114 B1116 B1118 B1120 B1123 B1125 B1127">
    <cfRule type="notContainsBlanks" dxfId="2" priority="19">
      <formula>LEN(TRIM(B1110))&gt;0</formula>
    </cfRule>
  </conditionalFormatting>
  <conditionalFormatting sqref="A4:A214 A216:A266 A270:A593 A610:A1160 B4:B62 B64:B65 B68:B73 B75:B285 B288:B593 B610:B644 B647:B685 B712:B1037 B1039:B1160">
    <cfRule type="expression" dxfId="0" priority="20">
      <formula>$D4="N"</formula>
    </cfRule>
  </conditionalFormatting>
  <conditionalFormatting sqref="A4:A214 A216:A266 A270:A593 A610:A1160 B4:B62 B64:B65 B68:B73 B75:B285 B288:B593 B610:B644 B647:B685 B712:B1037 B1039:B1160">
    <cfRule type="expression" dxfId="1" priority="21">
      <formula>($D4&lt;&gt;"")</formula>
    </cfRule>
  </conditionalFormatting>
  <hyperlinks>
    <hyperlink r:id="rId1" ref="A148"/>
    <hyperlink r:id="rId2" ref="A656"/>
    <hyperlink r:id="rId3" ref="A1061"/>
  </hyperlinks>
  <drawing r:id="rId4"/>
  <tableParts count="1">
    <tablePart r:id="rId6"/>
  </tableParts>
</worksheet>
</file>